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media/image1.png" ContentType="image/png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comments32.xml" ContentType="application/vnd.openxmlformats-officedocument.spreadsheetml.comments+xml"/>
  <Override PartName="/xl/worksheets/_rels/sheet35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20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2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comments20.xml" ContentType="application/vnd.openxmlformats-officedocument.spreadsheetml.comments+xml"/>
  <Override PartName="/xl/theme/theme1.xml" ContentType="application/vnd.openxmlformats-officedocument.theme+xml"/>
  <Override PartName="/xl/comments3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Management Interviews" sheetId="2" state="visible" r:id="rId4"/>
    <sheet name="Industry Overview" sheetId="3" state="visible" r:id="rId5"/>
    <sheet name="Competitive Analysis" sheetId="4" state="visible" r:id="rId6"/>
    <sheet name="PESTEL" sheetId="5" state="visible" r:id="rId7"/>
    <sheet name="Five Forces" sheetId="6" state="visible" r:id="rId8"/>
    <sheet name="Trending Factors" sheetId="7" state="visible" r:id="rId9"/>
    <sheet name="KSF Scorecard" sheetId="8" state="visible" r:id="rId10"/>
    <sheet name="Strategic Mapping" sheetId="9" state="visible" r:id="rId11"/>
    <sheet name="Value Chain" sheetId="10" state="visible" r:id="rId12"/>
    <sheet name="Unit Economics" sheetId="11" state="visible" r:id="rId13"/>
    <sheet name="Resources &amp; Capabilities" sheetId="12" state="visible" r:id="rId14"/>
    <sheet name="VRIO" sheetId="13" state="visible" r:id="rId15"/>
    <sheet name="Full Potential" sheetId="14" state="visible" r:id="rId16"/>
    <sheet name="Growth Barriers" sheetId="15" state="visible" r:id="rId17"/>
    <sheet name="SWOT-TOWS" sheetId="16" state="visible" r:id="rId18"/>
    <sheet name="Positioning" sheetId="17" state="visible" r:id="rId19"/>
    <sheet name="Strategic Options" sheetId="18" state="visible" r:id="rId20"/>
    <sheet name="Decision Matrix" sheetId="19" state="visible" r:id="rId21"/>
    <sheet name="Business Case" sheetId="20" state="visible" r:id="rId22"/>
    <sheet name="Expected Value" sheetId="21" state="visible" r:id="rId23"/>
    <sheet name="Risk Analysis" sheetId="22" state="visible" r:id="rId24"/>
    <sheet name="Pricing" sheetId="23" state="visible" r:id="rId25"/>
    <sheet name="Stress Test" sheetId="24" state="visible" r:id="rId26"/>
    <sheet name="Go-to-Market" sheetId="25" state="visible" r:id="rId27"/>
    <sheet name="Initiatives" sheetId="26" state="visible" r:id="rId28"/>
    <sheet name="Operating Model" sheetId="27" state="visible" r:id="rId29"/>
    <sheet name="Execution Roadmap" sheetId="28" state="visible" r:id="rId30"/>
    <sheet name="Balanced Scorecard" sheetId="29" state="visible" r:id="rId31"/>
    <sheet name="Strategy Map" sheetId="30" state="visible" r:id="rId32"/>
    <sheet name="GLO-BUS CIR" sheetId="31" state="visible" r:id="rId33"/>
    <sheet name="GLO-BUS Planner" sheetId="32" state="visible" r:id="rId34"/>
    <sheet name="Season by Year" sheetId="33" state="visible" r:id="rId35"/>
    <sheet name="Competition by Year" sheetId="34" state="visible" r:id="rId36"/>
    <sheet name="KPI Charts" sheetId="35" state="visible" r:id="rId37"/>
    <sheet name="Findings &amp; Questions" sheetId="36" state="visible" r:id="rId38"/>
  </sheets>
  <definedNames>
    <definedName function="false" hidden="false" name="CreditScale" vbProcedure="false">'Season by Year'!$R$6:$R$26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Example values from the Strat-IQ Business Case template (illustrative).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sharedStrings.xml><?xml version="1.0" encoding="utf-8"?>
<sst xmlns="http://schemas.openxmlformats.org/spreadsheetml/2006/main" count="2037" uniqueCount="1212">
  <si>
    <t xml:space="preserve">Strat-IQ Workbook</t>
  </si>
  <si>
    <t xml:space="preserve">Strategy analysis worksheets</t>
  </si>
  <si>
    <t xml:space="preserve">Template with one example row per sheet. Replace the examples with your own work.</t>
  </si>
  <si>
    <t xml:space="preserve">How to use</t>
  </si>
  <si>
    <t xml:space="preserve">Each sheet is one Strat-IQ step, in process order. Type only in the cream cells (blue text). Grey cells are formulas: they score, rank and flag automatically. Every finding should name its evidence, the same rule Strat-IQ follows.</t>
  </si>
  <si>
    <t xml:space="preserve">Colour key</t>
  </si>
  <si>
    <t xml:space="preserve">Blue on cream = input · black on grey = formula · green / amber / red = status.</t>
  </si>
  <si>
    <t xml:space="preserve">Management Interviews</t>
  </si>
  <si>
    <t xml:space="preserve">Start here. What management told you: the decisions they need made, the goals you must reach, the questions they need answered, nine questions every team answers, your own questions, and the takeaways you hold yourselves to.</t>
  </si>
  <si>
    <t xml:space="preserve">PART 1 · THE INDUSTRY</t>
  </si>
  <si>
    <t xml:space="preserve">Industry Overview</t>
  </si>
  <si>
    <t xml:space="preserve">Setup (scope, competitors, base company) and the industry introduction: market size side by side, a CAGR calculator, segments, top-4 share and HHI, history, life-cycle stage.</t>
  </si>
  <si>
    <t xml:space="preserve">Competitive Analysis</t>
  </si>
  <si>
    <t xml:space="preserve">Each competitor's financials and moat against the peer median, margin rank, moat score, signals, and annual-report seeds for PESTEL.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</si>
  <si>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</si>
  <si>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</si>
  <si>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</si>
  <si>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</si>
  <si>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Trending Factors</t>
  </si>
  <si>
    <t xml:space="preserve">Candidate drivers through the four tests; Driver or Demoted, and a 3-5 driver check.</t>
  </si>
  <si>
    <t xml:space="preserve">KSF Scorecard</t>
  </si>
  <si>
    <t xml:space="preserve">Weighted KSFs, every competitor scored, totals and rank; weights must sum to 100%.</t>
  </si>
  <si>
    <t xml:space="preserve">Strategic Mapping</t>
  </si>
  <si>
    <t xml:space="preserve">Every company scored on two vectors, plotted on a map, and the white-space candidates with ERRC and a capability stamp.</t>
  </si>
  <si>
    <t xml:space="preserve">PART 2 · THE COMPANY</t>
  </si>
  <si>
    <t xml:space="preserve">Value Chain</t>
  </si>
  <si>
    <t xml:space="preserve">Activities by cost share and value share; value minus cost reads as differentiating engine, in balance or value trap.</t>
  </si>
  <si>
    <t xml:space="preserve">Unit Economics</t>
  </si>
  <si>
    <t xml:space="preserve">Contribution, break-even, margin of safety, LTV, LTV/CAC, CAC payback and a sensitivity table (J-1).</t>
  </si>
  <si>
    <t xml:space="preserve">Resources &amp; Capabilities</t>
  </si>
  <si>
    <t xml:space="preserve">Resources, capabilities (threshold or distinctive) and core competencies.</t>
  </si>
  <si>
    <t xml:space="preserve">VRIO</t>
  </si>
  <si>
    <t xml:space="preserve">Yes / No / ? for each test; the verdict and the KSF reality check are calculated.</t>
  </si>
  <si>
    <t xml:space="preserve">Full Potential</t>
  </si>
  <si>
    <t xml:space="preserve">The profit gap to benchmark, driver by driver in sequence, with a bridge chart (K-1).</t>
  </si>
  <si>
    <t xml:space="preserve">Growth Barriers</t>
  </si>
  <si>
    <t xml:space="preserve">Six barriers marked binding, tight or slack; the binding constraint is named (K-2).</t>
  </si>
  <si>
    <t xml:space="preserve">SWOT-TOWS</t>
  </si>
  <si>
    <t xml:space="preserve">Four traced lists and the TOWS options that pair them.</t>
  </si>
  <si>
    <t xml:space="preserve">PART 3 · THE STRATEGY</t>
  </si>
  <si>
    <t xml:space="preserve">Positioning</t>
  </si>
  <si>
    <t xml:space="preserve">The strategy you chose, in your words, and five fit tests including management fit.</t>
  </si>
  <si>
    <t xml:space="preserve">Strategic Options</t>
  </si>
  <si>
    <t xml:space="preserve">SCQ framing and three or more options plus do nothing, each staged with a gate (P).</t>
  </si>
  <si>
    <t xml:space="preserve">Decision Matrix</t>
  </si>
  <si>
    <t xml:space="preserve">Criteria weights × option scores, with a weighted total and rank; do nothing included.</t>
  </si>
  <si>
    <t xml:space="preserve">Business Case</t>
  </si>
  <si>
    <t xml:space="preserve">Driver-based cash flows, NPV, IRR and cumulative cash (Q-1).</t>
  </si>
  <si>
    <t xml:space="preserve">Expected Value</t>
  </si>
  <si>
    <t xml:space="preserve">Scenario probabilities × NPVs, expected NPV, worst case, maximin, value of information, and a Bayes' rule pilot check (Q-2).</t>
  </si>
  <si>
    <t xml:space="preserve">Risk Analysis</t>
  </si>
  <si>
    <t xml:space="preserve">A tornado chart and a 1,000-run Monte Carlo simulation over your low / likely / high ranges (Q-3).</t>
  </si>
  <si>
    <t xml:space="preserve">Pricing</t>
  </si>
  <si>
    <t xml:space="preserve">Optional: price points against expected volume; the profit-maximising price inside the acceptable range.</t>
  </si>
  <si>
    <t xml:space="preserve">Stress Test</t>
  </si>
  <si>
    <t xml:space="preserve">Assumption audit with headroom, competitor war-game, and a risk register with owners and triggers (R).</t>
  </si>
  <si>
    <t xml:space="preserve">Go-to-Market</t>
  </si>
  <si>
    <t xml:space="preserve">Beachhead, ICP, a channel funnel worked back to CAC, CAC checked against LTV, launch phases (T).</t>
  </si>
  <si>
    <t xml:space="preserve">Initiatives</t>
  </si>
  <si>
    <t xml:space="preserve">RICE scores and rank; every initiative traces to a finding (S).</t>
  </si>
  <si>
    <t xml:space="preserve">Operating Model</t>
  </si>
  <si>
    <t xml:space="preserve">Decision rights (RAPID) and a stakeholder power-interest map.</t>
  </si>
  <si>
    <t xml:space="preserve">Execution Roadmap</t>
  </si>
  <si>
    <t xml:space="preserve">First 100 days as bars by week, milestones and stage gates (S).</t>
  </si>
  <si>
    <t xml:space="preserve">Balanced Scorecard</t>
  </si>
  <si>
    <t xml:space="preserve">Objectives and measures in four perspectives, leading vs lagging, status vs target, balance check (U).</t>
  </si>
  <si>
    <t xml:space="preserve">Strategy Map</t>
  </si>
  <si>
    <t xml:space="preserve">Objectives by perspective and their cause-and-effect links (U).</t>
  </si>
  <si>
    <t xml:space="preserve">GLO-BUS</t>
  </si>
  <si>
    <t xml:space="preserve">GLO-BUS CIR</t>
  </si>
  <si>
    <t xml:space="preserve">Paste the CIR figures; each company is placed in a strategic group automatically.</t>
  </si>
  <si>
    <t xml:space="preserve">GLO-BUS Planner</t>
  </si>
  <si>
    <t xml:space="preserve">Plan every decision for each year in screen order; flags big changes and years where price and advertising are both cut. You enter the decisions in GLO-BUS yourself.</t>
  </si>
  <si>
    <t xml:space="preserve">Season by Year</t>
  </si>
  <si>
    <t xml:space="preserve">All years on one tab: every decision entered (top) and every result (below), each year followed by its change (▲ ▼, green = better). The first columns stay put as you scroll.</t>
  </si>
  <si>
    <t xml:space="preserve">Competition by Year</t>
  </si>
  <si>
    <t xml:space="preserve">Every company's score, rank, KPIs, price, P/Q and share by year with the change, from the class-wide reports only, plus your rank on each measure.</t>
  </si>
  <si>
    <t xml:space="preserve">KPI Charts</t>
  </si>
  <si>
    <t xml:space="preserve">Graphs of how you're doing: KPIs vs investor expectations, score by company, rank, share, cost per unit and position vs the industry, revenue, profit and margins.</t>
  </si>
  <si>
    <t xml:space="preserve">Findings &amp; Questions</t>
  </si>
  <si>
    <t xml:space="preserve">Findings, watch items and questions to consider, year by year (filled from the weekly review), with the team's response and status.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</si>
  <si>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</si>
  <si>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</si>
  <si>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Strat-IQ Toolkit · free for noncommercial use (PolyForm NC / CC BY-NC) · commercial licences BScheller@ToolsIQ.ai</t>
  </si>
  <si>
    <t xml:space="preserve">What management told you, in their words. It sets up everything after it: the memo's Key Issues and Exhibit B, the decision criteria, the strategy you choose, and the weekly check.</t>
  </si>
  <si>
    <t xml:space="preserve">Blue text on cream = your inputs.  Black on grey = formulas (do not type over them).  Delete the example row before you start.</t>
  </si>
  <si>
    <t xml:space="preserve">1. Key issues from the interview  (these become your memo's Key Issues and Exhibit B)</t>
  </si>
  <si>
    <t xml:space="preserve">Central problem: the decision management needs made</t>
  </si>
  <si>
    <t xml:space="preserve">[e.g. How should Company C position cameras and drones to beat investor expectations over the season?]</t>
  </si>
  <si>
    <t xml:space="preserve">#</t>
  </si>
  <si>
    <t xml:space="preserve">Decisions management needs us to make</t>
  </si>
  <si>
    <t xml:space="preserve">By when</t>
  </si>
  <si>
    <t xml:space="preserve">Notes</t>
  </si>
  <si>
    <t xml:space="preserve">D1</t>
  </si>
  <si>
    <t xml:space="preserve">[e.g. Choose a competitive strategy for each product line]</t>
  </si>
  <si>
    <t xml:space="preserve">Year 6</t>
  </si>
  <si>
    <t xml:space="preserve">D2</t>
  </si>
  <si>
    <t xml:space="preserve">D3</t>
  </si>
  <si>
    <t xml:space="preserve">D4</t>
  </si>
  <si>
    <t xml:space="preserve">D5</t>
  </si>
  <si>
    <t xml:space="preserve">Required goals (the decision criteria come from these)</t>
  </si>
  <si>
    <t xml:space="preserve">Measure / KPI</t>
  </si>
  <si>
    <t xml:space="preserve">Target</t>
  </si>
  <si>
    <t xml:space="preserve">B1</t>
  </si>
  <si>
    <t xml:space="preserve">[e.g. Beat investor expectations for EPS every year]</t>
  </si>
  <si>
    <t xml:space="preserve">EPS</t>
  </si>
  <si>
    <t xml:space="preserve">[from the scoreboard]</t>
  </si>
  <si>
    <t xml:space="preserve">Every year</t>
  </si>
  <si>
    <t xml:space="preserve">B2</t>
  </si>
  <si>
    <t xml:space="preserve">B3</t>
  </si>
  <si>
    <t xml:space="preserve">B4</t>
  </si>
  <si>
    <t xml:space="preserve">B5</t>
  </si>
  <si>
    <t xml:space="preserve">Questions management needs answered</t>
  </si>
  <si>
    <t xml:space="preserve">Why it matters to them</t>
  </si>
  <si>
    <t xml:space="preserve">Q1</t>
  </si>
  <si>
    <t xml:space="preserve">[e.g. Can we grow share without hurting the credit rating?]</t>
  </si>
  <si>
    <t xml:space="preserve">[their reason]</t>
  </si>
  <si>
    <t xml:space="preserve">Q2</t>
  </si>
  <si>
    <t xml:space="preserve">Q3</t>
  </si>
  <si>
    <t xml:space="preserve">Q4</t>
  </si>
  <si>
    <t xml:space="preserve">Q5</t>
  </si>
  <si>
    <t xml:space="preserve">2. Questions every team must answer</t>
  </si>
  <si>
    <t xml:space="preserve">Area</t>
  </si>
  <si>
    <t xml:space="preserve">Question</t>
  </si>
  <si>
    <t xml:space="preserve">What management said</t>
  </si>
  <si>
    <t xml:space="preserve">Their words (quote)</t>
  </si>
  <si>
    <t xml:space="preserve">What it means for our strategy</t>
  </si>
  <si>
    <t xml:space="preserve">Touches</t>
  </si>
  <si>
    <t xml:space="preserve">How sure</t>
  </si>
  <si>
    <t xml:space="preserve">Follow-up question</t>
  </si>
  <si>
    <t xml:space="preserve">M1</t>
  </si>
  <si>
    <t xml:space="preserve">Goals</t>
  </si>
  <si>
    <t xml:space="preserve">Which scored measures matter most to management: EPS, ROE, stock price, credit rating or image rating?</t>
  </si>
  <si>
    <t xml:space="preserve">[e.g. EPS and the credit rating come first]</t>
  </si>
  <si>
    <t xml:space="preserve">["We will not take on debt that risks our rating."]</t>
  </si>
  <si>
    <t xml:space="preserve">[e.g. Growth must be funded mostly from earnings]</t>
  </si>
  <si>
    <t xml:space="preserve">Credit rating</t>
  </si>
  <si>
    <t xml:space="preserve">Stated</t>
  </si>
  <si>
    <t xml:space="preserve">M2</t>
  </si>
  <si>
    <t xml:space="preserve">What would management call a successful season, and what would be a failure?</t>
  </si>
  <si>
    <t xml:space="preserve">M3</t>
  </si>
  <si>
    <t xml:space="preserve">Strategy</t>
  </si>
  <si>
    <t xml:space="preserve">What strategy does management favour for cameras, and for drones? Why?</t>
  </si>
  <si>
    <t xml:space="preserve">M4</t>
  </si>
  <si>
    <t xml:space="preserve">Markets</t>
  </si>
  <si>
    <t xml:space="preserve">Are there regions or segments management wants to lead in, or to avoid?</t>
  </si>
  <si>
    <t xml:space="preserve">M5</t>
  </si>
  <si>
    <t xml:space="preserve">Risk</t>
  </si>
  <si>
    <t xml:space="preserve">How much risk will management accept: debt, issuing stock, dividends, the lowest credit rating it will tolerate?</t>
  </si>
  <si>
    <t xml:space="preserve">M6</t>
  </si>
  <si>
    <t xml:space="preserve">Brand</t>
  </si>
  <si>
    <t xml:space="preserve">Are there minimum quality, warranty, image or CSR standards the company must keep?</t>
  </si>
  <si>
    <t xml:space="preserve">M7</t>
  </si>
  <si>
    <t xml:space="preserve">Operations</t>
  </si>
  <si>
    <t xml:space="preserve">What are management's views on capacity, workforce and pay?</t>
  </si>
  <si>
    <t xml:space="preserve">M8</t>
  </si>
  <si>
    <t xml:space="preserve">Rivals</t>
  </si>
  <si>
    <t xml:space="preserve">What does management expect competitors to do?</t>
  </si>
  <si>
    <t xml:space="preserve">M9</t>
  </si>
  <si>
    <t xml:space="preserve">Decision rights</t>
  </si>
  <si>
    <t xml:space="preserve">Which decisions must the team check with management before entering them?</t>
  </si>
  <si>
    <t xml:space="preserve">3. Our own questions  (anything else the team asked)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</si>
  <si>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</si>
  <si>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</si>
  <si>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</si>
  <si>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</si>
  <si>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</si>
  <si>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</si>
  <si>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</si>
  <si>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</si>
  <si>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4. Management brief: the takeaways we hold ourselves to</t>
  </si>
  <si>
    <t xml:space="preserve">Takeaway</t>
  </si>
  <si>
    <t xml:space="preserve">From (row)</t>
  </si>
  <si>
    <t xml:space="preserve">How we'll check it each round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</si>
  <si>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</si>
  <si>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</si>
  <si>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</si>
  <si>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</si>
  <si>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</si>
  <si>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Completeness</t>
  </si>
  <si>
    <t xml:space="preserve">Record what management said, not what you hoped they meant. Mark anything you are inferring as 'Our interpretation'. This sheet stays with your team.</t>
  </si>
  <si>
    <t xml:space="preserve">Setup and Industry Overview</t>
  </si>
  <si>
    <t xml:space="preserve">Part 1, steps 1-2. The scope every later step uses, and the business-plan-style introduction to the industry. Cite a source for every figure.</t>
  </si>
  <si>
    <t xml:space="preserve">Scope (from setup)</t>
  </si>
  <si>
    <t xml:space="preserve">Industry</t>
  </si>
  <si>
    <t xml:space="preserve">[e.g. Global passenger electric vehicles]</t>
  </si>
  <si>
    <t xml:space="preserve">In scope / out of scope</t>
  </si>
  <si>
    <t xml:space="preserve">[e.g. BEV + PHEV cars; excludes trucks]</t>
  </si>
  <si>
    <t xml:space="preserve">Geography</t>
  </si>
  <si>
    <t xml:space="preserve">Global</t>
  </si>
  <si>
    <t xml:space="preserve">Horizon</t>
  </si>
  <si>
    <t xml:space="preserve">2026-2030</t>
  </si>
  <si>
    <t xml:space="preserve">Competitor set</t>
  </si>
  <si>
    <t xml:space="preserve">[e.g. BYD, Tesla, VW Group]</t>
  </si>
  <si>
    <t xml:space="preserve">Base company</t>
  </si>
  <si>
    <t xml:space="preserve">[e.g. BYD]</t>
  </si>
  <si>
    <t xml:space="preserve">Market size (estimates differ by definition: show them side by side)</t>
  </si>
  <si>
    <t xml:space="preserve">Value</t>
  </si>
  <si>
    <t xml:space="preserve">Unit</t>
  </si>
  <si>
    <t xml:space="preserve">Year</t>
  </si>
  <si>
    <t xml:space="preserve">Publisher</t>
  </si>
  <si>
    <t xml:space="preserve">Definition</t>
  </si>
  <si>
    <t xml:space="preserve">Matches scope?</t>
  </si>
  <si>
    <t xml:space="preserve">million units</t>
  </si>
  <si>
    <t xml:space="preserve">[publisher]</t>
  </si>
  <si>
    <t xml:space="preserve">BEV + PHEV car sales</t>
  </si>
  <si>
    <t xml:space="preserve">Yes</t>
  </si>
  <si>
    <t xml:space="preserve">Growth: compound annual growth rate calculator</t>
  </si>
  <si>
    <t xml:space="preserve">Start value</t>
  </si>
  <si>
    <t xml:space="preserve">End value</t>
  </si>
  <si>
    <t xml:space="preserve">Number of years</t>
  </si>
  <si>
    <t xml:space="preserve">CAGR</t>
  </si>
  <si>
    <t xml:space="preserve">Forecast: publisher</t>
  </si>
  <si>
    <t xml:space="preserve">To year</t>
  </si>
  <si>
    <t xml:space="preserve">Published</t>
  </si>
  <si>
    <t xml:space="preserve">Segments and customers</t>
  </si>
  <si>
    <t xml:space="preserve">Segment</t>
  </si>
  <si>
    <t xml:space="preserve">Share</t>
  </si>
  <si>
    <t xml:space="preserve">Growth</t>
  </si>
  <si>
    <t xml:space="preserve">Who buys, and why</t>
  </si>
  <si>
    <t xml:space="preserve">Key players and concentration</t>
  </si>
  <si>
    <t xml:space="preserve">Company</t>
  </si>
  <si>
    <t xml:space="preserve">Market share</t>
  </si>
  <si>
    <t xml:space="preserve">[Leader 1]</t>
  </si>
  <si>
    <t xml:space="preserve">Top-4 share</t>
  </si>
  <si>
    <t xml:space="preserve">[Leader 2]</t>
  </si>
  <si>
    <t xml:space="preserve">HHI (shares listed)</t>
  </si>
  <si>
    <t xml:space="preserve">[Leader 3]</t>
  </si>
  <si>
    <t xml:space="preserve">Below 1,500 unconcentrated; above 2,500 highly concentrated.</t>
  </si>
  <si>
    <t xml:space="preserve">[Leader 4]</t>
  </si>
  <si>
    <t xml:space="preserve">Recent history: the events that explain today's structure</t>
  </si>
  <si>
    <t xml:space="preserve">Event</t>
  </si>
  <si>
    <t xml:space="preserve">Why it mattered</t>
  </si>
  <si>
    <t xml:space="preserve">Life-cycle stage</t>
  </si>
  <si>
    <t xml:space="preserve">Stage</t>
  </si>
  <si>
    <t xml:space="preserve">growth</t>
  </si>
  <si>
    <t xml:space="preserve">What it implies</t>
  </si>
  <si>
    <t xml:space="preserve">Part 1, step 3. Each competitor's financials, moat and signals, benchmarked against the peer median. Same fiscal year for all; note the currency.</t>
  </si>
  <si>
    <t xml:space="preserve">Financial benchmark and moat</t>
  </si>
  <si>
    <t xml:space="preserve">Fiscal year</t>
  </si>
  <si>
    <t xml:space="preserve">Currency</t>
  </si>
  <si>
    <t xml:space="preserve">Revenue (m)</t>
  </si>
  <si>
    <t xml:space="preserve">Gross margin</t>
  </si>
  <si>
    <t xml:space="preserve">Op. margin</t>
  </si>
  <si>
    <t xml:space="preserve">R&amp;D % rev.</t>
  </si>
  <si>
    <t xml:space="preserve">Moat: network</t>
  </si>
  <si>
    <t xml:space="preserve">Moat: switching</t>
  </si>
  <si>
    <t xml:space="preserve">Moat: scale</t>
  </si>
  <si>
    <t xml:space="preserve">Moat: intangibles</t>
  </si>
  <si>
    <t xml:space="preserve">Apparent strategy</t>
  </si>
  <si>
    <t xml:space="preserve">[Firm A]</t>
  </si>
  <si>
    <t xml:space="preserve">FY2025</t>
  </si>
  <si>
    <t xml:space="preserve">USD</t>
  </si>
  <si>
    <t xml:space="preserve">weak</t>
  </si>
  <si>
    <t xml:space="preserve">moderate</t>
  </si>
  <si>
    <t xml:space="preserve">strong</t>
  </si>
  <si>
    <t xml:space="preserve">[cost leader at scale]</t>
  </si>
  <si>
    <t xml:space="preserve">[Firm B]</t>
  </si>
  <si>
    <t xml:space="preserve">[premium tech brand]</t>
  </si>
  <si>
    <t xml:space="preserve">Peer median</t>
  </si>
  <si>
    <t xml:space="preserve">Op. margin vs median</t>
  </si>
  <si>
    <t xml:space="preserve">Margin rank</t>
  </si>
  <si>
    <t xml:space="preserve">Moat score (0-8)</t>
  </si>
  <si>
    <t xml:space="preserve">Signals: what competitors are doing (hiring, patents, launches, capex, pricing)</t>
  </si>
  <si>
    <t xml:space="preserve">Kind</t>
  </si>
  <si>
    <t xml:space="preserve">Observation</t>
  </si>
  <si>
    <t xml:space="preserve">What it suggests</t>
  </si>
  <si>
    <t xml:space="preserve">Annual-report seeds for PESTEL (risk factors and management discussion)</t>
  </si>
  <si>
    <t xml:space="preserve">Text</t>
  </si>
  <si>
    <t xml:space="preserve">P&amp;L line</t>
  </si>
  <si>
    <t xml:space="preserve">Firms citing it</t>
  </si>
  <si>
    <t xml:space="preserve">PESTEL Analysis</t>
  </si>
  <si>
    <t xml:space="preserve">Macro findings, each tied to a P&amp;L line. Priority = impact × certainty (1-25).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</si>
  <si>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</si>
  <si>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</si>
  <si>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</si>
  <si>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</si>
  <si>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</si>
  <si>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</si>
  <si>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</si>
  <si>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Source / evidence</t>
  </si>
  <si>
    <t xml:space="preserve">P1</t>
  </si>
  <si>
    <t xml:space="preserve">Economic</t>
  </si>
  <si>
    <t xml:space="preserve">Battery cell prices keep falling as LFP capacity grows</t>
  </si>
  <si>
    <t xml:space="preserve">+</t>
  </si>
  <si>
    <t xml:space="preserve">cogs.inputs</t>
  </si>
  <si>
    <t xml:space="preserve">Example: industry price survey, 2026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</si>
  <si>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</si>
  <si>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</si>
  <si>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</si>
  <si>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</si>
  <si>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</si>
  <si>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</si>
  <si>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</si>
  <si>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</si>
  <si>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</si>
  <si>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</si>
  <si>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</si>
  <si>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</si>
  <si>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</si>
  <si>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</si>
  <si>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</si>
  <si>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</si>
  <si>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Example: top three cell makers hold most global capacity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</si>
  <si>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</si>
  <si>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</si>
  <si>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</si>
  <si>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</si>
  <si>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</si>
  <si>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</si>
  <si>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</si>
  <si>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</si>
  <si>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</si>
  <si>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</si>
  <si>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</si>
  <si>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</si>
  <si>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</si>
  <si>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</si>
  <si>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</si>
  <si>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</si>
  <si>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</si>
  <si>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</si>
  <si>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</si>
  <si>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</si>
  <si>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</si>
  <si>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</si>
  <si>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</si>
  <si>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</si>
  <si>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</si>
  <si>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Trending Influence Factors</t>
  </si>
  <si>
    <t xml:space="preserve">Part 1, step 6. Candidates from PESTEL and Competitive Analysis; a driver must pass all four tests. Keep 3-5.</t>
  </si>
  <si>
    <t xml:space="preserve">Candidate driver</t>
  </si>
  <si>
    <t xml:space="preserve">From (PESTEL / CI ids)</t>
  </si>
  <si>
    <t xml:space="preserve">Mechanism → P&amp;L</t>
  </si>
  <si>
    <t xml:space="preserve">Forces moved</t>
  </si>
  <si>
    <t xml:space="preserve">Moves a force ≥1 pt?</t>
  </si>
  <si>
    <t xml:space="preserve">Moves P&amp;L for most firms?</t>
  </si>
  <si>
    <t xml:space="preserve">Acts within horizon?</t>
  </si>
  <si>
    <t xml:space="preserve">Two source types?</t>
  </si>
  <si>
    <t xml:space="preserve">Verdict</t>
  </si>
  <si>
    <t xml:space="preserve">Profit pool</t>
  </si>
  <si>
    <t xml:space="preserve">[Battery cost curve]</t>
  </si>
  <si>
    <t xml:space="preserve">[cheaper cells → lower input cost]</t>
  </si>
  <si>
    <t xml:space="preserve">suppliers</t>
  </si>
  <si>
    <t xml:space="preserve">redistributing</t>
  </si>
  <si>
    <t xml:space="preserve">[Fuel-price spike]</t>
  </si>
  <si>
    <t xml:space="preserve">P7</t>
  </si>
  <si>
    <t xml:space="preserve">[one-off demand pull]</t>
  </si>
  <si>
    <t xml:space="preserve">revenue.volume</t>
  </si>
  <si>
    <t xml:space="preserve">substitutes</t>
  </si>
  <si>
    <t xml:space="preserve">No</t>
  </si>
  <si>
    <t xml:space="preserve">expanding</t>
  </si>
  <si>
    <t xml:space="preserve">Drivers kept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</si>
  <si>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</si>
  <si>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</si>
  <si>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</si>
  <si>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</si>
  <si>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</si>
  <si>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BYD</t>
  </si>
  <si>
    <t xml:space="preserve">Stellantis</t>
  </si>
  <si>
    <t xml:space="preserve">Xiaomi</t>
  </si>
  <si>
    <t xml:space="preserve">Competitor 4</t>
  </si>
  <si>
    <t xml:space="preserve">Competitor 5</t>
  </si>
  <si>
    <t xml:space="preserve">Competitor 6</t>
  </si>
  <si>
    <t xml:space="preserve">Battery cost per kWh</t>
  </si>
  <si>
    <t xml:space="preserve">suppliers, D2</t>
  </si>
  <si>
    <t xml:space="preserve">Weight check (must be 100%)</t>
  </si>
  <si>
    <t xml:space="preserve">Weighted score (out of 5)</t>
  </si>
  <si>
    <t xml:space="preserve">Rank</t>
  </si>
  <si>
    <t xml:space="preserve">Part 1, step 8. Score each company on two vectors (0-10), see the map, then list the white space and stamp each candidate after VRIO.</t>
  </si>
  <si>
    <t xml:space="preserve">Horizontal axis (vector)</t>
  </si>
  <si>
    <t xml:space="preserve">[e.g. Ecosystem integration]</t>
  </si>
  <si>
    <t xml:space="preserve">Vertical axis (vector)</t>
  </si>
  <si>
    <t xml:space="preserve">[e.g. Resale value]</t>
  </si>
  <si>
    <t xml:space="preserve">X score (0-10)</t>
  </si>
  <si>
    <t xml:space="preserve">Y score (0-10)</t>
  </si>
  <si>
    <t xml:space="preserve">Size (share or revenue)</t>
  </si>
  <si>
    <t xml:space="preserve">[Firm C]</t>
  </si>
  <si>
    <t xml:space="preserve">White space and blue-ocean candidates</t>
  </si>
  <si>
    <t xml:space="preserve">X</t>
  </si>
  <si>
    <t xml:space="preserve">Y</t>
  </si>
  <si>
    <t xml:space="preserve">Demand</t>
  </si>
  <si>
    <t xml:space="preserve">Thesis</t>
  </si>
  <si>
    <t xml:space="preserve">Eliminate</t>
  </si>
  <si>
    <t xml:space="preserve">Reduce</t>
  </si>
  <si>
    <t xml:space="preserve">Raise</t>
  </si>
  <si>
    <t xml:space="preserve">Create</t>
  </si>
  <si>
    <t xml:space="preserve">Capability (after VRIO)</t>
  </si>
  <si>
    <t xml:space="preserve">unpriced</t>
  </si>
  <si>
    <t xml:space="preserve">[the empty corner and who it serves]</t>
  </si>
  <si>
    <t xml:space="preserve">[…]</t>
  </si>
  <si>
    <t xml:space="preserve">UNVALIDATED</t>
  </si>
  <si>
    <t xml:space="preserve">Part 2, step 9. Each activity's share of cost and of the value customers pay for. Value minus cost shows where the firm earns its margin.</t>
  </si>
  <si>
    <t xml:space="preserve">Activity</t>
  </si>
  <si>
    <t xml:space="preserve">Porter category</t>
  </si>
  <si>
    <t xml:space="preserve">Sourcing</t>
  </si>
  <si>
    <t xml:space="preserve">Cost share</t>
  </si>
  <si>
    <t xml:space="preserve">Value share</t>
  </si>
  <si>
    <t xml:space="preserve">Value − cost</t>
  </si>
  <si>
    <t xml:space="preserve">Reading</t>
  </si>
  <si>
    <t xml:space="preserve">Delivers KSF</t>
  </si>
  <si>
    <t xml:space="preserve">A1</t>
  </si>
  <si>
    <t xml:space="preserve">[Battery cells and packs]</t>
  </si>
  <si>
    <t xml:space="preserve">product</t>
  </si>
  <si>
    <t xml:space="preserve">in-house</t>
  </si>
  <si>
    <t xml:space="preserve">A2</t>
  </si>
  <si>
    <t xml:space="preserve">[Software and connected services]</t>
  </si>
  <si>
    <t xml:space="preserve">Technology</t>
  </si>
  <si>
    <t xml:space="preserve">custom</t>
  </si>
  <si>
    <t xml:space="preserve">Totals</t>
  </si>
  <si>
    <t xml:space="preserve">Unit Economics (Exhibit J-1)</t>
  </si>
  <si>
    <t xml:space="preserve">Part 2, step 10. Does one more unit make money, and what does a customer cost? Matches unit_economics.py.</t>
  </si>
  <si>
    <t xml:space="preserve">Inputs</t>
  </si>
  <si>
    <t xml:space="preserve">Results</t>
  </si>
  <si>
    <t xml:space="preserve">one vehicle</t>
  </si>
  <si>
    <t xml:space="preserve">Contribution per unit</t>
  </si>
  <si>
    <t xml:space="preserve">Price per unit</t>
  </si>
  <si>
    <t xml:space="preserve">Contribution margin</t>
  </si>
  <si>
    <t xml:space="preserve">Variable cost per unit</t>
  </si>
  <si>
    <t xml:space="preserve">Break-even volume</t>
  </si>
  <si>
    <t xml:space="preserve">Fixed costs per period</t>
  </si>
  <si>
    <t xml:space="preserve">Margin of safety</t>
  </si>
  <si>
    <t xml:space="preserve">Volume per period</t>
  </si>
  <si>
    <t xml:space="preserve">Operating profit</t>
  </si>
  <si>
    <t xml:space="preserve">Customer acquisition cost (CAC)</t>
  </si>
  <si>
    <t xml:space="preserve">Annual contribution per customer</t>
  </si>
  <si>
    <t xml:space="preserve">Units per customer per year</t>
  </si>
  <si>
    <t xml:space="preserve">Customer lifetime (years, max 10)</t>
  </si>
  <si>
    <t xml:space="preserve">Retention (share kept each year)</t>
  </si>
  <si>
    <t xml:space="preserve">Lifetime value (LTV)</t>
  </si>
  <si>
    <t xml:space="preserve">Discount rate</t>
  </si>
  <si>
    <t xml:space="preserve">LTV / CAC</t>
  </si>
  <si>
    <t xml:space="preserve">Service margin per customer per year</t>
  </si>
  <si>
    <t xml:space="preserve">CAC payback (months)</t>
  </si>
  <si>
    <t xml:space="preserve">Sensitivity: operating profit when one input moves</t>
  </si>
  <si>
    <t xml:space="preserve">Input</t>
  </si>
  <si>
    <t xml:space="preserve">−10%</t>
  </si>
  <si>
    <t xml:space="preserve">Plan</t>
  </si>
  <si>
    <t xml:space="preserve">+10%</t>
  </si>
  <si>
    <t xml:space="preserve">Price</t>
  </si>
  <si>
    <t xml:space="preserve">Variable cost</t>
  </si>
  <si>
    <t xml:space="preserve">Volume</t>
  </si>
  <si>
    <t xml:space="preserve">Fixed costs</t>
  </si>
  <si>
    <t xml:space="preserve">Resources and Capabilities</t>
  </si>
  <si>
    <t xml:space="preserve">Part 2, step 11. What the firm owns, what it does well, and which capabilities might be core competencies (VRIO tests them next).</t>
  </si>
  <si>
    <t xml:space="preserve">Resources</t>
  </si>
  <si>
    <t xml:space="preserve">Resource</t>
  </si>
  <si>
    <t xml:space="preserve">Type</t>
  </si>
  <si>
    <t xml:space="preserve">Measure or evidence</t>
  </si>
  <si>
    <t xml:space="preserve">R1</t>
  </si>
  <si>
    <t xml:space="preserve">[In-house cell plants]</t>
  </si>
  <si>
    <t xml:space="preserve">tangible</t>
  </si>
  <si>
    <t xml:space="preserve">[GWh of capacity]</t>
  </si>
  <si>
    <t xml:space="preserve">R2</t>
  </si>
  <si>
    <t xml:space="preserve">[Brand in home market]</t>
  </si>
  <si>
    <t xml:space="preserve">intangible</t>
  </si>
  <si>
    <t xml:space="preserve">[NPS / share]</t>
  </si>
  <si>
    <t xml:space="preserve">Capabilities</t>
  </si>
  <si>
    <t xml:space="preserve">Capability</t>
  </si>
  <si>
    <t xml:space="preserve">Combines (resources)</t>
  </si>
  <si>
    <t xml:space="preserve">Performance evidence</t>
  </si>
  <si>
    <t xml:space="preserve">From activity</t>
  </si>
  <si>
    <t xml:space="preserve">Class</t>
  </si>
  <si>
    <t xml:space="preserve">C1</t>
  </si>
  <si>
    <t xml:space="preserve">[Vertical battery integration]</t>
  </si>
  <si>
    <t xml:space="preserve">[cost per kWh below peers]</t>
  </si>
  <si>
    <t xml:space="preserve">distinctive</t>
  </si>
  <si>
    <t xml:space="preserve">Core competencies (Prahalad and Hamel: customer benefit, hard to imitate, extendable)</t>
  </si>
  <si>
    <t xml:space="preserve">Customer benefit (KSF)</t>
  </si>
  <si>
    <t xml:space="preserve">Hard to imitate because</t>
  </si>
  <si>
    <t xml:space="preserve">Extends to</t>
  </si>
  <si>
    <t xml:space="preserve">Status</t>
  </si>
  <si>
    <t xml:space="preserve">Counts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</si>
  <si>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</si>
  <si>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</si>
  <si>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</si>
  <si>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Valuable?</t>
  </si>
  <si>
    <t xml:space="preserve">Rare?</t>
  </si>
  <si>
    <t xml:space="preserve">Inimitable?</t>
  </si>
  <si>
    <t xml:space="preserve">Organized?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</si>
  <si>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</si>
  <si>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</si>
  <si>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</si>
  <si>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</si>
  <si>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Blade-cell battery know-how</t>
  </si>
  <si>
    <t xml:space="preserve">capability</t>
  </si>
  <si>
    <t xml:space="preserve">Example: patents and cost lead in filings</t>
  </si>
  <si>
    <t xml:space="preserve">Full Potential (Exhibit K-1)</t>
  </si>
  <si>
    <t xml:space="preserve">Part 2, step 14. The profit gap to a benchmark, driver by driver, applied in sequence so overlaps count once. A ceiling, not a forecast. Matches full_potential.py.</t>
  </si>
  <si>
    <t xml:space="preserve">Driver</t>
  </si>
  <si>
    <t xml:space="preserve">Today</t>
  </si>
  <si>
    <t xml:space="preserve">Benchmark</t>
  </si>
  <si>
    <t xml:space="preserve">Benchmark source</t>
  </si>
  <si>
    <t xml:space="preserve">Controllability</t>
  </si>
  <si>
    <t xml:space="preserve">Value after step</t>
  </si>
  <si>
    <t xml:space="preserve">Gap captured</t>
  </si>
  <si>
    <t xml:space="preserve">peer median</t>
  </si>
  <si>
    <t xml:space="preserve">controllable</t>
  </si>
  <si>
    <t xml:space="preserve">Mix premium per unit</t>
  </si>
  <si>
    <t xml:space="preserve">Operating profit today</t>
  </si>
  <si>
    <t xml:space="preserve">Full-potential operating profit</t>
  </si>
  <si>
    <t xml:space="preserve">Uplift</t>
  </si>
  <si>
    <t xml:space="preserve">Largest gap</t>
  </si>
  <si>
    <t xml:space="preserve">Growth Barriers (Exhibit K-2)</t>
  </si>
  <si>
    <t xml:space="preserve">Part 2, step 15. Which constraint binds growth now? Exactly one should be binding; lifting it is what unlocks the next stage.</t>
  </si>
  <si>
    <t xml:space="preserve">Barrier</t>
  </si>
  <si>
    <t xml:space="preserve">What lifting it unlocks</t>
  </si>
  <si>
    <t xml:space="preserve">Demand: enough customers want it</t>
  </si>
  <si>
    <t xml:space="preserve">slack</t>
  </si>
  <si>
    <t xml:space="preserve">Supply / capacity</t>
  </si>
  <si>
    <t xml:space="preserve">Capability / talent</t>
  </si>
  <si>
    <t xml:space="preserve">Capital / funding</t>
  </si>
  <si>
    <t xml:space="preserve">tight</t>
  </si>
  <si>
    <t xml:space="preserve">Distribution / market access</t>
  </si>
  <si>
    <t xml:space="preserve">binding</t>
  </si>
  <si>
    <t xml:space="preserve">Regulation / licences</t>
  </si>
  <si>
    <t xml:space="preserve">Binding constraint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</si>
  <si>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</si>
  <si>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</si>
  <si>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</si>
  <si>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</si>
  <si>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</si>
  <si>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</si>
  <si>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Lowest battery cost in the peer set</t>
  </si>
  <si>
    <t xml:space="preserve">VRIO: C1</t>
  </si>
  <si>
    <t xml:space="preserve">W1</t>
  </si>
  <si>
    <t xml:space="preserve">No dealer network in Europe</t>
  </si>
  <si>
    <t xml:space="preserve">Value chain: A6</t>
  </si>
  <si>
    <t xml:space="preserve">S2</t>
  </si>
  <si>
    <t xml:space="preserve">W2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</si>
  <si>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</si>
  <si>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</si>
  <si>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</si>
  <si>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</si>
  <si>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</si>
  <si>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</si>
  <si>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</si>
  <si>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</si>
  <si>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</si>
  <si>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</si>
  <si>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</si>
  <si>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EU fleet electrification mandates</t>
  </si>
  <si>
    <t xml:space="preserve">PESTEL: P7</t>
  </si>
  <si>
    <t xml:space="preserve">EU tariffs on imported EVs</t>
  </si>
  <si>
    <t xml:space="preserve">PESTEL: P2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</si>
  <si>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</si>
  <si>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</si>
  <si>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</si>
  <si>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</si>
  <si>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</si>
  <si>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Cell</t>
  </si>
  <si>
    <t xml:space="preserve">TOWS strategic option</t>
  </si>
  <si>
    <t xml:space="preserve">Pairs (e.g. S1 × O1)</t>
  </si>
  <si>
    <t xml:space="preserve">SO</t>
  </si>
  <si>
    <t xml:space="preserve">Use the battery cost lead to price fleet vans below diesel TCO</t>
  </si>
  <si>
    <t xml:space="preserve">S1 × O1</t>
  </si>
  <si>
    <t xml:space="preserve">Positioning (Strategy Interview)</t>
  </si>
  <si>
    <t xml:space="preserve">Part 3, step 17. The strategy you chose, in your words, and the four fit tests. The workbook records; it never chooses.</t>
  </si>
  <si>
    <t xml:space="preserve">Generic strategy</t>
  </si>
  <si>
    <t xml:space="preserve">[your choice]</t>
  </si>
  <si>
    <t xml:space="preserve">Target customers</t>
  </si>
  <si>
    <t xml:space="preserve">Source of advantage</t>
  </si>
  <si>
    <t xml:space="preserve">Why now</t>
  </si>
  <si>
    <t xml:space="preserve">What we will not do</t>
  </si>
  <si>
    <t xml:space="preserve">Positioning statement (your words)</t>
  </si>
  <si>
    <t xml:space="preserve">Fit test</t>
  </si>
  <si>
    <t xml:space="preserve">Market fit</t>
  </si>
  <si>
    <t xml:space="preserve">Is there demand where you are aiming (maps, segments, trends)?</t>
  </si>
  <si>
    <t xml:space="preserve">Competitive fit</t>
  </si>
  <si>
    <t xml:space="preserve">Can you hold the position against the rivals near it?</t>
  </si>
  <si>
    <t xml:space="preserve">Capability fit</t>
  </si>
  <si>
    <t xml:space="preserve">Do VRIO and the capability stamps support it?</t>
  </si>
  <si>
    <t xml:space="preserve">Economic fit</t>
  </si>
  <si>
    <t xml:space="preserve">Do unit economics and the business case work?</t>
  </si>
  <si>
    <t xml:space="preserve">Management fit</t>
  </si>
  <si>
    <t xml:space="preserve">Does it fit the goals and limits from your management interview?</t>
  </si>
  <si>
    <t xml:space="preserve">Fit summary</t>
  </si>
  <si>
    <t xml:space="preserve">Strategic Options (Exhibit P)</t>
  </si>
  <si>
    <t xml:space="preserve">Part 3, step 18. Frame the decision, then three or more distinct options plus do nothing, each with a staged first step and a gate.</t>
  </si>
  <si>
    <t xml:space="preserve">Situation</t>
  </si>
  <si>
    <t xml:space="preserve">Complication</t>
  </si>
  <si>
    <t xml:space="preserve">Option</t>
  </si>
  <si>
    <t xml:space="preserve">Route</t>
  </si>
  <si>
    <t xml:space="preserve">Exploits (TOWS ids)</t>
  </si>
  <si>
    <t xml:space="preserve">Staged first step</t>
  </si>
  <si>
    <t xml:space="preserve">Gate to the next stage</t>
  </si>
  <si>
    <t xml:space="preserve">Suggested?</t>
  </si>
  <si>
    <t xml:space="preserve">O-A</t>
  </si>
  <si>
    <t xml:space="preserve">[Build an EU plant]</t>
  </si>
  <si>
    <t xml:space="preserve">build</t>
  </si>
  <si>
    <t xml:space="preserve">ST1</t>
  </si>
  <si>
    <t xml:space="preserve">[pilot line first]</t>
  </si>
  <si>
    <t xml:space="preserve">[orders &gt; X by Q4]</t>
  </si>
  <si>
    <t xml:space="preserve">O-0</t>
  </si>
  <si>
    <t xml:space="preserve">Do nothing</t>
  </si>
  <si>
    <t xml:space="preserve">do nothing</t>
  </si>
  <si>
    <t xml:space="preserve">Checks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</si>
  <si>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</si>
  <si>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</si>
  <si>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</si>
  <si>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</si>
  <si>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A. Build in-house</t>
  </si>
  <si>
    <t xml:space="preserve">B. Partner for cells</t>
  </si>
  <si>
    <t xml:space="preserve">C. Reposition</t>
  </si>
  <si>
    <t xml:space="preserve">0. Do nothing</t>
  </si>
  <si>
    <t xml:space="preserve">Option 5</t>
  </si>
  <si>
    <t xml:space="preserve">Fits the 2029 profit goal</t>
  </si>
  <si>
    <t xml:space="preserve">Exhibit B, goal 1</t>
  </si>
  <si>
    <t xml:space="preserve">The matrix ranks; it does not choose. The recommendation is yours.</t>
  </si>
  <si>
    <t xml:space="preserve">One option. Year 0 is the investment year. Working capital is released in the final year. Money in $.</t>
  </si>
  <si>
    <t xml:space="preserve">Assumptions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</si>
  <si>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</si>
  <si>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</si>
  <si>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</si>
  <si>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</si>
  <si>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</si>
  <si>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</si>
  <si>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</si>
  <si>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</si>
  <si>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</si>
  <si>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</si>
  <si>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</si>
  <si>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</si>
  <si>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</si>
  <si>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</si>
  <si>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</si>
  <si>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</si>
  <si>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</si>
  <si>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</si>
  <si>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</si>
  <si>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</si>
  <si>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</si>
  <si>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</si>
  <si>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</si>
  <si>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Probabilities as percentages that sum to 100% per option; NPV in $M. Follows the course handout 'Choosing Among Strategic Alternatives'.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</si>
  <si>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</si>
  <si>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</si>
  <si>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</si>
  <si>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</si>
  <si>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</si>
  <si>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</si>
  <si>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</si>
  <si>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</si>
  <si>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</si>
  <si>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</si>
  <si>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A. Move upmarket</t>
  </si>
  <si>
    <t xml:space="preserve">B. Cut costs</t>
  </si>
  <si>
    <t xml:space="preserve">C. Do nothing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</si>
  <si>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</si>
  <si>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</si>
  <si>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</si>
  <si>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</si>
  <si>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</si>
  <si>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</si>
  <si>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</si>
  <si>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</si>
  <si>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</si>
  <si>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</si>
  <si>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</si>
  <si>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</si>
  <si>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</si>
  <si>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</si>
  <si>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</si>
  <si>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</si>
  <si>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</si>
  <si>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</si>
  <si>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</si>
  <si>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</si>
  <si>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</si>
  <si>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</si>
  <si>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</si>
  <si>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</si>
  <si>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</si>
  <si>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</si>
  <si>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</si>
  <si>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</si>
  <si>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</si>
  <si>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</si>
  <si>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</si>
  <si>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</si>
  <si>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</si>
  <si>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</si>
  <si>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</si>
  <si>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</si>
  <si>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</si>
  <si>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</si>
  <si>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</si>
  <si>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</si>
  <si>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</si>
  <si>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</si>
  <si>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</si>
  <si>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</si>
  <si>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</si>
  <si>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</si>
  <si>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</si>
  <si>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</si>
  <si>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</si>
  <si>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</si>
  <si>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</si>
  <si>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</si>
  <si>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</si>
  <si>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</si>
  <si>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</si>
  <si>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</si>
  <si>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</si>
  <si>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</si>
  <si>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</si>
  <si>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</si>
  <si>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</si>
  <si>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</si>
  <si>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</si>
  <si>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</si>
  <si>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</si>
  <si>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</si>
  <si>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</si>
  <si>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</si>
  <si>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</si>
  <si>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</si>
  <si>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</si>
  <si>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</si>
  <si>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</si>
  <si>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</si>
  <si>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</si>
  <si>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</si>
  <si>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</si>
  <si>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</si>
  <si>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</si>
  <si>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</si>
  <si>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</si>
  <si>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</si>
  <si>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</si>
  <si>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</si>
  <si>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</si>
  <si>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</si>
  <si>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</si>
  <si>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</si>
  <si>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</si>
  <si>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</si>
  <si>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</si>
  <si>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Pricing (optional)</t>
  </si>
  <si>
    <t xml:space="preserve">Part 3. Only when price is a lever. Test price points against the volume you expect at each; the sheet finds the profit-maximising point inside the acceptable range.</t>
  </si>
  <si>
    <t xml:space="preserve">Acceptable range: low</t>
  </si>
  <si>
    <t xml:space="preserve">Acceptable range: high</t>
  </si>
  <si>
    <t xml:space="preserve">Price point</t>
  </si>
  <si>
    <t xml:space="preserve">Expected volume</t>
  </si>
  <si>
    <t xml:space="preserve">In range?</t>
  </si>
  <si>
    <t xml:space="preserve">Best price in range</t>
  </si>
  <si>
    <t xml:space="preserve">Profit there</t>
  </si>
  <si>
    <t xml:space="preserve">Stress Test (Exhibit R)</t>
  </si>
  <si>
    <t xml:space="preserve">Part 3, step 22. Attack the leading option before anyone plans: the assumptions it rests on, how rivals respond, and a risk register with owners and triggers.</t>
  </si>
  <si>
    <t xml:space="preserve">Assumption audit</t>
  </si>
  <si>
    <t xml:space="preserve">Assumption</t>
  </si>
  <si>
    <t xml:space="preserve">Value used</t>
  </si>
  <si>
    <t xml:space="preserve">Break-even value</t>
  </si>
  <si>
    <t xml:space="preserve">Headroom</t>
  </si>
  <si>
    <t xml:space="preserve">Danger zone?</t>
  </si>
  <si>
    <t xml:space="preserve">[Units in year 3]</t>
  </si>
  <si>
    <t xml:space="preserve">[source]</t>
  </si>
  <si>
    <t xml:space="preserve">Competitor war-game</t>
  </si>
  <si>
    <t xml:space="preserve">Rival</t>
  </si>
  <si>
    <t xml:space="preserve">Most likely response</t>
  </si>
  <si>
    <t xml:space="preserve">Effect on us</t>
  </si>
  <si>
    <t xml:space="preserve">Our counter</t>
  </si>
  <si>
    <t xml:space="preserve">Risk register</t>
  </si>
  <si>
    <t xml:space="preserve">Likelihood (1-5)</t>
  </si>
  <si>
    <t xml:space="preserve">Impact (1-5)</t>
  </si>
  <si>
    <t xml:space="preserve">Score</t>
  </si>
  <si>
    <t xml:space="preserve">Rating</t>
  </si>
  <si>
    <t xml:space="preserve">Owner</t>
  </si>
  <si>
    <t xml:space="preserve">Mitigation</t>
  </si>
  <si>
    <t xml:space="preserve">Early-warning trigger</t>
  </si>
  <si>
    <t xml:space="preserve">[Price war in the target segment]</t>
  </si>
  <si>
    <t xml:space="preserve">[CMO]</t>
  </si>
  <si>
    <t xml:space="preserve">[hold price; add value]</t>
  </si>
  <si>
    <t xml:space="preserve">[rival cuts &gt; 5%]</t>
  </si>
  <si>
    <t xml:space="preserve">High risks without an owner</t>
  </si>
  <si>
    <t xml:space="preserve">Go-to-Market (Exhibit T)</t>
  </si>
  <si>
    <t xml:space="preserve">Part 3, step 23. One named beachhead, the funnel worked back to spend and CAC, and launch gates. CAC must fit the unit economics.</t>
  </si>
  <si>
    <t xml:space="preserve">Beachhead segment</t>
  </si>
  <si>
    <t xml:space="preserve">Ideal customer profile</t>
  </si>
  <si>
    <t xml:space="preserve">Value proposition</t>
  </si>
  <si>
    <t xml:space="preserve">Channel</t>
  </si>
  <si>
    <t xml:space="preserve">Spend</t>
  </si>
  <si>
    <t xml:space="preserve">Reach</t>
  </si>
  <si>
    <t xml:space="preserve">Lead rate</t>
  </si>
  <si>
    <t xml:space="preserve">Close rate</t>
  </si>
  <si>
    <t xml:space="preserve">Leads</t>
  </si>
  <si>
    <t xml:space="preserve">Customers</t>
  </si>
  <si>
    <t xml:space="preserve">CAC</t>
  </si>
  <si>
    <t xml:space="preserve">CAC vs LTV</t>
  </si>
  <si>
    <t xml:space="preserve">[Dealer partners]</t>
  </si>
  <si>
    <t xml:space="preserve">[Online direct]</t>
  </si>
  <si>
    <t xml:space="preserve">Blended</t>
  </si>
  <si>
    <t xml:space="preserve">Launch phases and gates</t>
  </si>
  <si>
    <t xml:space="preserve">Phase</t>
  </si>
  <si>
    <t xml:space="preserve">When</t>
  </si>
  <si>
    <t xml:space="preserve">Goal</t>
  </si>
  <si>
    <t xml:space="preserve">Gate to the next phase</t>
  </si>
  <si>
    <t xml:space="preserve">Initiative Prioritizer (Exhibit S)</t>
  </si>
  <si>
    <t xml:space="preserve">Part 3, step 24. RICE score = reach × impact × confidence ÷ effort. The binding constraint goes first; every initiative traces to a finding.</t>
  </si>
  <si>
    <t xml:space="preserve">Initiative</t>
  </si>
  <si>
    <t xml:space="preserve">Traces to</t>
  </si>
  <si>
    <t xml:space="preserve">Impact (0.25-3)</t>
  </si>
  <si>
    <t xml:space="preserve">Confidence</t>
  </si>
  <si>
    <t xml:space="preserve">Effort (person-months)</t>
  </si>
  <si>
    <t xml:space="preserve">RICE</t>
  </si>
  <si>
    <t xml:space="preserve">Depends on</t>
  </si>
  <si>
    <t xml:space="preserve">I1</t>
  </si>
  <si>
    <t xml:space="preserve">[Secure dealer partners in Germany]</t>
  </si>
  <si>
    <t xml:space="preserve">GB:access</t>
  </si>
  <si>
    <t xml:space="preserve">I2</t>
  </si>
  <si>
    <t xml:space="preserve">[Cut cell cost 8%]</t>
  </si>
  <si>
    <t xml:space="preserve">Initiatives with nothing to trace to</t>
  </si>
  <si>
    <t xml:space="preserve">Operating Model and Stakeholders</t>
  </si>
  <si>
    <t xml:space="preserve">Part 3, steps 25-26. Who decides what (RAPID), and who must say yes: power and interest place each stakeholder in a quadrant.</t>
  </si>
  <si>
    <t xml:space="preserve">Decision rights (RAPID)</t>
  </si>
  <si>
    <t xml:space="preserve">Decision</t>
  </si>
  <si>
    <t xml:space="preserve">Recommend</t>
  </si>
  <si>
    <t xml:space="preserve">Agree</t>
  </si>
  <si>
    <t xml:space="preserve">Perform</t>
  </si>
  <si>
    <t xml:space="preserve">Decide</t>
  </si>
  <si>
    <t xml:space="preserve">[Enter Germany]</t>
  </si>
  <si>
    <t xml:space="preserve">[Strategy lead]</t>
  </si>
  <si>
    <t xml:space="preserve">[CFO]</t>
  </si>
  <si>
    <t xml:space="preserve">[EU GM]</t>
  </si>
  <si>
    <t xml:space="preserve">[Sales, Legal]</t>
  </si>
  <si>
    <t xml:space="preserve">[CEO]</t>
  </si>
  <si>
    <t xml:space="preserve">Stakeholder map</t>
  </si>
  <si>
    <t xml:space="preserve">Stakeholder</t>
  </si>
  <si>
    <t xml:space="preserve">Power (1-5)</t>
  </si>
  <si>
    <t xml:space="preserve">Interest (1-5)</t>
  </si>
  <si>
    <t xml:space="preserve">Stance (−2..+2)</t>
  </si>
  <si>
    <t xml:space="preserve">Quadrant</t>
  </si>
  <si>
    <t xml:space="preserve">Action</t>
  </si>
  <si>
    <t xml:space="preserve">[EU regulators]</t>
  </si>
  <si>
    <t xml:space="preserve">[early dialogue]</t>
  </si>
  <si>
    <t xml:space="preserve">[Dealer groups]</t>
  </si>
  <si>
    <t xml:space="preserve">[co-design terms]</t>
  </si>
  <si>
    <t xml:space="preserve">Execution Roadmap (Exhibit S)</t>
  </si>
  <si>
    <t xml:space="preserve">Part 3, step 27. The first 100 days by workstream (the bars fill in from the start and end weeks), milestones and stage gates.</t>
  </si>
  <si>
    <t xml:space="preserve">Workstream / action</t>
  </si>
  <si>
    <t xml:space="preserve">Start wk</t>
  </si>
  <si>
    <t xml:space="preserve">End wk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</si>
  <si>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</si>
  <si>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</si>
  <si>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</si>
  <si>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</si>
  <si>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</si>
  <si>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</si>
  <si>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</si>
  <si>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</si>
  <si>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</si>
  <si>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</si>
  <si>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</si>
  <si>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</si>
  <si>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</si>
  <si>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</si>
  <si>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</si>
  <si>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[Sign two dealer groups]</t>
  </si>
  <si>
    <t xml:space="preserve">[Pilot line ready]</t>
  </si>
  <si>
    <t xml:space="preserve">[COO]</t>
  </si>
  <si>
    <t xml:space="preserve">Milestones</t>
  </si>
  <si>
    <t xml:space="preserve">Milestone</t>
  </si>
  <si>
    <t xml:space="preserve">Date</t>
  </si>
  <si>
    <t xml:space="preserve">KPI</t>
  </si>
  <si>
    <t xml:space="preserve">Stage gates (go / no-go)</t>
  </si>
  <si>
    <t xml:space="preserve">Gate</t>
  </si>
  <si>
    <t xml:space="preserve">Criteria to pass</t>
  </si>
  <si>
    <t xml:space="preserve">Evidence we will use</t>
  </si>
  <si>
    <t xml:space="preserve">Decision date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</si>
  <si>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</si>
  <si>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</si>
  <si>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</si>
  <si>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</si>
  <si>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</si>
  <si>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</si>
  <si>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Actual</t>
  </si>
  <si>
    <t xml:space="preserve">% of target</t>
  </si>
  <si>
    <t xml:space="preserve">Financial</t>
  </si>
  <si>
    <t xml:space="preserve">Grow operating profit to full potential</t>
  </si>
  <si>
    <t xml:space="preserve">Contribution per car ($)</t>
  </si>
  <si>
    <t xml:space="preserve">Lagging</t>
  </si>
  <si>
    <t xml:space="preserve">Higher</t>
  </si>
  <si>
    <t xml:space="preserve">CFO</t>
  </si>
  <si>
    <t xml:space="preserve">I2 Close variable-cost gap</t>
  </si>
  <si>
    <t xml:space="preserve">Internal process</t>
  </si>
  <si>
    <t xml:space="preserve">Secure a second qualified cell supplier</t>
  </si>
  <si>
    <t xml:space="preserve">Supplier qualification pass rate</t>
  </si>
  <si>
    <t xml:space="preserve">Leading</t>
  </si>
  <si>
    <t xml:space="preserve">VP Quality</t>
  </si>
  <si>
    <t xml:space="preserve">I1 Second cell supplier</t>
  </si>
  <si>
    <t xml:space="preserve">Growth Barriers: supply</t>
  </si>
  <si>
    <t xml:space="preserve">Balance check</t>
  </si>
  <si>
    <t xml:space="preserve">Customer</t>
  </si>
  <si>
    <t xml:space="preserve">Learning and growth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</si>
  <si>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</si>
  <si>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</si>
  <si>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</si>
  <si>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</si>
  <si>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</si>
  <si>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</si>
  <si>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F1</t>
  </si>
  <si>
    <t xml:space="preserve">Win the beachhead: urban fleets</t>
  </si>
  <si>
    <t xml:space="preserve">L1</t>
  </si>
  <si>
    <t xml:space="preserve">Supplier-quality engineering capability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</si>
  <si>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</si>
  <si>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</si>
  <si>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</si>
  <si>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</si>
  <si>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</si>
  <si>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</si>
  <si>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</si>
  <si>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</si>
  <si>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A</t>
  </si>
  <si>
    <t xml:space="preserve">Camera</t>
  </si>
  <si>
    <t xml:space="preserve">B</t>
  </si>
  <si>
    <t xml:space="preserve">C</t>
  </si>
  <si>
    <t xml:space="preserve">D</t>
  </si>
  <si>
    <t xml:space="preserve">E</t>
  </si>
  <si>
    <t xml:space="preserve">Industry averages (share-weighted)</t>
  </si>
  <si>
    <t xml:space="preserve">P/Q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</si>
  <si>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</si>
  <si>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</si>
  <si>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</si>
  <si>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</si>
  <si>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</si>
  <si>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</si>
  <si>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</si>
  <si>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</si>
  <si>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</si>
  <si>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</si>
  <si>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</si>
  <si>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</si>
  <si>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</si>
  <si>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</si>
  <si>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</si>
  <si>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</si>
  <si>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</si>
  <si>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</si>
  <si>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</si>
  <si>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Best-cost</t>
  </si>
  <si>
    <t xml:space="preserve">strategy.drone</t>
  </si>
  <si>
    <t xml:space="preserve">Strategy (Drones)</t>
  </si>
  <si>
    <t xml:space="preserve">Focused differentiation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</si>
  <si>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</si>
  <si>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</si>
  <si>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</si>
  <si>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</si>
  <si>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</si>
  <si>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</si>
  <si>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</si>
  <si>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</si>
  <si>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</si>
  <si>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</si>
  <si>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</si>
  <si>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</si>
  <si>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</si>
  <si>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</si>
  <si>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</si>
  <si>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</si>
  <si>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</si>
  <si>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</si>
  <si>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</si>
  <si>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</si>
  <si>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</si>
  <si>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</si>
  <si>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</si>
  <si>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</si>
  <si>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</si>
  <si>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</si>
  <si>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</si>
  <si>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</si>
  <si>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</si>
  <si>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</si>
  <si>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</si>
  <si>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</si>
  <si>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</si>
  <si>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</si>
  <si>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</si>
  <si>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</si>
  <si>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</si>
  <si>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</si>
  <si>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</si>
  <si>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</si>
  <si>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</si>
  <si>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</si>
  <si>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</si>
  <si>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</si>
  <si>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</si>
  <si>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</si>
  <si>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</si>
  <si>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</si>
  <si>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</si>
  <si>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</si>
  <si>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</si>
  <si>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</si>
  <si>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</si>
  <si>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</si>
  <si>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</si>
  <si>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</si>
  <si>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</si>
  <si>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</si>
  <si>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</si>
  <si>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</si>
  <si>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</si>
  <si>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</si>
  <si>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</si>
  <si>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</si>
  <si>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</si>
  <si>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</si>
  <si>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</si>
  <si>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</si>
  <si>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</si>
  <si>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</si>
  <si>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</si>
  <si>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</si>
  <si>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</si>
  <si>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</si>
  <si>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</si>
  <si>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</si>
  <si>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</si>
  <si>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</si>
  <si>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</si>
  <si>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</si>
  <si>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</si>
  <si>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</si>
  <si>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</si>
  <si>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</si>
  <si>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</si>
  <si>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</si>
  <si>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</si>
  <si>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</si>
  <si>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</si>
  <si>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</si>
  <si>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</si>
  <si>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</si>
  <si>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</si>
  <si>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</si>
  <si>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</si>
  <si>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</si>
  <si>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</si>
  <si>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</si>
  <si>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</si>
  <si>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</si>
  <si>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</si>
  <si>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</si>
  <si>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</si>
  <si>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</si>
  <si>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</si>
  <si>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</si>
  <si>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</si>
  <si>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</si>
  <si>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</si>
  <si>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</si>
  <si>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</si>
  <si>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</si>
  <si>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Finance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</si>
  <si>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</si>
  <si>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</si>
  <si>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</si>
  <si>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</si>
  <si>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</si>
  <si>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</si>
  <si>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</si>
  <si>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</si>
  <si>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</si>
  <si>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</si>
  <si>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</si>
  <si>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</si>
  <si>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</si>
  <si>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</si>
  <si>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</si>
  <si>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</si>
  <si>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</si>
  <si>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</si>
  <si>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</si>
  <si>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</si>
  <si>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</si>
  <si>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</si>
  <si>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</si>
  <si>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</si>
  <si>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</si>
  <si>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</si>
  <si>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</si>
  <si>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</si>
  <si>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</si>
  <si>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</si>
  <si>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</si>
  <si>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</si>
  <si>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</si>
  <si>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</si>
  <si>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</si>
  <si>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</si>
  <si>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season by year</t>
  </si>
  <si>
    <t xml:space="preserve">Every decision and result, one pair of columns per year: the value, then the change from the year before (▲ up, ▼ down; green = better, red = worse). The first three columns stay put as you scroll right. Rebuild after each round to add the new year.</t>
  </si>
  <si>
    <t xml:space="preserve">Decision or result</t>
  </si>
  <si>
    <t xml:space="preserve">Change</t>
  </si>
  <si>
    <t xml:space="preserve">DECISIONS ENTERED  (from your captures; planned values in grey italics where nothing was captured)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</si>
  <si>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</si>
  <si>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</si>
  <si>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</si>
  <si>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</si>
  <si>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</si>
  <si>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A-</t>
  </si>
  <si>
    <t xml:space="preserve">BBB+</t>
  </si>
  <si>
    <t xml:space="preserve">BBB</t>
  </si>
  <si>
    <t xml:space="preserve">BBB-</t>
  </si>
  <si>
    <t xml:space="preserve">BB+</t>
  </si>
  <si>
    <t xml:space="preserve">BB</t>
  </si>
  <si>
    <t xml:space="preserve">BB-</t>
  </si>
  <si>
    <t xml:space="preserve">B+</t>
  </si>
  <si>
    <t xml:space="preserve">B-</t>
  </si>
  <si>
    <t xml:space="preserve">CCC+</t>
  </si>
  <si>
    <t xml:space="preserve">CCC</t>
  </si>
  <si>
    <t xml:space="preserve">CCC-</t>
  </si>
  <si>
    <t xml:space="preserve">CC</t>
  </si>
  <si>
    <t xml:space="preserve">RESULTS  (from your captures: the scorecard, company and product reports)</t>
  </si>
  <si>
    <t xml:space="preserve">Scored KPIs</t>
  </si>
  <si>
    <t xml:space="preserve">EPS: investor expectation</t>
  </si>
  <si>
    <t xml:space="preserve">ROE</t>
  </si>
  <si>
    <t xml:space="preserve">ROE: investor expectation</t>
  </si>
  <si>
    <t xml:space="preserve">Stock price</t>
  </si>
  <si>
    <t xml:space="preserve">Stock price: investor expectation</t>
  </si>
  <si>
    <t xml:space="preserve">Credit rating: investor expectation</t>
  </si>
  <si>
    <t xml:space="preserve">Credit rating score (AAA = 21)</t>
  </si>
  <si>
    <t xml:space="preserve">Image rating</t>
  </si>
  <si>
    <t xml:space="preserve">Image rating: investor expectation</t>
  </si>
  <si>
    <t xml:space="preserve">Overall score</t>
  </si>
  <si>
    <t xml:space="preserve">Rank in the industry</t>
  </si>
  <si>
    <t xml:space="preserve">Net revenues ($000s)</t>
  </si>
  <si>
    <t xml:space="preserve">Net profit ($000s)</t>
  </si>
  <si>
    <t xml:space="preserve">Ending cash ($000s)</t>
  </si>
  <si>
    <t xml:space="preserve">Cameras</t>
  </si>
  <si>
    <t xml:space="preserve">Cameras: units sold (000s)</t>
  </si>
  <si>
    <t xml:space="preserve">Cameras: average price ($)</t>
  </si>
  <si>
    <t xml:space="preserve">Cameras: industry average price ($)</t>
  </si>
  <si>
    <t xml:space="preserve">Cameras: price vs industry</t>
  </si>
  <si>
    <t xml:space="preserve">Cameras: P/Q rating</t>
  </si>
  <si>
    <t xml:space="preserve">Cameras: industry average P/Q</t>
  </si>
  <si>
    <t xml:space="preserve">Cameras: cost per unit ($)</t>
  </si>
  <si>
    <t xml:space="preserve">Cameras: industry cost per unit ($)</t>
  </si>
  <si>
    <t xml:space="preserve">Cameras: cost per unit vs industry</t>
  </si>
  <si>
    <t xml:space="preserve">Cameras: operating margin</t>
  </si>
  <si>
    <t xml:space="preserve">Cameras: share, North America (%)</t>
  </si>
  <si>
    <t xml:space="preserve">Cameras: share, Europe-Africa (%)</t>
  </si>
  <si>
    <t xml:space="preserve">Cameras: share, Asia-Pacific (%)</t>
  </si>
  <si>
    <t xml:space="preserve">Cameras: share, Latin America (%)</t>
  </si>
  <si>
    <t xml:space="preserve">Cameras: share, average of regions (%)</t>
  </si>
  <si>
    <t xml:space="preserve">Drones</t>
  </si>
  <si>
    <t xml:space="preserve">Drones: units sold (000s)</t>
  </si>
  <si>
    <t xml:space="preserve">Drones: average price ($)</t>
  </si>
  <si>
    <t xml:space="preserve">Drones: industry average price ($)</t>
  </si>
  <si>
    <t xml:space="preserve">Drones: price vs industry</t>
  </si>
  <si>
    <t xml:space="preserve">Drones: P/Q rating</t>
  </si>
  <si>
    <t xml:space="preserve">Drones: industry average P/Q</t>
  </si>
  <si>
    <t xml:space="preserve">Drones: cost per unit ($)</t>
  </si>
  <si>
    <t xml:space="preserve">Drones: industry cost per unit ($)</t>
  </si>
  <si>
    <t xml:space="preserve">Drones: cost per unit vs industry</t>
  </si>
  <si>
    <t xml:space="preserve">Drones: operating margin</t>
  </si>
  <si>
    <t xml:space="preserve">Drones: share, North America (%)</t>
  </si>
  <si>
    <t xml:space="preserve">Drones: share, Europe-Africa (%)</t>
  </si>
  <si>
    <t xml:space="preserve">Drones: share, Asia-Pacific (%)</t>
  </si>
  <si>
    <t xml:space="preserve">Drones: share, Latin America (%)</t>
  </si>
  <si>
    <t xml:space="preserve">Drones: share, average of regions (%)</t>
  </si>
  <si>
    <t xml:space="preserve">Competition by year</t>
  </si>
  <si>
    <t xml:space="preserve">Every company on the measures that decide the contest, from the class-wide reports only (scoreboard and Competitive Intelligence Report). Each year: the value, then the change (▲ ▼). Your row is highlighted; the last row of each block is your rank on that measure.</t>
  </si>
  <si>
    <t xml:space="preserve">Company A</t>
  </si>
  <si>
    <t xml:space="preserve">Company B</t>
  </si>
  <si>
    <t xml:space="preserve">Company C  (you)</t>
  </si>
  <si>
    <t xml:space="preserve">Company D</t>
  </si>
  <si>
    <t xml:space="preserve">Company E</t>
  </si>
  <si>
    <t xml:space="preserve">Company F</t>
  </si>
  <si>
    <t xml:space="preserve">Company G</t>
  </si>
  <si>
    <t xml:space="preserve">Company H</t>
  </si>
  <si>
    <t xml:space="preserve">Industry average</t>
  </si>
  <si>
    <t xml:space="preserve">Your rank on this measure</t>
  </si>
  <si>
    <t xml:space="preserve">EPS ($)</t>
  </si>
  <si>
    <t xml:space="preserve">Cameras: price ($)</t>
  </si>
  <si>
    <t xml:space="preserve">Cameras: P/Q</t>
  </si>
  <si>
    <t xml:space="preserve">Cameras: market share (%)</t>
  </si>
  <si>
    <t xml:space="preserve">Key performance indicators</t>
  </si>
  <si>
    <t xml:space="preserve">Charts update from Season by Year and Competition by Year for the years captured so far; rebuild the workbook after each round to add the new year. The chart data below the charts is formulas; do not type over it.</t>
  </si>
  <si>
    <t xml:space="preserve">Chart data (formulas)</t>
  </si>
  <si>
    <t xml:space="preserve">Series</t>
  </si>
  <si>
    <t xml:space="preserve">Y6</t>
  </si>
  <si>
    <t xml:space="preserve">Y7</t>
  </si>
  <si>
    <t xml:space="preserve">Y8</t>
  </si>
  <si>
    <t xml:space="preserve">EPS expectation</t>
  </si>
  <si>
    <t xml:space="preserve">ROE expectation</t>
  </si>
  <si>
    <t xml:space="preserve">Stock price expectation</t>
  </si>
  <si>
    <t xml:space="preserve">Image rating expectation</t>
  </si>
  <si>
    <t xml:space="preserve">Cameras: share (%)</t>
  </si>
  <si>
    <t xml:space="preserve">Drones: share (%)</t>
  </si>
  <si>
    <t xml:space="preserve">Cameras: cost per unit</t>
  </si>
  <si>
    <t xml:space="preserve">Cameras: industry cost per unit</t>
  </si>
  <si>
    <t xml:space="preserve">Drones: cost per unit</t>
  </si>
  <si>
    <t xml:space="preserve">Drones: industry cost per unit</t>
  </si>
  <si>
    <t xml:space="preserve">Cameras: cost vs industry</t>
  </si>
  <si>
    <t xml:space="preserve">Drones: cost vs industry</t>
  </si>
  <si>
    <t xml:space="preserve">Company C (you)</t>
  </si>
  <si>
    <t xml:space="preserve">Findings and questions to consider</t>
  </si>
  <si>
    <t xml:space="preserve">One row per finding, watch item or question, year by year. Rows from the weekly report are filled in; add your own. The 'Our response' column is the team's.</t>
  </si>
  <si>
    <t xml:space="preserve">What we see</t>
  </si>
  <si>
    <t xml:space="preserve">General lesson</t>
  </si>
  <si>
    <t xml:space="preserve">Our response or decision</t>
  </si>
  <si>
    <t xml:space="preserve">Watch item</t>
  </si>
  <si>
    <t xml:space="preserve">The position your inputs show differs from the strategy you chose</t>
  </si>
  <si>
    <t xml:space="preserve">Chose differentiation; price +3.5% and P/Q +0.2 stars look like best-cost</t>
  </si>
  <si>
    <t xml:space="preserve">Teams that drift between positions usually pay for both and get credit for neither.</t>
  </si>
  <si>
    <t xml:space="preserve">Open</t>
  </si>
  <si>
    <t xml:space="preserve">Question to consider</t>
  </si>
  <si>
    <t xml:space="preserve">Which input did you change most this year, and did the result move the way the projections said?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</si>
</sst>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\+0.0%;\-0.0%;0.0%"/>
    <numFmt numFmtId="170" formatCode="0.0"/>
    <numFmt numFmtId="171" formatCode="0%"/>
    <numFmt numFmtId="172" formatCode="0.00"/>
    <numFmt numFmtId="173" formatCode="\+0%;\-0%;0%"/>
    <numFmt numFmtId="174" formatCode="\$#,##0"/>
    <numFmt numFmtId="175" formatCode="\$#,##0;&quot;($&quot;#,##0\)"/>
    <numFmt numFmtId="176" formatCode="#,##0;\(#,##0\)"/>
    <numFmt numFmtId="177" formatCode="\$#,##0;&quot;($&quot;#,##0\);\-"/>
    <numFmt numFmtId="178" formatCode="\$#,##0,,\M"/>
    <numFmt numFmtId="179" formatCode="General"/>
    <numFmt numFmtId="180" formatCode="#,##0.##"/>
    <numFmt numFmtId="181" formatCode="\+0;\-0;0"/>
    <numFmt numFmtId="182" formatCode="#,##0.00"/>
    <numFmt numFmtId="183" formatCode="\$#,##0.00"/>
    <numFmt numFmtId="184" formatCode="&quot;▲ &quot;0.0;&quot;▼ &quot;0.0;\–"/>
    <numFmt numFmtId="185" formatCode="&quot;▲ &quot;0;&quot;▼ &quot;0;\–"/>
    <numFmt numFmtId="186" formatCode="&quot;▲ &quot;#,##0;&quot;▼ &quot;#,##0;\–"/>
    <numFmt numFmtId="187" formatCode="&quot;▲ $&quot;#,##0.00;&quot;▼ $&quot;#,##0.00;\–"/>
    <numFmt numFmtId="188" formatCode="&quot;▲ &quot;0.0%;&quot;▼ &quot;0.0%;\–"/>
    <numFmt numFmtId="189" formatCode="&quot;▲ $&quot;#,##0;&quot;▼ $&quot;#,##0;\–"/>
    <numFmt numFmtId="190" formatCode="\$0.00"/>
    <numFmt numFmtId="191" formatCode="&quot;▲ $&quot;0.00;&quot;▼ $&quot;0.00;\–"/>
    <numFmt numFmtId="192" formatCode="\$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9A55C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D3557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BBBBBB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5F6B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3F1EC"/>
      </patternFill>
    </fill>
    <fill>
      <patternFill patternType="solid">
        <fgColor rgb="FF1D3557"/>
        <bgColor rgb="FF264653"/>
      </patternFill>
    </fill>
    <fill>
      <patternFill patternType="solid">
        <fgColor rgb="FFEEF2F7"/>
        <bgColor rgb="FFF3F1EC"/>
      </patternFill>
    </fill>
    <fill>
      <patternFill patternType="solid">
        <fgColor rgb="FFF3F1EC"/>
        <bgColor rgb="FFEEF2F7"/>
      </patternFill>
    </fill>
    <fill>
      <patternFill patternType="solid">
        <fgColor rgb="FFFBE9C9"/>
        <bgColor rgb="FFFFF0C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 diagonalUp="false" diagonalDown="false">
      <left style="thin">
        <color rgb="FFC8CDD3"/>
      </left>
      <right/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8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9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  <dxf>
      <fill>
        <patternFill>
          <bgColor rgb="FFC9A55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6C757D"/>
      <rgbColor rgb="FFBBBBBB"/>
      <rgbColor rgb="FF878787"/>
      <rgbColor rgb="FF888888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D8F0DF"/>
      <rgbColor rgb="FFFFF0C2"/>
      <rgbColor rgb="FFA8DADC"/>
      <rgbColor rgb="FFFBE9C9"/>
      <rgbColor rgb="FFD9D9D9"/>
      <rgbColor rgb="FFF8D7D3"/>
      <rgbColor rgb="FF457B9D"/>
      <rgbColor rgb="FF33CCCC"/>
      <rgbColor rgb="FF99CC00"/>
      <rgbColor rgb="FFFFCC00"/>
      <rgbColor rgb="FFFF9900"/>
      <rgbColor rgb="FFFF6600"/>
      <rgbColor rgb="FF5F6B76"/>
      <rgbColor rgb="FF999999"/>
      <rgbColor rgb="FF1D3557"/>
      <rgbColor rgb="FF2D936C"/>
      <rgbColor rgb="FF003300"/>
      <rgbColor rgb="FF333300"/>
      <rgbColor rgb="FF993300"/>
      <rgbColor rgb="FF8D6A9F"/>
      <rgbColor rgb="FF555555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Strategic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'Strategic Mapping'!$A$9</c:f>
              <c:strCache>
                <c:ptCount val="1"/>
                <c:pt idx="0">
                  <c:v>[Firm A]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Mapping'!$B$9</c:f>
              <c:numCache>
                <c:formatCode>0.0</c:formatCode>
                <c:ptCount val="1"/>
                <c:pt idx="0">
                  <c:v>3</c:v>
                </c:pt>
              </c:numCache>
            </c:numRef>
          </c:xVal>
          <c:yVal>
            <c:numRef>
              <c:f>'Strategic Mapping'!$C$9</c:f>
              <c:numCache>
                <c:formatCode>0.0</c:formatCode>
                <c:ptCount val="1"/>
                <c:pt idx="0">
                  <c:v>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'Strategic Mapping'!$A$10</c:f>
              <c:strCache>
                <c:ptCount val="1"/>
                <c:pt idx="0">
                  <c:v>[Firm B]</c:v>
                </c:pt>
              </c:strCache>
            </c:strRef>
          </c:tx>
          <c:spPr>
            <a:solidFill>
              <a:srgbClr val="c9a55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9a55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Mapping'!$B$10</c:f>
              <c:numCache>
                <c:formatCode>0.0</c:formatCode>
                <c:ptCount val="1"/>
                <c:pt idx="0">
                  <c:v>8</c:v>
                </c:pt>
              </c:numCache>
            </c:numRef>
          </c:xVal>
          <c:yVal>
            <c:numRef>
              <c:f>'Strategic Mapping'!$C$10</c:f>
              <c:numCache>
                <c:formatCode>0.0</c:formatCode>
                <c:ptCount val="1"/>
                <c:pt idx="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'Strategic Mapping'!$A$11</c:f>
              <c:strCache>
                <c:ptCount val="1"/>
                <c:pt idx="0">
                  <c:v>[Firm C]</c:v>
                </c:pt>
              </c:strCache>
            </c:strRef>
          </c:tx>
          <c:spPr>
            <a:solidFill>
              <a:srgbClr val="2d936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d936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Mapping'!$B$11</c:f>
              <c:numCache>
                <c:formatCode>0.0</c:formatCode>
                <c:ptCount val="1"/>
                <c:pt idx="0">
                  <c:v>5</c:v>
                </c:pt>
              </c:numCache>
            </c:numRef>
          </c:xVal>
          <c:yVal>
            <c:numRef>
              <c:f>'Strategic Mapping'!$C$11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'Strategic Mapping'!$A$12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44536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4453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Mapping'!$B$12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Mapping'!$C$12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4"/>
          <c:order val="4"/>
          <c:tx>
            <c:strRef>
              <c:f>'Strategic Mapping'!$A$13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57b9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457b9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Mapping'!$B$13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Mapping'!$C$13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5"/>
          <c:order val="5"/>
          <c:tx>
            <c:strRef>
              <c:f>'Strategic Mapping'!$A$14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d6a9f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8d6a9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Mapping'!$B$14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Mapping'!$C$14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6"/>
          <c:order val="6"/>
          <c:tx>
            <c:strRef>
              <c:f>'Strategic Mapping'!$A$15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c757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6c757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Mapping'!$B$15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Mapping'!$C$15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7"/>
          <c:order val="7"/>
          <c:tx>
            <c:strRef>
              <c:f>'Strategic Mapping'!$A$16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5651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b565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Mapping'!$B$16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Mapping'!$C$16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8"/>
          <c:order val="8"/>
          <c:tx>
            <c:strRef>
              <c:f>'Strategic Mapping'!$A$17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8dad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a8d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Mapping'!$B$17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Mapping'!$C$17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9"/>
          <c:order val="9"/>
          <c:tx>
            <c:strRef>
              <c:f>'Strategic Mapping'!$A$18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64653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6465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Mapping'!$B$18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Mapping'!$C$18</c:f>
              <c:numCache>
                <c:formatCode>General</c:formatCode>
                <c:ptCount val="1"/>
              </c:numCache>
            </c:numRef>
          </c:yVal>
          <c:smooth val="1"/>
        </c:ser>
        <c:axId val="3306652"/>
        <c:axId val="86272086"/>
      </c:scatterChart>
      <c:valAx>
        <c:axId val="3306652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72086"/>
        <c:crosses val="autoZero"/>
        <c:crossBetween val="midCat"/>
      </c:valAx>
      <c:valAx>
        <c:axId val="86272086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66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gap captured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'Full Potential'!G5</c:f>
              <c:strCache>
                <c:ptCount val="1"/>
                <c:pt idx="0">
                  <c:v>Gap captured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Potential'!$A$6:$A$10</c:f>
              <c:strCache>
                <c:ptCount val="5"/>
                <c:pt idx="0">
                  <c:v>Price per unit</c:v>
                </c:pt>
                <c:pt idx="1">
                  <c:v>Mix premium per unit</c:v>
                </c:pt>
                <c:pt idx="2">
                  <c:v>Volume</c:v>
                </c:pt>
                <c:pt idx="3">
                  <c:v>Variable cost per unit</c:v>
                </c:pt>
                <c:pt idx="4">
                  <c:v>Fixed costs</c:v>
                </c:pt>
              </c:strCache>
            </c:strRef>
          </c:cat>
          <c:val>
            <c:numRef>
              <c:f>'Full Potential'!$G$6:$G$10</c:f>
              <c:numCache>
                <c:formatCode>#,##0;\(#,##0\)</c:formatCode>
                <c:ptCount val="5"/>
                <c:pt idx="0">
                  <c:v>600000000</c:v>
                </c:pt>
                <c:pt idx="1">
                  <c:v>240000000</c:v>
                </c:pt>
                <c:pt idx="2">
                  <c:v>528000000</c:v>
                </c:pt>
                <c:pt idx="3">
                  <c:v>540000000</c:v>
                </c:pt>
                <c:pt idx="4">
                  <c:v>100000000</c:v>
                </c:pt>
              </c:numCache>
            </c:numRef>
          </c:val>
        </c:ser>
        <c:gapWidth val="150"/>
        <c:overlap val="0"/>
        <c:axId val="8588037"/>
        <c:axId val="48059853"/>
      </c:barChart>
      <c:catAx>
        <c:axId val="85880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59853"/>
        <c:crosses val="autoZero"/>
        <c:auto val="1"/>
        <c:lblAlgn val="ctr"/>
        <c:lblOffset val="100"/>
        <c:noMultiLvlLbl val="0"/>
      </c:catAx>
      <c:valAx>
        <c:axId val="48059853"/>
        <c:scaling>
          <c:orientation val="minMax"/>
        </c:scaling>
        <c:delete val="0"/>
        <c:axPos val="l"/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80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Analysis'!$E$32:$E$37</c:f>
              <c:numCache>
                <c:formatCode>\$#,##0;"($"#,##0\);\-</c:formatCode>
                <c:ptCount val="6"/>
                <c:pt idx="0">
                  <c:v>-834245036.019646</c:v>
                </c:pt>
                <c:pt idx="1">
                  <c:v>-747122088.978025</c:v>
                </c:pt>
                <c:pt idx="2">
                  <c:v>234520205.152405</c:v>
                </c:pt>
                <c:pt idx="3">
                  <c:v>113815809.898728</c:v>
                </c:pt>
                <c:pt idx="4">
                  <c:v>141203349.272976</c:v>
                </c:pt>
                <c:pt idx="5">
                  <c:v>53904987.8609884</c:v>
                </c:pt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Analysis'!$F$32:$F$37</c:f>
              <c:numCache>
                <c:formatCode>\$#,##0;"($"#,##0\);\-</c:formatCode>
                <c:ptCount val="6"/>
                <c:pt idx="0">
                  <c:v>417122518.009823</c:v>
                </c:pt>
                <c:pt idx="1">
                  <c:v>373561044.489013</c:v>
                </c:pt>
                <c:pt idx="2">
                  <c:v>-469040410.30481</c:v>
                </c:pt>
                <c:pt idx="3">
                  <c:v>-569079049.493639</c:v>
                </c:pt>
                <c:pt idx="4">
                  <c:v>-188918183.002911</c:v>
                </c:pt>
                <c:pt idx="5">
                  <c:v>-80857481.791482</c:v>
                </c:pt>
              </c:numCache>
            </c:numRef>
          </c:val>
        </c:ser>
        <c:gapWidth val="150"/>
        <c:overlap val="100"/>
        <c:axId val="77745956"/>
        <c:axId val="32409684"/>
      </c:barChart>
      <c:catAx>
        <c:axId val="777459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09684"/>
        <c:crosses val="autoZero"/>
        <c:auto val="1"/>
        <c:lblAlgn val="ctr"/>
        <c:lblOffset val="100"/>
        <c:noMultiLvlLbl val="0"/>
      </c:catAx>
      <c:valAx>
        <c:axId val="32409684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459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-$1,578M</c:v>
                </c:pt>
                <c:pt idx="1">
                  <c:v>-$1,456M</c:v>
                </c:pt>
                <c:pt idx="2">
                  <c:v>-$1,335M</c:v>
                </c:pt>
                <c:pt idx="3">
                  <c:v>-$1,213M</c:v>
                </c:pt>
                <c:pt idx="4">
                  <c:v>-$1,091M</c:v>
                </c:pt>
                <c:pt idx="5">
                  <c:v>-$969M</c:v>
                </c:pt>
                <c:pt idx="6">
                  <c:v>-$847M</c:v>
                </c:pt>
                <c:pt idx="7">
                  <c:v>-$726M</c:v>
                </c:pt>
                <c:pt idx="8">
                  <c:v>-$604M</c:v>
                </c:pt>
                <c:pt idx="9">
                  <c:v>-$482M</c:v>
                </c:pt>
                <c:pt idx="10">
                  <c:v>-$360M</c:v>
                </c:pt>
                <c:pt idx="11">
                  <c:v>-$238M</c:v>
                </c:pt>
                <c:pt idx="12">
                  <c:v>-$117M</c:v>
                </c:pt>
                <c:pt idx="13">
                  <c:v>$5M</c:v>
                </c:pt>
                <c:pt idx="14">
                  <c:v>$127M</c:v>
                </c:pt>
                <c:pt idx="15">
                  <c:v>$249M</c:v>
                </c:pt>
                <c:pt idx="16">
                  <c:v>$371M</c:v>
                </c:pt>
                <c:pt idx="17">
                  <c:v>$493M</c:v>
                </c:pt>
                <c:pt idx="18">
                  <c:v>$614M</c:v>
                </c:pt>
                <c:pt idx="19">
                  <c:v>$736M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3</c:v>
                </c:pt>
                <c:pt idx="1">
                  <c:v>6</c:v>
                </c:pt>
                <c:pt idx="2">
                  <c:v>14</c:v>
                </c:pt>
                <c:pt idx="3">
                  <c:v>22</c:v>
                </c:pt>
                <c:pt idx="4">
                  <c:v>47</c:v>
                </c:pt>
                <c:pt idx="5">
                  <c:v>59</c:v>
                </c:pt>
                <c:pt idx="6">
                  <c:v>86</c:v>
                </c:pt>
                <c:pt idx="7">
                  <c:v>99</c:v>
                </c:pt>
                <c:pt idx="8">
                  <c:v>113</c:v>
                </c:pt>
                <c:pt idx="9">
                  <c:v>129</c:v>
                </c:pt>
                <c:pt idx="10">
                  <c:v>109</c:v>
                </c:pt>
                <c:pt idx="11">
                  <c:v>99</c:v>
                </c:pt>
                <c:pt idx="12">
                  <c:v>72</c:v>
                </c:pt>
                <c:pt idx="13">
                  <c:v>60</c:v>
                </c:pt>
                <c:pt idx="14">
                  <c:v>48</c:v>
                </c:pt>
                <c:pt idx="15">
                  <c:v>18</c:v>
                </c:pt>
                <c:pt idx="16">
                  <c:v>9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</c:ser>
        <c:gapWidth val="10"/>
        <c:overlap val="0"/>
        <c:axId val="11904576"/>
        <c:axId val="16403619"/>
      </c:barChart>
      <c:catAx>
        <c:axId val="11904576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03619"/>
        <c:crosses val="autoZero"/>
        <c:auto val="1"/>
        <c:lblAlgn val="ctr"/>
        <c:lblOffset val="100"/>
        <c:noMultiLvlLbl val="0"/>
      </c:catAx>
      <c:valAx>
        <c:axId val="1640361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045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and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'Operating Model'!$H$16:$H$25</c:f>
              <c:numCache>
                <c:formatCode>0</c:formatCode>
                <c:ptCount val="10"/>
                <c:pt idx="0">
                  <c:v>3</c:v>
                </c:pt>
                <c:pt idx="1">
                  <c:v>5</c:v>
                </c:pt>
              </c:numCache>
            </c:numRef>
          </c:xVal>
          <c:yVal>
            <c:numRef>
              <c:f>'Operating Model'!$G$16:$G$25</c:f>
              <c:numCache>
                <c:formatCode>0</c:formatCode>
                <c:ptCount val="10"/>
                <c:pt idx="0">
                  <c:v>5</c:v>
                </c:pt>
                <c:pt idx="1">
                  <c:v>3</c:v>
                </c:pt>
              </c:numCache>
            </c:numRef>
          </c:yVal>
          <c:smooth val="1"/>
        </c:ser>
        <c:axId val="30675044"/>
        <c:axId val="49583948"/>
      </c:scatterChart>
      <c:valAx>
        <c:axId val="30675044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83948"/>
        <c:crosses val="autoZero"/>
        <c:crossBetween val="midCat"/>
      </c:valAx>
      <c:valAx>
        <c:axId val="49583948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7504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Charts'!A60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Charts'!$B$60:$D$60</c:f>
              <c:numCache>
                <c:formatCode>\$0.00</c:formatCode>
                <c:ptCount val="3"/>
                <c:pt idx="0">
                  <c:v>1.85</c:v>
                </c:pt>
                <c:pt idx="1">
                  <c:v>2.1</c:v>
                </c:pt>
                <c:pt idx="2">
                  <c:v>2.32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Charts'!A61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Charts'!$B$61:$D$61</c:f>
              <c:numCache>
                <c:formatCode>\$0.00</c:formatCode>
                <c:ptCount val="3"/>
                <c:pt idx="0">
                  <c:v>2</c:v>
                </c:pt>
                <c:pt idx="1">
                  <c:v>2.15</c:v>
                </c:pt>
                <c:pt idx="2">
                  <c:v>2.3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087685"/>
        <c:axId val="86660445"/>
      </c:lineChart>
      <c:catAx>
        <c:axId val="38087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60445"/>
        <c:crosses val="autoZero"/>
        <c:auto val="1"/>
        <c:lblAlgn val="ctr"/>
        <c:lblOffset val="100"/>
        <c:noMultiLvlLbl val="0"/>
      </c:catAx>
      <c:valAx>
        <c:axId val="86660445"/>
        <c:scaling>
          <c:orientation val="minMax"/>
        </c:scaling>
        <c:delete val="0"/>
        <c:axPos val="l"/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876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Charts'!$B$62:$D$62</c:f>
              <c:numCache>
                <c:formatCode>0.0%</c:formatCode>
                <c:ptCount val="3"/>
                <c:pt idx="0">
                  <c:v>0.142</c:v>
                </c:pt>
                <c:pt idx="1">
                  <c:v>0.155</c:v>
                </c:pt>
                <c:pt idx="2">
                  <c:v>0.168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Charts'!A63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Charts'!$B$63:$D$63</c:f>
              <c:numCache>
                <c:formatCode>0.0%</c:formatCode>
                <c:ptCount val="3"/>
                <c:pt idx="0">
                  <c:v>0.15</c:v>
                </c:pt>
                <c:pt idx="1">
                  <c:v>0.155</c:v>
                </c:pt>
                <c:pt idx="2">
                  <c:v>0.16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963437"/>
        <c:axId val="31780714"/>
      </c:lineChart>
      <c:catAx>
        <c:axId val="989634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80714"/>
        <c:crosses val="autoZero"/>
        <c:auto val="1"/>
        <c:lblAlgn val="ctr"/>
        <c:lblOffset val="100"/>
        <c:noMultiLvlLbl val="0"/>
      </c:catAx>
      <c:valAx>
        <c:axId val="3178071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634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Charts'!A64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Charts'!$B$64:$D$64</c:f>
              <c:numCache>
                <c:formatCode>\$0.00</c:formatCode>
                <c:ptCount val="3"/>
                <c:pt idx="0">
                  <c:v>22.4</c:v>
                </c:pt>
                <c:pt idx="1">
                  <c:v>26.1</c:v>
                </c:pt>
                <c:pt idx="2">
                  <c:v>29.5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Charts'!A65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Charts'!$B$65:$D$65</c:f>
              <c:numCache>
                <c:formatCode>\$0.00</c:formatCode>
                <c:ptCount val="3"/>
                <c:pt idx="0">
                  <c:v>25</c:v>
                </c:pt>
                <c:pt idx="1">
                  <c:v>27</c:v>
                </c:pt>
                <c:pt idx="2">
                  <c:v>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592165"/>
        <c:axId val="64593899"/>
      </c:lineChart>
      <c:catAx>
        <c:axId val="90592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93899"/>
        <c:crosses val="autoZero"/>
        <c:auto val="1"/>
        <c:lblAlgn val="ctr"/>
        <c:lblOffset val="100"/>
        <c:noMultiLvlLbl val="0"/>
      </c:catAx>
      <c:valAx>
        <c:axId val="64593899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921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Charts'!A66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Charts'!$B$66:$D$66</c:f>
              <c:numCache>
                <c:formatCode>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Charts'!A67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Charts'!$B$67:$D$67</c:f>
              <c:numCache>
                <c:formatCode>0</c:formatCode>
                <c:ptCount val="3"/>
                <c:pt idx="0">
                  <c:v>70</c:v>
                </c:pt>
                <c:pt idx="1">
                  <c:v>72</c:v>
                </c:pt>
                <c:pt idx="2">
                  <c:v>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680608"/>
        <c:axId val="50227578"/>
      </c:lineChart>
      <c:catAx>
        <c:axId val="676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27578"/>
        <c:crosses val="autoZero"/>
        <c:auto val="1"/>
        <c:lblAlgn val="ctr"/>
        <c:lblOffset val="100"/>
        <c:noMultiLvlLbl val="0"/>
      </c:catAx>
      <c:valAx>
        <c:axId val="5022757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806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 rating score (AAA = 21, 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Charts'!A68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Charts'!$B$68:$D$68</c:f>
              <c:numCache>
                <c:formatCode>0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905489"/>
        <c:axId val="32724014"/>
      </c:lineChart>
      <c:catAx>
        <c:axId val="54905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24014"/>
        <c:crosses val="autoZero"/>
        <c:auto val="1"/>
        <c:lblAlgn val="ctr"/>
        <c:lblOffset val="100"/>
        <c:noMultiLvlLbl val="0"/>
      </c:catAx>
      <c:valAx>
        <c:axId val="3272401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05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score by company (scoreboard)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Charts'!A85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Charts'!$B$85:$D$85</c:f>
              <c:numCache>
                <c:formatCode>0</c:formatCode>
                <c:ptCount val="3"/>
                <c:pt idx="0">
                  <c:v>80</c:v>
                </c:pt>
                <c:pt idx="1">
                  <c:v>79</c:v>
                </c:pt>
                <c:pt idx="2">
                  <c:v>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Charts'!A86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Charts'!$B$86:$D$86</c:f>
              <c:numCache>
                <c:formatCode>0</c:formatCode>
                <c:ptCount val="3"/>
                <c:pt idx="0">
                  <c:v>72</c:v>
                </c:pt>
                <c:pt idx="1">
                  <c:v>73</c:v>
                </c:pt>
                <c:pt idx="2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Charts'!A87</c:f>
              <c:strCache>
                <c:ptCount val="1"/>
                <c:pt idx="0">
                  <c:v>Company C (you)</c:v>
                </c:pt>
              </c:strCache>
            </c:strRef>
          </c:tx>
          <c:spPr>
            <a:solidFill>
              <a:srgbClr val="c9a55c"/>
            </a:solidFill>
            <a:ln w="381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Charts'!$B$87:$D$87</c:f>
              <c:numCache>
                <c:formatCode>0</c:formatCode>
                <c:ptCount val="3"/>
                <c:pt idx="0">
                  <c:v>78</c:v>
                </c:pt>
                <c:pt idx="1">
                  <c:v>84</c:v>
                </c:pt>
                <c:pt idx="2">
                  <c:v>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Charts'!A88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Charts'!$B$88:$D$88</c:f>
              <c:numCache>
                <c:formatCode>0</c:formatCode>
                <c:ptCount val="3"/>
                <c:pt idx="0">
                  <c:v>85</c:v>
                </c:pt>
                <c:pt idx="1">
                  <c:v>86</c:v>
                </c:pt>
                <c:pt idx="2">
                  <c:v>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'KPI Charts'!A89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2196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Charts'!$B$89:$D$89</c:f>
              <c:numCache>
                <c:formatCode>0</c:formatCode>
                <c:ptCount val="3"/>
                <c:pt idx="0">
                  <c:v>70</c:v>
                </c:pt>
                <c:pt idx="1">
                  <c:v>72</c:v>
                </c:pt>
                <c:pt idx="2">
                  <c:v>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'KPI Charts'!A90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2196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Charts'!$B$90:$D$90</c:f>
              <c:numCache>
                <c:formatCode>0</c:formatCode>
                <c:ptCount val="3"/>
                <c:pt idx="0">
                  <c:v>75</c:v>
                </c:pt>
                <c:pt idx="1">
                  <c:v>75</c:v>
                </c:pt>
                <c:pt idx="2">
                  <c:v>81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'KPI Charts'!A91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6c757d"/>
            </a:solidFill>
            <a:ln w="2196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Charts'!$B$91:$D$91</c:f>
              <c:numCache>
                <c:formatCode>0</c:formatCode>
                <c:ptCount val="3"/>
                <c:pt idx="0">
                  <c:v>82</c:v>
                </c:pt>
                <c:pt idx="1">
                  <c:v>86</c:v>
                </c:pt>
                <c:pt idx="2">
                  <c:v>92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'KPI Charts'!A92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2196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Charts'!$B$92:$D$92</c:f>
              <c:numCache>
                <c:formatCode>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626595"/>
        <c:axId val="23227535"/>
      </c:lineChart>
      <c:catAx>
        <c:axId val="12626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7535"/>
        <c:crosses val="autoZero"/>
        <c:auto val="1"/>
        <c:lblAlgn val="ctr"/>
        <c:lblOffset val="100"/>
        <c:noMultiLvlLbl val="0"/>
      </c:catAx>
      <c:valAx>
        <c:axId val="23227535"/>
        <c:scaling>
          <c:orientation val="minMax"/>
          <c:max val="100"/>
          <c:min val="55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265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Your rank (1 = 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Charts'!A70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Charts'!$B$70:$D$70</c:f>
              <c:numCache>
                <c:formatCode>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21049"/>
        <c:axId val="98077428"/>
      </c:lineChart>
      <c:catAx>
        <c:axId val="3721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77428"/>
        <c:crosses val="autoZero"/>
        <c:auto val="1"/>
        <c:lblAlgn val="ctr"/>
        <c:lblOffset val="100"/>
        <c:noMultiLvlLbl val="0"/>
      </c:catAx>
      <c:valAx>
        <c:axId val="98077428"/>
        <c:scaling>
          <c:orientation val="maxMin"/>
          <c:min val="1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10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Charts'!A73</c:f>
              <c:strCache>
                <c:ptCount val="1"/>
                <c:pt idx="0">
                  <c:v>Cameras: share (%)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Charts'!$B$73:$D$73</c:f>
              <c:numCache>
                <c:formatCode>0.0</c:formatCode>
                <c:ptCount val="3"/>
                <c:pt idx="0">
                  <c:v>12.225</c:v>
                </c:pt>
                <c:pt idx="1">
                  <c:v>12.975</c:v>
                </c:pt>
                <c:pt idx="2">
                  <c:v>13.575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Charts'!A74</c:f>
              <c:strCache>
                <c:ptCount val="1"/>
                <c:pt idx="0">
                  <c:v>Drones: share (%)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Charts'!$B$74:$D$74</c:f>
              <c:numCache>
                <c:formatCode>0.0</c:formatCode>
                <c:ptCount val="3"/>
                <c:pt idx="0">
                  <c:v>11.975</c:v>
                </c:pt>
                <c:pt idx="1">
                  <c:v>12.55</c:v>
                </c:pt>
                <c:pt idx="2">
                  <c:v>13.125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221343"/>
        <c:axId val="11282445"/>
      </c:lineChart>
      <c:catAx>
        <c:axId val="322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2445"/>
        <c:crosses val="autoZero"/>
        <c:auto val="1"/>
        <c:lblAlgn val="ctr"/>
        <c:lblOffset val="100"/>
        <c:noMultiLvlLbl val="0"/>
      </c:catAx>
      <c:valAx>
        <c:axId val="1128244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213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Charts'!A75</c:f>
              <c:strCache>
                <c:ptCount val="1"/>
                <c:pt idx="0">
                  <c:v>Cameras: cost per unit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Charts'!$B$75:$D$75</c:f>
              <c:numCache>
                <c:formatCode>\$#,##0</c:formatCode>
                <c:ptCount val="3"/>
                <c:pt idx="0">
                  <c:v>182</c:v>
                </c:pt>
                <c:pt idx="1">
                  <c:v>176</c:v>
                </c:pt>
                <c:pt idx="2">
                  <c:v>171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Charts'!A76</c:f>
              <c:strCache>
                <c:ptCount val="1"/>
                <c:pt idx="0">
                  <c:v>Cameras: industry cost per unit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Charts'!$B$76:$D$76</c:f>
              <c:numCache>
                <c:formatCode>\$#,##0</c:formatCode>
                <c:ptCount val="3"/>
                <c:pt idx="0">
                  <c:v>186</c:v>
                </c:pt>
                <c:pt idx="1">
                  <c:v>184</c:v>
                </c:pt>
                <c:pt idx="2">
                  <c:v>181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Charts'!A77</c:f>
              <c:strCache>
                <c:ptCount val="1"/>
                <c:pt idx="0">
                  <c:v>Drones: cost per unit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Charts'!$B$77:$D$77</c:f>
              <c:numCache>
                <c:formatCode>\$#,##0</c:formatCode>
                <c:ptCount val="3"/>
                <c:pt idx="0">
                  <c:v>905</c:v>
                </c:pt>
                <c:pt idx="1">
                  <c:v>884</c:v>
                </c:pt>
                <c:pt idx="2">
                  <c:v>870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Charts'!A78</c:f>
              <c:strCache>
                <c:ptCount val="1"/>
                <c:pt idx="0">
                  <c:v>Drones: industry cost per unit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Charts'!$B$78:$D$78</c:f>
              <c:numCache>
                <c:formatCode>\$#,##0</c:formatCode>
                <c:ptCount val="3"/>
                <c:pt idx="0">
                  <c:v>890</c:v>
                </c:pt>
                <c:pt idx="1">
                  <c:v>879</c:v>
                </c:pt>
                <c:pt idx="2">
                  <c:v>871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710698"/>
        <c:axId val="24031861"/>
      </c:lineChart>
      <c:catAx>
        <c:axId val="15710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31861"/>
        <c:crosses val="autoZero"/>
        <c:auto val="1"/>
        <c:lblAlgn val="ctr"/>
        <c:lblOffset val="100"/>
        <c:noMultiLvlLbl val="0"/>
      </c:catAx>
      <c:valAx>
        <c:axId val="24031861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106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Position vs industry: price and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Charts'!A79</c:f>
              <c:strCache>
                <c:ptCount val="1"/>
                <c:pt idx="0">
                  <c:v>Cameras: price vs industry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Charts'!$B$79:$D$79</c:f>
              <c:numCache>
                <c:formatCode>\+0.0%;\-0.0%;0.0%</c:formatCode>
                <c:ptCount val="3"/>
                <c:pt idx="0">
                  <c:v>-0.0434782608695652</c:v>
                </c:pt>
                <c:pt idx="1">
                  <c:v>-0.044280442804428</c:v>
                </c:pt>
                <c:pt idx="2">
                  <c:v>-0.0485074626865671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Charts'!A80</c:f>
              <c:strCache>
                <c:ptCount val="1"/>
                <c:pt idx="0">
                  <c:v>Cameras: cost vs industry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Charts'!$B$80:$D$80</c:f>
              <c:numCache>
                <c:formatCode>\+0.0%;\-0.0%;0.0%</c:formatCode>
                <c:ptCount val="3"/>
                <c:pt idx="0">
                  <c:v>-0.021505376344086</c:v>
                </c:pt>
                <c:pt idx="1">
                  <c:v>-0.0434782608695652</c:v>
                </c:pt>
                <c:pt idx="2">
                  <c:v>-0.0552486187845304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Charts'!A81</c:f>
              <c:strCache>
                <c:ptCount val="1"/>
                <c:pt idx="0">
                  <c:v>Drones: price vs industry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Charts'!$B$81:$D$81</c:f>
              <c:numCache>
                <c:formatCode>\+0.0%;\-0.0%;0.0%</c:formatCode>
                <c:ptCount val="3"/>
                <c:pt idx="0">
                  <c:v>0.0351464435146442</c:v>
                </c:pt>
                <c:pt idx="1">
                  <c:v>0.0345117845117846</c:v>
                </c:pt>
                <c:pt idx="2">
                  <c:v>0.0321761219305674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Charts'!A82</c:f>
              <c:strCache>
                <c:ptCount val="1"/>
                <c:pt idx="0">
                  <c:v>Drones: cost vs industry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Charts'!$B$82:$D$82</c:f>
              <c:numCache>
                <c:formatCode>\+0.0%;\-0.0%;0.0%</c:formatCode>
                <c:ptCount val="3"/>
                <c:pt idx="0">
                  <c:v>0.0168539325842696</c:v>
                </c:pt>
                <c:pt idx="1">
                  <c:v>0.00568828213879402</c:v>
                </c:pt>
                <c:pt idx="2">
                  <c:v>-0.00114810562571754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23841"/>
        <c:axId val="6722785"/>
      </c:lineChart>
      <c:catAx>
        <c:axId val="59723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785"/>
        <c:crosses val="autoZero"/>
        <c:auto val="1"/>
        <c:lblAlgn val="ctr"/>
        <c:lblOffset val="100"/>
        <c:noMultiLvlLbl val="0"/>
      </c:catAx>
      <c:valAx>
        <c:axId val="672278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238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Charts'!A71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Charts'!$B$71:$D$71</c:f>
              <c:numCache>
                <c:formatCode>#,##0</c:formatCode>
                <c:ptCount val="3"/>
                <c:pt idx="0">
                  <c:v>412000</c:v>
                </c:pt>
                <c:pt idx="1">
                  <c:v>455000</c:v>
                </c:pt>
                <c:pt idx="2">
                  <c:v>498000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Charts'!A72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Charts'!$B$72:$D$72</c:f>
              <c:numCache>
                <c:formatCode>#,##0</c:formatCode>
                <c:ptCount val="3"/>
                <c:pt idx="0">
                  <c:v>18500</c:v>
                </c:pt>
                <c:pt idx="1">
                  <c:v>21900</c:v>
                </c:pt>
                <c:pt idx="2">
                  <c:v>24800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737042"/>
        <c:axId val="92548203"/>
      </c:lineChart>
      <c:catAx>
        <c:axId val="87737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48203"/>
        <c:crosses val="autoZero"/>
        <c:auto val="1"/>
        <c:lblAlgn val="ctr"/>
        <c:lblOffset val="100"/>
        <c:noMultiLvlLbl val="0"/>
      </c:catAx>
      <c:valAx>
        <c:axId val="9254820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370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Charts'!A83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Charts'!$B$83:$D$83</c:f>
              <c:numCache>
                <c:formatCode>0.0%</c:formatCode>
                <c:ptCount val="3"/>
                <c:pt idx="0">
                  <c:v>0.11</c:v>
                </c:pt>
                <c:pt idx="1">
                  <c:v>0.125</c:v>
                </c:pt>
                <c:pt idx="2">
                  <c:v>0.135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Charts'!A84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Charts'!$B$59:$D$59</c:f>
              <c:strCache>
                <c:ptCount val="3"/>
                <c:pt idx="0">
                  <c:v>Y6</c:v>
                </c:pt>
                <c:pt idx="1">
                  <c:v>Y7</c:v>
                </c:pt>
                <c:pt idx="2">
                  <c:v>Y8</c:v>
                </c:pt>
              </c:strCache>
            </c:strRef>
          </c:cat>
          <c:val>
            <c:numRef>
              <c:f>'KPI Charts'!$B$84:$D$84</c:f>
              <c:numCache>
                <c:formatCode>0.0%</c:formatCode>
                <c:ptCount val="3"/>
                <c:pt idx="0">
                  <c:v>0.09</c:v>
                </c:pt>
                <c:pt idx="1">
                  <c:v>0.105</c:v>
                </c:pt>
                <c:pt idx="2">
                  <c:v>0.112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520862"/>
        <c:axId val="39985890"/>
      </c:lineChart>
      <c:catAx>
        <c:axId val="99520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85890"/>
        <c:crosses val="autoZero"/>
        <c:auto val="1"/>
        <c:lblAlgn val="ctr"/>
        <c:lblOffset val="100"/>
        <c:noMultiLvlLbl val="0"/>
      </c:catAx>
      <c:valAx>
        <c:axId val="3998589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20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<Relationship Id="rId1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7</xdr:col>
      <xdr:colOff>1374480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343560" y="762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18360</xdr:rowOff>
    </xdr:from>
    <xdr:to>
      <xdr:col>3</xdr:col>
      <xdr:colOff>1155240</xdr:colOff>
      <xdr:row>29</xdr:row>
      <xdr:rowOff>61560</xdr:rowOff>
    </xdr:to>
    <xdr:graphicFrame>
      <xdr:nvGraphicFramePr>
        <xdr:cNvPr id="1" name="Chart 1"/>
        <xdr:cNvGraphicFramePr/>
      </xdr:nvGraphicFramePr>
      <xdr:xfrm>
        <a:off x="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36</xdr:row>
      <xdr:rowOff>186840</xdr:rowOff>
    </xdr:to>
    <xdr:graphicFrame>
      <xdr:nvGraphicFramePr>
        <xdr:cNvPr id="2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48</xdr:row>
      <xdr:rowOff>129600</xdr:rowOff>
    </xdr:from>
    <xdr:to>
      <xdr:col>9</xdr:col>
      <xdr:colOff>747360</xdr:colOff>
      <xdr:row>57</xdr:row>
      <xdr:rowOff>249840</xdr:rowOff>
    </xdr:to>
    <xdr:graphicFrame>
      <xdr:nvGraphicFramePr>
        <xdr:cNvPr id="3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3</xdr:col>
      <xdr:colOff>231480</xdr:colOff>
      <xdr:row>41</xdr:row>
      <xdr:rowOff>153000</xdr:rowOff>
    </xdr:to>
    <xdr:graphicFrame>
      <xdr:nvGraphicFramePr>
        <xdr:cNvPr id="4" name="Chart 1"/>
        <xdr:cNvGraphicFramePr/>
      </xdr:nvGraphicFramePr>
      <xdr:xfrm>
        <a:off x="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17</xdr:col>
      <xdr:colOff>131040</xdr:colOff>
      <xdr:row>28</xdr:row>
      <xdr:rowOff>92520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8646840" y="762120"/>
          <a:ext cx="6857640" cy="491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3</xdr:col>
      <xdr:colOff>552600</xdr:colOff>
      <xdr:row>16</xdr:row>
      <xdr:rowOff>174240</xdr:rowOff>
    </xdr:to>
    <xdr:graphicFrame>
      <xdr:nvGraphicFramePr>
        <xdr:cNvPr id="6" name="Chart 1"/>
        <xdr:cNvGraphicFramePr/>
      </xdr:nvGraphicFramePr>
      <xdr:xfrm>
        <a:off x="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131040</xdr:rowOff>
    </xdr:from>
    <xdr:to>
      <xdr:col>14</xdr:col>
      <xdr:colOff>219240</xdr:colOff>
      <xdr:row>16</xdr:row>
      <xdr:rowOff>174240</xdr:rowOff>
    </xdr:to>
    <xdr:graphicFrame>
      <xdr:nvGraphicFramePr>
        <xdr:cNvPr id="7" name="Chart 2"/>
        <xdr:cNvGraphicFramePr/>
      </xdr:nvGraphicFramePr>
      <xdr:xfrm>
        <a:off x="655704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3</xdr:col>
      <xdr:colOff>552600</xdr:colOff>
      <xdr:row>31</xdr:row>
      <xdr:rowOff>173880</xdr:rowOff>
    </xdr:to>
    <xdr:graphicFrame>
      <xdr:nvGraphicFramePr>
        <xdr:cNvPr id="8" name="Chart 3"/>
        <xdr:cNvGraphicFramePr/>
      </xdr:nvGraphicFramePr>
      <xdr:xfrm>
        <a:off x="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14</xdr:col>
      <xdr:colOff>219240</xdr:colOff>
      <xdr:row>31</xdr:row>
      <xdr:rowOff>173880</xdr:rowOff>
    </xdr:to>
    <xdr:graphicFrame>
      <xdr:nvGraphicFramePr>
        <xdr:cNvPr id="9" name="Chart 4"/>
        <xdr:cNvGraphicFramePr/>
      </xdr:nvGraphicFramePr>
      <xdr:xfrm>
        <a:off x="655704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3</xdr:col>
      <xdr:colOff>552600</xdr:colOff>
      <xdr:row>46</xdr:row>
      <xdr:rowOff>174240</xdr:rowOff>
    </xdr:to>
    <xdr:graphicFrame>
      <xdr:nvGraphicFramePr>
        <xdr:cNvPr id="10" name="Chart 5"/>
        <xdr:cNvGraphicFramePr/>
      </xdr:nvGraphicFramePr>
      <xdr:xfrm>
        <a:off x="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131040</xdr:rowOff>
    </xdr:from>
    <xdr:to>
      <xdr:col>14</xdr:col>
      <xdr:colOff>219240</xdr:colOff>
      <xdr:row>46</xdr:row>
      <xdr:rowOff>174240</xdr:rowOff>
    </xdr:to>
    <xdr:graphicFrame>
      <xdr:nvGraphicFramePr>
        <xdr:cNvPr id="11" name="Chart 6"/>
        <xdr:cNvGraphicFramePr/>
      </xdr:nvGraphicFramePr>
      <xdr:xfrm>
        <a:off x="655704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48</xdr:row>
      <xdr:rowOff>130680</xdr:rowOff>
    </xdr:from>
    <xdr:to>
      <xdr:col>3</xdr:col>
      <xdr:colOff>552600</xdr:colOff>
      <xdr:row>60</xdr:row>
      <xdr:rowOff>173880</xdr:rowOff>
    </xdr:to>
    <xdr:graphicFrame>
      <xdr:nvGraphicFramePr>
        <xdr:cNvPr id="12" name="Chart 7"/>
        <xdr:cNvGraphicFramePr/>
      </xdr:nvGraphicFramePr>
      <xdr:xfrm>
        <a:off x="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48</xdr:row>
      <xdr:rowOff>130680</xdr:rowOff>
    </xdr:from>
    <xdr:to>
      <xdr:col>14</xdr:col>
      <xdr:colOff>219240</xdr:colOff>
      <xdr:row>60</xdr:row>
      <xdr:rowOff>173880</xdr:rowOff>
    </xdr:to>
    <xdr:graphicFrame>
      <xdr:nvGraphicFramePr>
        <xdr:cNvPr id="13" name="Chart 8"/>
        <xdr:cNvGraphicFramePr/>
      </xdr:nvGraphicFramePr>
      <xdr:xfrm>
        <a:off x="655704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63</xdr:row>
      <xdr:rowOff>131040</xdr:rowOff>
    </xdr:from>
    <xdr:to>
      <xdr:col>3</xdr:col>
      <xdr:colOff>552600</xdr:colOff>
      <xdr:row>76</xdr:row>
      <xdr:rowOff>173880</xdr:rowOff>
    </xdr:to>
    <xdr:graphicFrame>
      <xdr:nvGraphicFramePr>
        <xdr:cNvPr id="14" name="Chart 9"/>
        <xdr:cNvGraphicFramePr/>
      </xdr:nvGraphicFramePr>
      <xdr:xfrm>
        <a:off x="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63</xdr:row>
      <xdr:rowOff>131040</xdr:rowOff>
    </xdr:from>
    <xdr:to>
      <xdr:col>14</xdr:col>
      <xdr:colOff>219240</xdr:colOff>
      <xdr:row>76</xdr:row>
      <xdr:rowOff>173880</xdr:rowOff>
    </xdr:to>
    <xdr:graphicFrame>
      <xdr:nvGraphicFramePr>
        <xdr:cNvPr id="15" name="Chart 10"/>
        <xdr:cNvGraphicFramePr/>
      </xdr:nvGraphicFramePr>
      <xdr:xfrm>
        <a:off x="655704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78</xdr:row>
      <xdr:rowOff>130680</xdr:rowOff>
    </xdr:from>
    <xdr:to>
      <xdr:col>3</xdr:col>
      <xdr:colOff>552600</xdr:colOff>
      <xdr:row>91</xdr:row>
      <xdr:rowOff>173880</xdr:rowOff>
    </xdr:to>
    <xdr:graphicFrame>
      <xdr:nvGraphicFramePr>
        <xdr:cNvPr id="16" name="Chart 11"/>
        <xdr:cNvGraphicFramePr/>
      </xdr:nvGraphicFramePr>
      <xdr:xfrm>
        <a:off x="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0</xdr:colOff>
      <xdr:row>78</xdr:row>
      <xdr:rowOff>130680</xdr:rowOff>
    </xdr:from>
    <xdr:to>
      <xdr:col>14</xdr:col>
      <xdr:colOff>219240</xdr:colOff>
      <xdr:row>91</xdr:row>
      <xdr:rowOff>173880</xdr:rowOff>
    </xdr:to>
    <xdr:graphicFrame>
      <xdr:nvGraphicFramePr>
        <xdr:cNvPr id="17" name="Chart 12"/>
        <xdr:cNvGraphicFramePr/>
      </xdr:nvGraphicFramePr>
      <xdr:xfrm>
        <a:off x="655704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3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5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35.0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6" t="s">
        <v>9</v>
      </c>
      <c r="C9" s="5"/>
    </row>
    <row r="10" customFormat="false" ht="23.85" hidden="false" customHeight="false" outlineLevel="0" collapsed="false">
      <c r="B10" s="4" t="s">
        <v>10</v>
      </c>
      <c r="C10" s="5" t="s">
        <v>11</v>
      </c>
    </row>
    <row r="11" customFormat="false" ht="23.8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  <row r="16" customFormat="false" ht="23.8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6" t="s">
        <v>24</v>
      </c>
      <c r="C17" s="5"/>
    </row>
    <row r="18" customFormat="false" ht="23.85" hidden="false" customHeight="false" outlineLevel="0" collapsed="false">
      <c r="B18" s="4" t="s">
        <v>25</v>
      </c>
      <c r="C18" s="5" t="s">
        <v>26</v>
      </c>
    </row>
    <row r="19" customFormat="false" ht="15" hidden="false" customHeight="false" outlineLevel="0" collapsed="false">
      <c r="B19" s="4" t="s">
        <v>27</v>
      </c>
      <c r="C19" s="5" t="s">
        <v>28</v>
      </c>
    </row>
    <row r="20" customFormat="false" ht="15" hidden="false" customHeight="fals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4" t="s">
        <v>31</v>
      </c>
      <c r="C21" s="5" t="s">
        <v>32</v>
      </c>
    </row>
    <row r="22" customFormat="false" ht="15" hidden="false" customHeight="false" outlineLevel="0" collapsed="false">
      <c r="B22" s="4" t="s">
        <v>33</v>
      </c>
      <c r="C22" s="5" t="s">
        <v>34</v>
      </c>
    </row>
    <row r="23" customFormat="false" ht="15" hidden="false" customHeight="false" outlineLevel="0" collapsed="false">
      <c r="B23" s="4" t="s">
        <v>35</v>
      </c>
      <c r="C23" s="5" t="s">
        <v>36</v>
      </c>
    </row>
    <row r="24" customFormat="false" ht="15" hidden="false" customHeight="false" outlineLevel="0" collapsed="false">
      <c r="B24" s="4" t="s">
        <v>37</v>
      </c>
      <c r="C24" s="5" t="s">
        <v>38</v>
      </c>
    </row>
    <row r="25" customFormat="false" ht="15" hidden="false" customHeight="false" outlineLevel="0" collapsed="false">
      <c r="B25" s="6" t="s">
        <v>39</v>
      </c>
      <c r="C25" s="5"/>
    </row>
    <row r="26" customFormat="false" ht="15" hidden="false" customHeight="false" outlineLevel="0" collapsed="false">
      <c r="B26" s="4" t="s">
        <v>40</v>
      </c>
      <c r="C26" s="5" t="s">
        <v>41</v>
      </c>
    </row>
    <row r="27" customFormat="false" ht="15" hidden="false" customHeight="false" outlineLevel="0" collapsed="false">
      <c r="B27" s="4" t="s">
        <v>42</v>
      </c>
      <c r="C27" s="5" t="s">
        <v>43</v>
      </c>
    </row>
    <row r="28" customFormat="false" ht="15" hidden="false" customHeight="false" outlineLevel="0" collapsed="false">
      <c r="B28" s="4" t="s">
        <v>44</v>
      </c>
      <c r="C28" s="5" t="s">
        <v>45</v>
      </c>
    </row>
    <row r="29" customFormat="false" ht="15" hidden="false" customHeight="false" outlineLevel="0" collapsed="false">
      <c r="B29" s="4" t="s">
        <v>46</v>
      </c>
      <c r="C29" s="5" t="s">
        <v>47</v>
      </c>
    </row>
    <row r="30" customFormat="false" ht="23.85" hidden="false" customHeight="false" outlineLevel="0" collapsed="false">
      <c r="B30" s="4" t="s">
        <v>48</v>
      </c>
      <c r="C30" s="5" t="s">
        <v>49</v>
      </c>
    </row>
    <row r="31" customFormat="false" ht="15" hidden="false" customHeight="false" outlineLevel="0" collapsed="false">
      <c r="B31" s="4" t="s">
        <v>50</v>
      </c>
      <c r="C31" s="5" t="s">
        <v>51</v>
      </c>
    </row>
    <row r="32" customFormat="false" ht="15" hidden="false" customHeight="false" outlineLevel="0" collapsed="false">
      <c r="B32" s="4" t="s">
        <v>52</v>
      </c>
      <c r="C32" s="5" t="s">
        <v>53</v>
      </c>
    </row>
    <row r="33" customFormat="false" ht="15" hidden="false" customHeight="false" outlineLevel="0" collapsed="false">
      <c r="B33" s="4" t="s">
        <v>54</v>
      </c>
      <c r="C33" s="5" t="s">
        <v>55</v>
      </c>
    </row>
    <row r="34" customFormat="false" ht="15" hidden="false" customHeight="false" outlineLevel="0" collapsed="false">
      <c r="B34" s="4" t="s">
        <v>56</v>
      </c>
      <c r="C34" s="5" t="s">
        <v>57</v>
      </c>
    </row>
    <row r="35" customFormat="false" ht="15" hidden="false" customHeight="false" outlineLevel="0" collapsed="false">
      <c r="B35" s="4" t="s">
        <v>58</v>
      </c>
      <c r="C35" s="5" t="s">
        <v>59</v>
      </c>
    </row>
    <row r="36" customFormat="false" ht="15" hidden="false" customHeight="false" outlineLevel="0" collapsed="false">
      <c r="B36" s="4" t="s">
        <v>60</v>
      </c>
      <c r="C36" s="5" t="s">
        <v>61</v>
      </c>
    </row>
    <row r="37" customFormat="false" ht="15" hidden="false" customHeight="false" outlineLevel="0" collapsed="false">
      <c r="B37" s="4" t="s">
        <v>62</v>
      </c>
      <c r="C37" s="5" t="s">
        <v>63</v>
      </c>
    </row>
    <row r="38" customFormat="false" ht="15" hidden="false" customHeight="false" outlineLevel="0" collapsed="false">
      <c r="B38" s="4" t="s">
        <v>64</v>
      </c>
      <c r="C38" s="5" t="s">
        <v>65</v>
      </c>
    </row>
    <row r="39" customFormat="false" ht="15" hidden="false" customHeight="false" outlineLevel="0" collapsed="false">
      <c r="B39" s="4" t="s">
        <v>66</v>
      </c>
      <c r="C39" s="5" t="s">
        <v>67</v>
      </c>
    </row>
    <row r="40" customFormat="false" ht="15" hidden="false" customHeight="false" outlineLevel="0" collapsed="false">
      <c r="B40" s="6" t="s">
        <v>68</v>
      </c>
      <c r="C40" s="5"/>
    </row>
    <row r="41" customFormat="false" ht="15" hidden="false" customHeight="false" outlineLevel="0" collapsed="false">
      <c r="B41" s="4" t="s">
        <v>69</v>
      </c>
      <c r="C41" s="5" t="s">
        <v>70</v>
      </c>
    </row>
    <row r="42" customFormat="false" ht="23.85" hidden="false" customHeight="false" outlineLevel="0" collapsed="false">
      <c r="B42" s="4" t="s">
        <v>71</v>
      </c>
      <c r="C42" s="5" t="s">
        <v>72</v>
      </c>
    </row>
    <row r="43" customFormat="false" ht="23.85" hidden="false" customHeight="false" outlineLevel="0" collapsed="false">
      <c r="B43" s="4" t="s">
        <v>73</v>
      </c>
      <c r="C43" s="5" t="s">
        <v>74</v>
      </c>
    </row>
    <row r="44" customFormat="false" ht="23.85" hidden="false" customHeight="false" outlineLevel="0" collapsed="false">
      <c r="B44" s="4" t="s">
        <v>75</v>
      </c>
      <c r="C44" s="5" t="s">
        <v>76</v>
      </c>
    </row>
    <row r="45" customFormat="false" ht="23.85" hidden="false" customHeight="false" outlineLevel="0" collapsed="false">
      <c r="B45" s="4" t="s">
        <v>77</v>
      </c>
      <c r="C45" s="5" t="s">
        <v>78</v>
      </c>
    </row>
    <row r="46" customFormat="false" ht="23.85" hidden="false" customHeight="false" outlineLevel="0" collapsed="false">
      <c r="B46" s="4" t="s">
        <v>79</v>
      </c>
      <c r="C46" s="5" t="s">
        <v>80</v>
      </c>
    </row>
    <row r="47" customFormat="false" ht="23.85" hidden="false" customHeight="false" outlineLevel="0" collapsed="false">
      <c r="B47" s="4" t="s">
        <v>81</v>
      </c>
      <c r="C47" s="5" t="s">
        <v>82</v>
      </c>
    </row>
    <row r="49" customFormat="false" ht="15" hidden="false" customHeight="false" outlineLevel="0" collapsed="false">
      <c r="B49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7" t="s">
        <v>7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9" t="s">
        <v>86</v>
      </c>
      <c r="B5" s="9"/>
      <c r="C5" s="9"/>
      <c r="D5" s="9"/>
      <c r="E5" s="9"/>
      <c r="F5" s="9"/>
      <c r="G5" s="9"/>
      <c r="H5" s="9"/>
      <c r="I5" s="9"/>
    </row>
    <row r="6" customFormat="false" ht="31.5" hidden="false" customHeight="true" outlineLevel="0" collapsed="false">
      <c r="A6" s="10" t="s">
        <v>87</v>
      </c>
      <c r="B6" s="10"/>
      <c r="C6" s="11" t="s">
        <v>88</v>
      </c>
      <c r="D6" s="11"/>
      <c r="E6" s="11"/>
      <c r="F6" s="11"/>
      <c r="G6" s="11"/>
      <c r="H6" s="11"/>
      <c r="I6" s="11"/>
    </row>
    <row r="8" customFormat="false" ht="30" hidden="false" customHeight="true" outlineLevel="0" collapsed="false">
      <c r="A8" s="12" t="s">
        <v>89</v>
      </c>
      <c r="B8" s="12" t="s">
        <v>90</v>
      </c>
      <c r="C8" s="12"/>
      <c r="D8" s="12" t="s">
        <v>91</v>
      </c>
      <c r="E8" s="12" t="s">
        <v>92</v>
      </c>
    </row>
    <row r="9" customFormat="false" ht="15" hidden="false" customHeight="true" outlineLevel="0" collapsed="false">
      <c r="A9" s="13" t="s">
        <v>93</v>
      </c>
      <c r="B9" s="14" t="s">
        <v>94</v>
      </c>
      <c r="C9" s="14"/>
      <c r="D9" s="11" t="s">
        <v>95</v>
      </c>
      <c r="E9" s="11"/>
    </row>
    <row r="10" customFormat="false" ht="15" hidden="false" customHeight="false" outlineLevel="0" collapsed="false">
      <c r="A10" s="13" t="s">
        <v>96</v>
      </c>
      <c r="B10" s="14"/>
      <c r="C10" s="14"/>
      <c r="D10" s="11"/>
      <c r="E10" s="11"/>
    </row>
    <row r="11" customFormat="false" ht="15" hidden="false" customHeight="false" outlineLevel="0" collapsed="false">
      <c r="A11" s="13" t="s">
        <v>97</v>
      </c>
      <c r="B11" s="14"/>
      <c r="C11" s="14"/>
      <c r="D11" s="11"/>
      <c r="E11" s="11"/>
    </row>
    <row r="12" customFormat="false" ht="15" hidden="false" customHeight="false" outlineLevel="0" collapsed="false">
      <c r="A12" s="13" t="s">
        <v>98</v>
      </c>
      <c r="B12" s="14"/>
      <c r="C12" s="14"/>
      <c r="D12" s="11"/>
      <c r="E12" s="11"/>
    </row>
    <row r="13" customFormat="false" ht="15" hidden="false" customHeight="false" outlineLevel="0" collapsed="false">
      <c r="A13" s="13" t="s">
        <v>99</v>
      </c>
      <c r="B13" s="14"/>
      <c r="C13" s="14"/>
      <c r="D13" s="11"/>
      <c r="E13" s="11"/>
    </row>
    <row r="15" customFormat="false" ht="30" hidden="false" customHeight="true" outlineLevel="0" collapsed="false">
      <c r="A15" s="12" t="s">
        <v>89</v>
      </c>
      <c r="B15" s="12" t="s">
        <v>100</v>
      </c>
      <c r="C15" s="12"/>
      <c r="D15" s="12" t="s">
        <v>101</v>
      </c>
      <c r="E15" s="12" t="s">
        <v>102</v>
      </c>
      <c r="F15" s="12" t="s">
        <v>91</v>
      </c>
    </row>
    <row r="16" customFormat="false" ht="15" hidden="false" customHeight="true" outlineLevel="0" collapsed="false">
      <c r="A16" s="13" t="s">
        <v>103</v>
      </c>
      <c r="B16" s="14" t="s">
        <v>104</v>
      </c>
      <c r="C16" s="14"/>
      <c r="D16" s="11" t="s">
        <v>105</v>
      </c>
      <c r="E16" s="11" t="s">
        <v>106</v>
      </c>
      <c r="F16" s="11" t="s">
        <v>107</v>
      </c>
    </row>
    <row r="17" customFormat="false" ht="15" hidden="false" customHeight="false" outlineLevel="0" collapsed="false">
      <c r="A17" s="13" t="s">
        <v>108</v>
      </c>
      <c r="B17" s="14"/>
      <c r="C17" s="14"/>
      <c r="D17" s="11"/>
      <c r="E17" s="11"/>
      <c r="F17" s="11"/>
    </row>
    <row r="18" customFormat="false" ht="15" hidden="false" customHeight="false" outlineLevel="0" collapsed="false">
      <c r="A18" s="13" t="s">
        <v>109</v>
      </c>
      <c r="B18" s="14"/>
      <c r="C18" s="14"/>
      <c r="D18" s="11"/>
      <c r="E18" s="11"/>
      <c r="F18" s="11"/>
    </row>
    <row r="19" customFormat="false" ht="15" hidden="false" customHeight="false" outlineLevel="0" collapsed="false">
      <c r="A19" s="13" t="s">
        <v>110</v>
      </c>
      <c r="B19" s="14"/>
      <c r="C19" s="14"/>
      <c r="D19" s="11"/>
      <c r="E19" s="11"/>
      <c r="F19" s="11"/>
    </row>
    <row r="20" customFormat="false" ht="15" hidden="false" customHeight="false" outlineLevel="0" collapsed="false">
      <c r="A20" s="13" t="s">
        <v>111</v>
      </c>
      <c r="B20" s="14"/>
      <c r="C20" s="14"/>
      <c r="D20" s="11"/>
      <c r="E20" s="11"/>
      <c r="F20" s="11"/>
    </row>
    <row r="22" customFormat="false" ht="30" hidden="false" customHeight="true" outlineLevel="0" collapsed="false">
      <c r="A22" s="12" t="s">
        <v>89</v>
      </c>
      <c r="B22" s="12" t="s">
        <v>112</v>
      </c>
      <c r="C22" s="12"/>
      <c r="D22" s="12" t="s">
        <v>113</v>
      </c>
    </row>
    <row r="23" customFormat="false" ht="15" hidden="false" customHeight="true" outlineLevel="0" collapsed="false">
      <c r="A23" s="13" t="s">
        <v>114</v>
      </c>
      <c r="B23" s="14" t="s">
        <v>115</v>
      </c>
      <c r="C23" s="14"/>
      <c r="D23" s="11" t="s">
        <v>116</v>
      </c>
    </row>
    <row r="24" customFormat="false" ht="15" hidden="false" customHeight="false" outlineLevel="0" collapsed="false">
      <c r="A24" s="13" t="s">
        <v>117</v>
      </c>
      <c r="B24" s="14"/>
      <c r="C24" s="14"/>
      <c r="D24" s="11"/>
    </row>
    <row r="25" customFormat="false" ht="15" hidden="false" customHeight="false" outlineLevel="0" collapsed="false">
      <c r="A25" s="13" t="s">
        <v>118</v>
      </c>
      <c r="B25" s="14"/>
      <c r="C25" s="14"/>
      <c r="D25" s="11"/>
    </row>
    <row r="26" customFormat="false" ht="15" hidden="false" customHeight="false" outlineLevel="0" collapsed="false">
      <c r="A26" s="13" t="s">
        <v>119</v>
      </c>
      <c r="B26" s="14"/>
      <c r="C26" s="14"/>
      <c r="D26" s="11"/>
    </row>
    <row r="27" customFormat="false" ht="15" hidden="false" customHeight="false" outlineLevel="0" collapsed="false">
      <c r="A27" s="13" t="s">
        <v>120</v>
      </c>
      <c r="B27" s="14"/>
      <c r="C27" s="14"/>
      <c r="D27" s="11"/>
    </row>
    <row r="29" customFormat="false" ht="15" hidden="false" customHeight="true" outlineLevel="0" collapsed="false">
      <c r="A29" s="9" t="s">
        <v>121</v>
      </c>
      <c r="B29" s="9"/>
      <c r="C29" s="9"/>
      <c r="D29" s="9"/>
      <c r="E29" s="9"/>
      <c r="F29" s="9"/>
      <c r="G29" s="9"/>
      <c r="H29" s="9"/>
      <c r="I29" s="9"/>
    </row>
    <row r="30" customFormat="false" ht="30" hidden="false" customHeight="true" outlineLevel="0" collapsed="false">
      <c r="A30" s="12" t="s">
        <v>89</v>
      </c>
      <c r="B30" s="12" t="s">
        <v>122</v>
      </c>
      <c r="C30" s="12" t="s">
        <v>123</v>
      </c>
      <c r="D30" s="12" t="s">
        <v>124</v>
      </c>
      <c r="E30" s="12" t="s">
        <v>125</v>
      </c>
      <c r="F30" s="12" t="s">
        <v>126</v>
      </c>
      <c r="G30" s="12" t="s">
        <v>127</v>
      </c>
      <c r="H30" s="12" t="s">
        <v>128</v>
      </c>
      <c r="I30" s="12" t="s">
        <v>129</v>
      </c>
    </row>
    <row r="31" customFormat="false" ht="42" hidden="false" customHeight="true" outlineLevel="0" collapsed="false">
      <c r="A31" s="4" t="s">
        <v>130</v>
      </c>
      <c r="B31" s="5" t="s">
        <v>131</v>
      </c>
      <c r="C31" s="5" t="s">
        <v>132</v>
      </c>
      <c r="D31" s="11" t="s">
        <v>133</v>
      </c>
      <c r="E31" s="11" t="s">
        <v>134</v>
      </c>
      <c r="F31" s="11" t="s">
        <v>135</v>
      </c>
      <c r="G31" s="11" t="s">
        <v>136</v>
      </c>
      <c r="H31" s="11" t="s">
        <v>137</v>
      </c>
      <c r="I31" s="11"/>
    </row>
    <row r="32" customFormat="false" ht="42" hidden="false" customHeight="true" outlineLevel="0" collapsed="false">
      <c r="A32" s="4" t="s">
        <v>138</v>
      </c>
      <c r="B32" s="5" t="s">
        <v>131</v>
      </c>
      <c r="C32" s="5" t="s">
        <v>139</v>
      </c>
      <c r="D32" s="11"/>
      <c r="E32" s="11"/>
      <c r="F32" s="11"/>
      <c r="G32" s="11"/>
      <c r="H32" s="11"/>
      <c r="I32" s="11"/>
    </row>
    <row r="33" customFormat="false" ht="42" hidden="false" customHeight="true" outlineLevel="0" collapsed="false">
      <c r="A33" s="4" t="s">
        <v>140</v>
      </c>
      <c r="B33" s="5" t="s">
        <v>141</v>
      </c>
      <c r="C33" s="5" t="s">
        <v>142</v>
      </c>
      <c r="D33" s="11"/>
      <c r="E33" s="11"/>
      <c r="F33" s="11"/>
      <c r="G33" s="11"/>
      <c r="H33" s="11"/>
      <c r="I33" s="11"/>
    </row>
    <row r="34" customFormat="false" ht="42" hidden="false" customHeight="true" outlineLevel="0" collapsed="false">
      <c r="A34" s="4" t="s">
        <v>143</v>
      </c>
      <c r="B34" s="5" t="s">
        <v>144</v>
      </c>
      <c r="C34" s="5" t="s">
        <v>145</v>
      </c>
      <c r="D34" s="11"/>
      <c r="E34" s="11"/>
      <c r="F34" s="11"/>
      <c r="G34" s="11"/>
      <c r="H34" s="11"/>
      <c r="I34" s="11"/>
    </row>
    <row r="35" customFormat="false" ht="42" hidden="false" customHeight="true" outlineLevel="0" collapsed="false">
      <c r="A35" s="4" t="s">
        <v>146</v>
      </c>
      <c r="B35" s="5" t="s">
        <v>147</v>
      </c>
      <c r="C35" s="5" t="s">
        <v>148</v>
      </c>
      <c r="D35" s="11"/>
      <c r="E35" s="11"/>
      <c r="F35" s="11"/>
      <c r="G35" s="11"/>
      <c r="H35" s="11"/>
      <c r="I35" s="11"/>
    </row>
    <row r="36" customFormat="false" ht="42" hidden="false" customHeight="true" outlineLevel="0" collapsed="false">
      <c r="A36" s="4" t="s">
        <v>149</v>
      </c>
      <c r="B36" s="5" t="s">
        <v>150</v>
      </c>
      <c r="C36" s="5" t="s">
        <v>151</v>
      </c>
      <c r="D36" s="11"/>
      <c r="E36" s="11"/>
      <c r="F36" s="11"/>
      <c r="G36" s="11"/>
      <c r="H36" s="11"/>
      <c r="I36" s="11"/>
    </row>
    <row r="37" customFormat="false" ht="42" hidden="false" customHeight="true" outlineLevel="0" collapsed="false">
      <c r="A37" s="4" t="s">
        <v>152</v>
      </c>
      <c r="B37" s="5" t="s">
        <v>153</v>
      </c>
      <c r="C37" s="5" t="s">
        <v>154</v>
      </c>
      <c r="D37" s="11"/>
      <c r="E37" s="11"/>
      <c r="F37" s="11"/>
      <c r="G37" s="11"/>
      <c r="H37" s="11"/>
      <c r="I37" s="11"/>
    </row>
    <row r="38" customFormat="false" ht="42" hidden="false" customHeight="true" outlineLevel="0" collapsed="false">
      <c r="A38" s="4" t="s">
        <v>155</v>
      </c>
      <c r="B38" s="5" t="s">
        <v>156</v>
      </c>
      <c r="C38" s="5" t="s">
        <v>157</v>
      </c>
      <c r="D38" s="11"/>
      <c r="E38" s="11"/>
      <c r="F38" s="11"/>
      <c r="G38" s="11"/>
      <c r="H38" s="11"/>
      <c r="I38" s="11"/>
    </row>
    <row r="39" customFormat="false" ht="42" hidden="false" customHeight="true" outlineLevel="0" collapsed="false">
      <c r="A39" s="4" t="s">
        <v>158</v>
      </c>
      <c r="B39" s="5" t="s">
        <v>159</v>
      </c>
      <c r="C39" s="5" t="s">
        <v>160</v>
      </c>
      <c r="D39" s="11"/>
      <c r="E39" s="11"/>
      <c r="F39" s="11"/>
      <c r="G39" s="11"/>
      <c r="H39" s="11"/>
      <c r="I39" s="11"/>
    </row>
    <row r="41" customFormat="false" ht="15" hidden="false" customHeight="true" outlineLevel="0" collapsed="false">
      <c r="A41" s="9" t="s">
        <v>161</v>
      </c>
      <c r="B41" s="9"/>
      <c r="C41" s="9"/>
      <c r="D41" s="9"/>
      <c r="E41" s="9"/>
      <c r="F41" s="9"/>
      <c r="G41" s="9"/>
      <c r="H41" s="9"/>
      <c r="I41" s="9"/>
    </row>
    <row r="42" customFormat="false" ht="30" hidden="false" customHeight="true" outlineLevel="0" collapsed="false">
      <c r="A42" s="12" t="s">
        <v>89</v>
      </c>
      <c r="B42" s="12" t="s">
        <v>122</v>
      </c>
      <c r="C42" s="12" t="s">
        <v>123</v>
      </c>
      <c r="D42" s="12" t="s">
        <v>124</v>
      </c>
      <c r="E42" s="12" t="s">
        <v>125</v>
      </c>
      <c r="F42" s="12" t="s">
        <v>126</v>
      </c>
      <c r="G42" s="12" t="s">
        <v>127</v>
      </c>
      <c r="H42" s="12" t="s">
        <v>128</v>
      </c>
      <c r="I42" s="12" t="s">
        <v>129</v>
      </c>
    </row>
    <row r="43" customFormat="false" ht="30" hidden="false" customHeight="true" outlineLevel="0" collapsed="false">
      <c r="A43" s="4" t="s">
        <v>162</v>
      </c>
      <c r="B43" s="11"/>
      <c r="C43" s="11"/>
      <c r="D43" s="11"/>
      <c r="E43" s="11"/>
      <c r="F43" s="11"/>
      <c r="G43" s="11"/>
      <c r="H43" s="11"/>
      <c r="I43" s="11"/>
    </row>
    <row r="44" customFormat="false" ht="30" hidden="false" customHeight="true" outlineLevel="0" collapsed="false">
      <c r="A44" s="4" t="s">
        <v>163</v>
      </c>
      <c r="B44" s="11"/>
      <c r="C44" s="11"/>
      <c r="D44" s="11"/>
      <c r="E44" s="11"/>
      <c r="F44" s="11"/>
      <c r="G44" s="11"/>
      <c r="H44" s="11"/>
      <c r="I44" s="11"/>
    </row>
    <row r="45" customFormat="false" ht="30" hidden="false" customHeight="true" outlineLevel="0" collapsed="false">
      <c r="A45" s="4" t="s">
        <v>164</v>
      </c>
      <c r="B45" s="11"/>
      <c r="C45" s="11"/>
      <c r="D45" s="11"/>
      <c r="E45" s="11"/>
      <c r="F45" s="11"/>
      <c r="G45" s="11"/>
      <c r="H45" s="11"/>
      <c r="I45" s="11"/>
    </row>
    <row r="46" customFormat="false" ht="30" hidden="false" customHeight="true" outlineLevel="0" collapsed="false">
      <c r="A46" s="4" t="s">
        <v>165</v>
      </c>
      <c r="B46" s="11"/>
      <c r="C46" s="11"/>
      <c r="D46" s="11"/>
      <c r="E46" s="11"/>
      <c r="F46" s="11"/>
      <c r="G46" s="11"/>
      <c r="H46" s="11"/>
      <c r="I46" s="11"/>
    </row>
    <row r="47" customFormat="false" ht="30" hidden="false" customHeight="true" outlineLevel="0" collapsed="false">
      <c r="A47" s="4" t="s">
        <v>166</v>
      </c>
      <c r="B47" s="11"/>
      <c r="C47" s="11"/>
      <c r="D47" s="11"/>
      <c r="E47" s="11"/>
      <c r="F47" s="11"/>
      <c r="G47" s="11"/>
      <c r="H47" s="11"/>
      <c r="I47" s="11"/>
    </row>
    <row r="48" customFormat="false" ht="30" hidden="false" customHeight="true" outlineLevel="0" collapsed="false">
      <c r="A48" s="4" t="s">
        <v>167</v>
      </c>
      <c r="B48" s="11"/>
      <c r="C48" s="11"/>
      <c r="D48" s="11"/>
      <c r="E48" s="11"/>
      <c r="F48" s="11"/>
      <c r="G48" s="11"/>
      <c r="H48" s="11"/>
      <c r="I48" s="11"/>
    </row>
    <row r="49" customFormat="false" ht="30" hidden="false" customHeight="true" outlineLevel="0" collapsed="false">
      <c r="A49" s="4" t="s">
        <v>168</v>
      </c>
      <c r="B49" s="11"/>
      <c r="C49" s="11"/>
      <c r="D49" s="11"/>
      <c r="E49" s="11"/>
      <c r="F49" s="11"/>
      <c r="G49" s="11"/>
      <c r="H49" s="11"/>
      <c r="I49" s="11"/>
    </row>
    <row r="50" customFormat="false" ht="30" hidden="false" customHeight="true" outlineLevel="0" collapsed="false">
      <c r="A50" s="4" t="s">
        <v>169</v>
      </c>
      <c r="B50" s="11"/>
      <c r="C50" s="11"/>
      <c r="D50" s="11"/>
      <c r="E50" s="11"/>
      <c r="F50" s="11"/>
      <c r="G50" s="11"/>
      <c r="H50" s="11"/>
      <c r="I50" s="11"/>
    </row>
    <row r="52" customFormat="false" ht="15" hidden="false" customHeight="true" outlineLevel="0" collapsed="false">
      <c r="A52" s="9" t="s">
        <v>170</v>
      </c>
      <c r="B52" s="9"/>
      <c r="C52" s="9"/>
      <c r="D52" s="9"/>
      <c r="E52" s="9"/>
      <c r="F52" s="9"/>
      <c r="G52" s="9"/>
      <c r="H52" s="9"/>
      <c r="I52" s="9"/>
    </row>
    <row r="53" customFormat="false" ht="30" hidden="false" customHeight="true" outlineLevel="0" collapsed="false">
      <c r="A53" s="12" t="s">
        <v>89</v>
      </c>
      <c r="B53" s="12" t="s">
        <v>171</v>
      </c>
      <c r="C53" s="12"/>
      <c r="D53" s="12" t="s">
        <v>172</v>
      </c>
      <c r="E53" s="12" t="s">
        <v>173</v>
      </c>
      <c r="F53" s="12"/>
      <c r="G53" s="12"/>
      <c r="H53" s="12"/>
      <c r="I53" s="12"/>
    </row>
    <row r="54" customFormat="false" ht="15" hidden="false" customHeight="false" outlineLevel="0" collapsed="false">
      <c r="A54" s="4" t="s">
        <v>174</v>
      </c>
      <c r="B54" s="14"/>
      <c r="C54" s="14"/>
      <c r="D54" s="11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4" t="s">
        <v>175</v>
      </c>
      <c r="B55" s="14"/>
      <c r="C55" s="14"/>
      <c r="D55" s="11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4" t="s">
        <v>176</v>
      </c>
      <c r="B56" s="14"/>
      <c r="C56" s="14"/>
      <c r="D56" s="11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4" t="s">
        <v>177</v>
      </c>
      <c r="B57" s="14"/>
      <c r="C57" s="14"/>
      <c r="D57" s="11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4" t="s">
        <v>178</v>
      </c>
      <c r="B58" s="14"/>
      <c r="C58" s="14"/>
      <c r="D58" s="11"/>
      <c r="E58" s="14"/>
      <c r="F58" s="14"/>
      <c r="G58" s="14"/>
      <c r="H58" s="14"/>
      <c r="I58" s="14"/>
    </row>
    <row r="60" customFormat="false" ht="23.85" hidden="false" customHeight="true" outlineLevel="0" collapsed="false">
      <c r="A60" s="9" t="s">
        <v>179</v>
      </c>
      <c r="B60" s="9"/>
      <c r="C60" s="15" t="str">
        <f aca="false">COUNTA(D31:D39)&amp;" of 9 required questions answered; "&amp;COUNTA(C43:C50)&amp;" of the team's own questions recorded"</f>
        <v>1 of 9 required questions answered; 0 of the team's own questions recorded</v>
      </c>
      <c r="D60" s="16" t="str">
        <f aca="false">IF(COUNTA(D31:D39)=9,"Complete",IF(COUNTA(D31:D39)&gt;=6,"Nearly there","Keep going"))</f>
        <v>Keep going</v>
      </c>
    </row>
    <row r="61" customFormat="false" ht="15" hidden="false" customHeight="true" outlineLevel="0" collapsed="false">
      <c r="A61" s="10" t="s">
        <v>180</v>
      </c>
      <c r="B61" s="10"/>
      <c r="C61" s="10"/>
      <c r="D61" s="10"/>
      <c r="E61" s="10"/>
      <c r="F61" s="10"/>
      <c r="G61" s="10"/>
      <c r="H61" s="10"/>
      <c r="I61" s="10"/>
    </row>
  </sheetData>
  <mergeCells count="38">
    <mergeCell ref="A5:I5"/>
    <mergeCell ref="A6:B6"/>
    <mergeCell ref="C6:I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A29:I29"/>
    <mergeCell ref="A41:I41"/>
    <mergeCell ref="A52:I52"/>
    <mergeCell ref="B53:C53"/>
    <mergeCell ref="E53:I53"/>
    <mergeCell ref="B54:C54"/>
    <mergeCell ref="E54:I54"/>
    <mergeCell ref="B55:C55"/>
    <mergeCell ref="E55:I55"/>
    <mergeCell ref="B56:C56"/>
    <mergeCell ref="E56:I56"/>
    <mergeCell ref="B57:C57"/>
    <mergeCell ref="E57:I57"/>
    <mergeCell ref="B58:C58"/>
    <mergeCell ref="E58:I58"/>
    <mergeCell ref="A60:B60"/>
    <mergeCell ref="A61:I61"/>
  </mergeCells>
  <conditionalFormatting sqref="D60">
    <cfRule type="expression" priority="2" aboveAverage="0" equalAverage="0" bottom="0" percent="0" rank="0" text="" dxfId="0">
      <formula>D60="Complete"</formula>
    </cfRule>
    <cfRule type="expression" priority="3" aboveAverage="0" equalAverage="0" bottom="0" percent="0" rank="0" text="" dxfId="1">
      <formula>D60="Nearly there"</formula>
    </cfRule>
    <cfRule type="expression" priority="4" aboveAverage="0" equalAverage="0" bottom="0" percent="0" rank="0" text="" dxfId="2">
      <formula>D60="Keep going"</formula>
    </cfRule>
  </conditionalFormatting>
  <dataValidations count="9">
    <dataValidation allowBlank="true" errorStyle="stop" operator="between" showDropDown="false" showErrorMessage="false" showInputMessage="false" sqref="E16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7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8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9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20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G31:G39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G43:G50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H31:H39" type="list">
      <formula1>"Stated,Implied,Our interpretation,Not asked yet"</formula1>
      <formula2>0</formula2>
    </dataValidation>
    <dataValidation allowBlank="true" errorStyle="stop" operator="between" showDropDown="false" showErrorMessage="false" showInputMessage="false" sqref="H43:H50" type="list">
      <formula1>"Stated,Implied,Our interpretation,Not asked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7" t="s">
        <v>181</v>
      </c>
    </row>
    <row r="2" customFormat="false" ht="15" hidden="false" customHeight="false" outlineLevel="0" collapsed="false">
      <c r="A2" s="3" t="s">
        <v>182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183</v>
      </c>
    </row>
    <row r="6" customFormat="false" ht="15" hidden="false" customHeight="true" outlineLevel="0" collapsed="false">
      <c r="A6" s="5" t="s">
        <v>184</v>
      </c>
      <c r="B6" s="11" t="s">
        <v>185</v>
      </c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5" t="s">
        <v>186</v>
      </c>
      <c r="B7" s="11" t="s">
        <v>187</v>
      </c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5" t="s">
        <v>188</v>
      </c>
      <c r="B8" s="11" t="s">
        <v>189</v>
      </c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5" t="s">
        <v>190</v>
      </c>
      <c r="B9" s="11" t="s">
        <v>191</v>
      </c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5" t="s">
        <v>192</v>
      </c>
      <c r="B10" s="11" t="s">
        <v>193</v>
      </c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A11" s="5" t="s">
        <v>194</v>
      </c>
      <c r="B11" s="11" t="s">
        <v>195</v>
      </c>
      <c r="C11" s="11"/>
      <c r="D11" s="11"/>
      <c r="E11" s="11"/>
      <c r="F11" s="11"/>
      <c r="G11" s="11"/>
      <c r="H11" s="11"/>
    </row>
    <row r="13" customFormat="false" ht="15" hidden="false" customHeight="false" outlineLevel="0" collapsed="false">
      <c r="A13" s="17" t="s">
        <v>196</v>
      </c>
    </row>
    <row r="14" customFormat="false" ht="30" hidden="false" customHeight="true" outlineLevel="0" collapsed="false">
      <c r="A14" s="12" t="s">
        <v>197</v>
      </c>
      <c r="B14" s="12" t="s">
        <v>198</v>
      </c>
      <c r="C14" s="12" t="s">
        <v>199</v>
      </c>
      <c r="D14" s="12" t="s">
        <v>200</v>
      </c>
      <c r="E14" s="12" t="s">
        <v>201</v>
      </c>
      <c r="F14" s="12" t="s">
        <v>202</v>
      </c>
    </row>
    <row r="15" customFormat="false" ht="15" hidden="false" customHeight="false" outlineLevel="0" collapsed="false">
      <c r="A15" s="11" t="n">
        <v>21</v>
      </c>
      <c r="B15" s="11" t="s">
        <v>203</v>
      </c>
      <c r="C15" s="11" t="n">
        <v>2025</v>
      </c>
      <c r="D15" s="11" t="s">
        <v>204</v>
      </c>
      <c r="E15" s="11" t="s">
        <v>205</v>
      </c>
      <c r="F15" s="11" t="s">
        <v>206</v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1" customFormat="false" ht="15" hidden="false" customHeight="false" outlineLevel="0" collapsed="false">
      <c r="A21" s="17" t="s">
        <v>207</v>
      </c>
    </row>
    <row r="22" customFormat="false" ht="15" hidden="false" customHeight="false" outlineLevel="0" collapsed="false">
      <c r="A22" s="5" t="s">
        <v>208</v>
      </c>
      <c r="B22" s="18" t="n">
        <v>10</v>
      </c>
    </row>
    <row r="23" customFormat="false" ht="15" hidden="false" customHeight="false" outlineLevel="0" collapsed="false">
      <c r="A23" s="5" t="s">
        <v>209</v>
      </c>
      <c r="B23" s="18" t="n">
        <v>21</v>
      </c>
    </row>
    <row r="24" customFormat="false" ht="15" hidden="false" customHeight="false" outlineLevel="0" collapsed="false">
      <c r="A24" s="5" t="s">
        <v>210</v>
      </c>
      <c r="B24" s="19" t="n">
        <v>5</v>
      </c>
    </row>
    <row r="25" customFormat="false" ht="15" hidden="false" customHeight="false" outlineLevel="0" collapsed="false">
      <c r="A25" s="20" t="s">
        <v>211</v>
      </c>
      <c r="B25" s="21" t="n">
        <f aca="false">IFERROR((B23/B22)^(1/B24)-1,"")</f>
        <v>0.159962258654001</v>
      </c>
    </row>
    <row r="27" customFormat="false" ht="30" hidden="false" customHeight="true" outlineLevel="0" collapsed="false">
      <c r="A27" s="12" t="s">
        <v>212</v>
      </c>
      <c r="B27" s="12" t="s">
        <v>211</v>
      </c>
      <c r="C27" s="12" t="s">
        <v>213</v>
      </c>
      <c r="D27" s="12" t="s">
        <v>214</v>
      </c>
    </row>
    <row r="28" customFormat="false" ht="15" hidden="false" customHeight="false" outlineLevel="0" collapsed="false">
      <c r="A28" s="11"/>
      <c r="B28" s="22"/>
      <c r="C28" s="19"/>
      <c r="D28" s="11"/>
    </row>
    <row r="29" customFormat="false" ht="15" hidden="false" customHeight="false" outlineLevel="0" collapsed="false">
      <c r="A29" s="11"/>
      <c r="B29" s="22"/>
      <c r="C29" s="19"/>
      <c r="D29" s="11"/>
    </row>
    <row r="30" customFormat="false" ht="15" hidden="false" customHeight="false" outlineLevel="0" collapsed="false">
      <c r="A30" s="11"/>
      <c r="B30" s="22"/>
      <c r="C30" s="19"/>
      <c r="D30" s="11"/>
    </row>
    <row r="31" customFormat="false" ht="15" hidden="false" customHeight="false" outlineLevel="0" collapsed="false">
      <c r="A31" s="11"/>
      <c r="B31" s="22"/>
      <c r="C31" s="19"/>
      <c r="D31" s="11"/>
    </row>
    <row r="33" customFormat="false" ht="15" hidden="false" customHeight="false" outlineLevel="0" collapsed="false">
      <c r="A33" s="17" t="s">
        <v>215</v>
      </c>
    </row>
    <row r="34" customFormat="false" ht="30" hidden="false" customHeight="true" outlineLevel="0" collapsed="false">
      <c r="A34" s="12" t="s">
        <v>216</v>
      </c>
      <c r="B34" s="12" t="s">
        <v>217</v>
      </c>
      <c r="C34" s="12" t="s">
        <v>218</v>
      </c>
      <c r="D34" s="12" t="s">
        <v>219</v>
      </c>
    </row>
    <row r="35" customFormat="false" ht="15" hidden="false" customHeight="false" outlineLevel="0" collapsed="false">
      <c r="A35" s="11"/>
      <c r="B35" s="11"/>
      <c r="C35" s="11"/>
      <c r="D35" s="11"/>
    </row>
    <row r="36" customFormat="false" ht="15" hidden="false" customHeight="false" outlineLevel="0" collapsed="false">
      <c r="A36" s="11"/>
      <c r="B36" s="11"/>
      <c r="C36" s="11"/>
      <c r="D36" s="11"/>
    </row>
    <row r="37" customFormat="false" ht="15" hidden="false" customHeight="false" outlineLevel="0" collapsed="false">
      <c r="A37" s="11"/>
      <c r="B37" s="11"/>
      <c r="C37" s="11"/>
      <c r="D37" s="11"/>
    </row>
    <row r="38" customFormat="false" ht="15" hidden="false" customHeight="false" outlineLevel="0" collapsed="false">
      <c r="A38" s="11"/>
      <c r="B38" s="11"/>
      <c r="C38" s="11"/>
      <c r="D38" s="11"/>
    </row>
    <row r="39" customFormat="false" ht="15" hidden="false" customHeight="false" outlineLevel="0" collapsed="false">
      <c r="A39" s="11"/>
      <c r="B39" s="11"/>
      <c r="C39" s="11"/>
      <c r="D39" s="11"/>
    </row>
    <row r="41" customFormat="false" ht="15" hidden="false" customHeight="false" outlineLevel="0" collapsed="false">
      <c r="A41" s="17" t="s">
        <v>220</v>
      </c>
    </row>
    <row r="42" customFormat="false" ht="30" hidden="false" customHeight="true" outlineLevel="0" collapsed="false">
      <c r="A42" s="12" t="s">
        <v>221</v>
      </c>
      <c r="B42" s="12" t="s">
        <v>222</v>
      </c>
    </row>
    <row r="43" customFormat="false" ht="15" hidden="false" customHeight="false" outlineLevel="0" collapsed="false">
      <c r="A43" s="11" t="s">
        <v>223</v>
      </c>
      <c r="B43" s="22" t="n">
        <v>0.22</v>
      </c>
      <c r="D43" s="20" t="s">
        <v>224</v>
      </c>
      <c r="E43" s="21" t="n">
        <f aca="false">IF(COUNT(B43:B50)&lt;4,"",LARGE(B43:B50,1)+LARGE(B43:B50,2)+LARGE(B43:B50,3)+LARGE(B43:B50,4))</f>
        <v>0.46</v>
      </c>
    </row>
    <row r="44" customFormat="false" ht="15" hidden="false" customHeight="false" outlineLevel="0" collapsed="false">
      <c r="A44" s="11" t="s">
        <v>225</v>
      </c>
      <c r="B44" s="22" t="n">
        <v>0.12</v>
      </c>
      <c r="D44" s="20" t="s">
        <v>226</v>
      </c>
      <c r="E44" s="23" t="n">
        <f aca="false">IF(COUNT(B43:B50)=0,"",SUMPRODUCT(B43:B50*100,B43:B50*100))</f>
        <v>702</v>
      </c>
    </row>
    <row r="45" customFormat="false" ht="35.05" hidden="false" customHeight="false" outlineLevel="0" collapsed="false">
      <c r="A45" s="11" t="s">
        <v>227</v>
      </c>
      <c r="B45" s="22" t="n">
        <v>0.07</v>
      </c>
      <c r="D45" s="5" t="s">
        <v>228</v>
      </c>
    </row>
    <row r="46" customFormat="false" ht="15" hidden="false" customHeight="false" outlineLevel="0" collapsed="false">
      <c r="A46" s="11" t="s">
        <v>229</v>
      </c>
      <c r="B46" s="22" t="n">
        <v>0.05</v>
      </c>
    </row>
    <row r="47" customFormat="false" ht="15" hidden="false" customHeight="false" outlineLevel="0" collapsed="false">
      <c r="A47" s="11"/>
      <c r="B47" s="22"/>
    </row>
    <row r="48" customFormat="false" ht="15" hidden="false" customHeight="false" outlineLevel="0" collapsed="false">
      <c r="A48" s="11"/>
      <c r="B48" s="22"/>
    </row>
    <row r="49" customFormat="false" ht="15" hidden="false" customHeight="false" outlineLevel="0" collapsed="false">
      <c r="A49" s="11"/>
      <c r="B49" s="22"/>
    </row>
    <row r="50" customFormat="false" ht="15" hidden="false" customHeight="false" outlineLevel="0" collapsed="false">
      <c r="A50" s="11"/>
      <c r="B50" s="22"/>
    </row>
    <row r="52" customFormat="false" ht="15" hidden="false" customHeight="false" outlineLevel="0" collapsed="false">
      <c r="A52" s="17" t="s">
        <v>230</v>
      </c>
    </row>
    <row r="53" customFormat="false" ht="30" hidden="false" customHeight="true" outlineLevel="0" collapsed="false">
      <c r="A53" s="12" t="s">
        <v>199</v>
      </c>
      <c r="B53" s="12" t="s">
        <v>231</v>
      </c>
      <c r="C53" s="12" t="s">
        <v>232</v>
      </c>
    </row>
    <row r="54" customFormat="false" ht="15" hidden="false" customHeight="false" outlineLevel="0" collapsed="false">
      <c r="A54" s="19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9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9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9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9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9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9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9"/>
      <c r="B61" s="11"/>
      <c r="C61" s="11"/>
      <c r="D61" s="11"/>
      <c r="E61" s="11"/>
      <c r="F61" s="11"/>
      <c r="G61" s="11"/>
      <c r="H61" s="11"/>
    </row>
    <row r="63" customFormat="false" ht="15" hidden="false" customHeight="false" outlineLevel="0" collapsed="false">
      <c r="A63" s="17" t="s">
        <v>233</v>
      </c>
    </row>
    <row r="64" customFormat="false" ht="15" hidden="false" customHeight="false" outlineLevel="0" collapsed="false">
      <c r="A64" s="5" t="s">
        <v>234</v>
      </c>
      <c r="B64" s="11" t="s">
        <v>235</v>
      </c>
      <c r="C64" s="5" t="s">
        <v>236</v>
      </c>
      <c r="D64" s="11"/>
      <c r="E64" s="11"/>
      <c r="F64" s="11"/>
      <c r="G64" s="11"/>
      <c r="H64" s="11"/>
    </row>
  </sheetData>
  <mergeCells count="15">
    <mergeCell ref="B6:H6"/>
    <mergeCell ref="B7:H7"/>
    <mergeCell ref="B8:H8"/>
    <mergeCell ref="B9:H9"/>
    <mergeCell ref="B10:H10"/>
    <mergeCell ref="B11:H11"/>
    <mergeCell ref="C54:H54"/>
    <mergeCell ref="C55:H55"/>
    <mergeCell ref="C56:H56"/>
    <mergeCell ref="C57:H57"/>
    <mergeCell ref="C58:H58"/>
    <mergeCell ref="C59:H59"/>
    <mergeCell ref="C60:H60"/>
    <mergeCell ref="C61:H61"/>
    <mergeCell ref="D64:H64"/>
  </mergeCells>
  <dataValidations count="2">
    <dataValidation allowBlank="true" errorStyle="stop" operator="between" showDropDown="false" showErrorMessage="false" showInputMessage="false" sqref="F15:F19" type="list">
      <formula1>"Yes,No"</formula1>
      <formula2>0</formula2>
    </dataValidation>
    <dataValidation allowBlank="true" errorStyle="stop" operator="between" showDropDown="false" showErrorMessage="false" showInputMessage="false" sqref="B64" type="list">
      <formula1>"emerging,growth,shakeout,mature,declining"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11" min="8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7" t="s">
        <v>12</v>
      </c>
    </row>
    <row r="2" customFormat="false" ht="15" hidden="false" customHeight="false" outlineLevel="0" collapsed="false">
      <c r="A2" s="3" t="s">
        <v>237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238</v>
      </c>
    </row>
    <row r="6" customFormat="false" ht="30" hidden="false" customHeight="true" outlineLevel="0" collapsed="false">
      <c r="A6" s="12" t="s">
        <v>221</v>
      </c>
      <c r="B6" s="12" t="s">
        <v>239</v>
      </c>
      <c r="C6" s="12" t="s">
        <v>240</v>
      </c>
      <c r="D6" s="12" t="s">
        <v>241</v>
      </c>
      <c r="E6" s="12" t="s">
        <v>242</v>
      </c>
      <c r="F6" s="12" t="s">
        <v>243</v>
      </c>
      <c r="G6" s="12" t="s">
        <v>244</v>
      </c>
      <c r="H6" s="12" t="s">
        <v>245</v>
      </c>
      <c r="I6" s="12" t="s">
        <v>246</v>
      </c>
      <c r="J6" s="12" t="s">
        <v>247</v>
      </c>
      <c r="K6" s="12" t="s">
        <v>248</v>
      </c>
      <c r="L6" s="12" t="s">
        <v>249</v>
      </c>
    </row>
    <row r="7" customFormat="false" ht="15" hidden="false" customHeight="false" outlineLevel="0" collapsed="false">
      <c r="A7" s="11" t="s">
        <v>250</v>
      </c>
      <c r="B7" s="11" t="s">
        <v>251</v>
      </c>
      <c r="C7" s="11" t="s">
        <v>252</v>
      </c>
      <c r="D7" s="24" t="n">
        <v>120000</v>
      </c>
      <c r="E7" s="22" t="n">
        <v>0.18</v>
      </c>
      <c r="F7" s="22" t="n">
        <v>0.05</v>
      </c>
      <c r="G7" s="22" t="n">
        <v>0.07</v>
      </c>
      <c r="H7" s="11" t="s">
        <v>253</v>
      </c>
      <c r="I7" s="11" t="s">
        <v>254</v>
      </c>
      <c r="J7" s="11" t="s">
        <v>255</v>
      </c>
      <c r="K7" s="11" t="s">
        <v>254</v>
      </c>
      <c r="L7" s="11" t="s">
        <v>256</v>
      </c>
    </row>
    <row r="8" customFormat="false" ht="15" hidden="false" customHeight="false" outlineLevel="0" collapsed="false">
      <c r="A8" s="11" t="s">
        <v>257</v>
      </c>
      <c r="B8" s="11" t="s">
        <v>251</v>
      </c>
      <c r="C8" s="11" t="s">
        <v>252</v>
      </c>
      <c r="D8" s="24" t="n">
        <v>40000</v>
      </c>
      <c r="E8" s="22" t="n">
        <v>0.24</v>
      </c>
      <c r="F8" s="22" t="n">
        <v>0.08</v>
      </c>
      <c r="G8" s="22" t="n">
        <v>0.1</v>
      </c>
      <c r="H8" s="11" t="s">
        <v>254</v>
      </c>
      <c r="I8" s="11" t="s">
        <v>254</v>
      </c>
      <c r="J8" s="11" t="s">
        <v>253</v>
      </c>
      <c r="K8" s="11" t="s">
        <v>255</v>
      </c>
      <c r="L8" s="11" t="s">
        <v>258</v>
      </c>
    </row>
    <row r="9" customFormat="false" ht="15" hidden="false" customHeight="false" outlineLevel="0" collapsed="false">
      <c r="A9" s="11"/>
      <c r="B9" s="11"/>
      <c r="C9" s="11"/>
      <c r="D9" s="24"/>
      <c r="E9" s="22"/>
      <c r="F9" s="22"/>
      <c r="G9" s="22"/>
      <c r="H9" s="11"/>
      <c r="I9" s="11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24"/>
      <c r="E10" s="22"/>
      <c r="F10" s="22"/>
      <c r="G10" s="22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24"/>
      <c r="E11" s="22"/>
      <c r="F11" s="22"/>
      <c r="G11" s="22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24"/>
      <c r="E12" s="22"/>
      <c r="F12" s="22"/>
      <c r="G12" s="22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24"/>
      <c r="E13" s="22"/>
      <c r="F13" s="22"/>
      <c r="G13" s="22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24"/>
      <c r="E14" s="22"/>
      <c r="F14" s="22"/>
      <c r="G14" s="22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24"/>
      <c r="E15" s="22"/>
      <c r="F15" s="22"/>
      <c r="G15" s="22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24"/>
      <c r="E16" s="22"/>
      <c r="F16" s="22"/>
      <c r="G16" s="22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20" t="s">
        <v>259</v>
      </c>
      <c r="D17" s="23" t="n">
        <f aca="false">IF(COUNT(D7:D16)=0,"",MEDIAN(D7:D16))</f>
        <v>80000</v>
      </c>
      <c r="E17" s="21" t="n">
        <f aca="false">IF(COUNT(E7:E16)=0,"",MEDIAN(E7:E16))</f>
        <v>0.21</v>
      </c>
      <c r="F17" s="21" t="n">
        <f aca="false">IF(COUNT(F7:F16)=0,"",MEDIAN(F7:F16))</f>
        <v>0.065</v>
      </c>
      <c r="G17" s="21" t="n">
        <f aca="false">IF(COUNT(G7:G16)=0,"",MEDIAN(G7:G16))</f>
        <v>0.085</v>
      </c>
    </row>
    <row r="20" customFormat="false" ht="30" hidden="false" customHeight="true" outlineLevel="0" collapsed="false">
      <c r="A20" s="12" t="s">
        <v>221</v>
      </c>
      <c r="B20" s="12" t="s">
        <v>260</v>
      </c>
      <c r="C20" s="12" t="s">
        <v>261</v>
      </c>
      <c r="D20" s="12" t="s">
        <v>262</v>
      </c>
    </row>
    <row r="21" customFormat="false" ht="15" hidden="false" customHeight="false" outlineLevel="0" collapsed="false">
      <c r="A21" s="15" t="str">
        <f aca="false">IF(A7="","",A7)</f>
        <v>[Firm A]</v>
      </c>
      <c r="B21" s="25" t="n">
        <f aca="false">IF(OR(F7="",$F$17=""),"",F7-$F$17)</f>
        <v>-0.015</v>
      </c>
      <c r="C21" s="26" t="n">
        <f aca="false">IF(F7="","",RANK(F7,$F$7:$F$16))</f>
        <v>2</v>
      </c>
      <c r="D21" s="26" t="n">
        <f aca="false">IF(A7="","",IF(H7="strong",2,IF(H7="moderate",1,0))+IF(I7="strong",2,IF(I7="moderate",1,0))+IF(J7="strong",2,IF(J7="moderate",1,0))+IF(K7="strong",2,IF(K7="moderate",1,0)))</f>
        <v>4</v>
      </c>
    </row>
    <row r="22" customFormat="false" ht="15" hidden="false" customHeight="false" outlineLevel="0" collapsed="false">
      <c r="A22" s="15" t="str">
        <f aca="false">IF(A8="","",A8)</f>
        <v>[Firm B]</v>
      </c>
      <c r="B22" s="25" t="n">
        <f aca="false">IF(OR(F8="",$F$17=""),"",F8-$F$17)</f>
        <v>0.015</v>
      </c>
      <c r="C22" s="26" t="n">
        <f aca="false">IF(F8="","",RANK(F8,$F$7:$F$16))</f>
        <v>1</v>
      </c>
      <c r="D22" s="26" t="n">
        <f aca="false">IF(A8="","",IF(H8="strong",2,IF(H8="moderate",1,0))+IF(I8="strong",2,IF(I8="moderate",1,0))+IF(J8="strong",2,IF(J8="moderate",1,0))+IF(K8="strong",2,IF(K8="moderate",1,0)))</f>
        <v>4</v>
      </c>
    </row>
    <row r="23" customFormat="false" ht="15" hidden="false" customHeight="false" outlineLevel="0" collapsed="false">
      <c r="A23" s="15" t="str">
        <f aca="false">IF(A9="","",A9)</f>
        <v/>
      </c>
      <c r="B23" s="25" t="str">
        <f aca="false">IF(OR(F9="",$F$17=""),"",F9-$F$17)</f>
        <v/>
      </c>
      <c r="C23" s="26" t="str">
        <f aca="false">IF(F9="","",RANK(F9,$F$7:$F$16))</f>
        <v/>
      </c>
      <c r="D23" s="26" t="str">
        <f aca="false">IF(A9="","",IF(H9="strong",2,IF(H9="moderate",1,0))+IF(I9="strong",2,IF(I9="moderate",1,0))+IF(J9="strong",2,IF(J9="moderate",1,0))+IF(K9="strong",2,IF(K9="moderate",1,0)))</f>
        <v/>
      </c>
    </row>
    <row r="24" customFormat="false" ht="15" hidden="false" customHeight="false" outlineLevel="0" collapsed="false">
      <c r="A24" s="15" t="str">
        <f aca="false">IF(A10="","",A10)</f>
        <v/>
      </c>
      <c r="B24" s="25" t="str">
        <f aca="false">IF(OR(F10="",$F$17=""),"",F10-$F$17)</f>
        <v/>
      </c>
      <c r="C24" s="26" t="str">
        <f aca="false">IF(F10="","",RANK(F10,$F$7:$F$16))</f>
        <v/>
      </c>
      <c r="D24" s="26" t="str">
        <f aca="false">IF(A10="","",IF(H10="strong",2,IF(H10="moderate",1,0))+IF(I10="strong",2,IF(I10="moderate",1,0))+IF(J10="strong",2,IF(J10="moderate",1,0))+IF(K10="strong",2,IF(K10="moderate",1,0)))</f>
        <v/>
      </c>
    </row>
    <row r="25" customFormat="false" ht="15" hidden="false" customHeight="false" outlineLevel="0" collapsed="false">
      <c r="A25" s="15" t="str">
        <f aca="false">IF(A11="","",A11)</f>
        <v/>
      </c>
      <c r="B25" s="25" t="str">
        <f aca="false">IF(OR(F11="",$F$17=""),"",F11-$F$17)</f>
        <v/>
      </c>
      <c r="C25" s="26" t="str">
        <f aca="false">IF(F11="","",RANK(F11,$F$7:$F$16))</f>
        <v/>
      </c>
      <c r="D25" s="26" t="str">
        <f aca="false">IF(A11="","",IF(H11="strong",2,IF(H11="moderate",1,0))+IF(I11="strong",2,IF(I11="moderate",1,0))+IF(J11="strong",2,IF(J11="moderate",1,0))+IF(K11="strong",2,IF(K11="moderate",1,0)))</f>
        <v/>
      </c>
    </row>
    <row r="26" customFormat="false" ht="15" hidden="false" customHeight="false" outlineLevel="0" collapsed="false">
      <c r="A26" s="15" t="str">
        <f aca="false">IF(A12="","",A12)</f>
        <v/>
      </c>
      <c r="B26" s="25" t="str">
        <f aca="false">IF(OR(F12="",$F$17=""),"",F12-$F$17)</f>
        <v/>
      </c>
      <c r="C26" s="26" t="str">
        <f aca="false">IF(F12="","",RANK(F12,$F$7:$F$16))</f>
        <v/>
      </c>
      <c r="D26" s="26" t="str">
        <f aca="false">IF(A12="","",IF(H12="strong",2,IF(H12="moderate",1,0))+IF(I12="strong",2,IF(I12="moderate",1,0))+IF(J12="strong",2,IF(J12="moderate",1,0))+IF(K12="strong",2,IF(K12="moderate",1,0)))</f>
        <v/>
      </c>
    </row>
    <row r="27" customFormat="false" ht="15" hidden="false" customHeight="false" outlineLevel="0" collapsed="false">
      <c r="A27" s="15" t="str">
        <f aca="false">IF(A13="","",A13)</f>
        <v/>
      </c>
      <c r="B27" s="25" t="str">
        <f aca="false">IF(OR(F13="",$F$17=""),"",F13-$F$17)</f>
        <v/>
      </c>
      <c r="C27" s="26" t="str">
        <f aca="false">IF(F13="","",RANK(F13,$F$7:$F$16))</f>
        <v/>
      </c>
      <c r="D27" s="26" t="str">
        <f aca="false">IF(A13="","",IF(H13="strong",2,IF(H13="moderate",1,0))+IF(I13="strong",2,IF(I13="moderate",1,0))+IF(J13="strong",2,IF(J13="moderate",1,0))+IF(K13="strong",2,IF(K13="moderate",1,0)))</f>
        <v/>
      </c>
    </row>
    <row r="28" customFormat="false" ht="15" hidden="false" customHeight="false" outlineLevel="0" collapsed="false">
      <c r="A28" s="15" t="str">
        <f aca="false">IF(A14="","",A14)</f>
        <v/>
      </c>
      <c r="B28" s="25" t="str">
        <f aca="false">IF(OR(F14="",$F$17=""),"",F14-$F$17)</f>
        <v/>
      </c>
      <c r="C28" s="26" t="str">
        <f aca="false">IF(F14="","",RANK(F14,$F$7:$F$16))</f>
        <v/>
      </c>
      <c r="D28" s="26" t="str">
        <f aca="false">IF(A14="","",IF(H14="strong",2,IF(H14="moderate",1,0))+IF(I14="strong",2,IF(I14="moderate",1,0))+IF(J14="strong",2,IF(J14="moderate",1,0))+IF(K14="strong",2,IF(K14="moderate",1,0)))</f>
        <v/>
      </c>
    </row>
    <row r="29" customFormat="false" ht="15" hidden="false" customHeight="false" outlineLevel="0" collapsed="false">
      <c r="A29" s="15" t="str">
        <f aca="false">IF(A15="","",A15)</f>
        <v/>
      </c>
      <c r="B29" s="25" t="str">
        <f aca="false">IF(OR(F15="",$F$17=""),"",F15-$F$17)</f>
        <v/>
      </c>
      <c r="C29" s="26" t="str">
        <f aca="false">IF(F15="","",RANK(F15,$F$7:$F$16))</f>
        <v/>
      </c>
      <c r="D29" s="26" t="str">
        <f aca="false">IF(A15="","",IF(H15="strong",2,IF(H15="moderate",1,0))+IF(I15="strong",2,IF(I15="moderate",1,0))+IF(J15="strong",2,IF(J15="moderate",1,0))+IF(K15="strong",2,IF(K15="moderate",1,0)))</f>
        <v/>
      </c>
    </row>
    <row r="30" customFormat="false" ht="15" hidden="false" customHeight="false" outlineLevel="0" collapsed="false">
      <c r="A30" s="15" t="str">
        <f aca="false">IF(A16="","",A16)</f>
        <v/>
      </c>
      <c r="B30" s="25" t="str">
        <f aca="false">IF(OR(F16="",$F$17=""),"",F16-$F$17)</f>
        <v/>
      </c>
      <c r="C30" s="26" t="str">
        <f aca="false">IF(F16="","",RANK(F16,$F$7:$F$16))</f>
        <v/>
      </c>
      <c r="D30" s="26" t="str">
        <f aca="false">IF(A16="","",IF(H16="strong",2,IF(H16="moderate",1,0))+IF(I16="strong",2,IF(I16="moderate",1,0))+IF(J16="strong",2,IF(J16="moderate",1,0))+IF(K16="strong",2,IF(K16="moderate",1,0)))</f>
        <v/>
      </c>
    </row>
    <row r="32" customFormat="false" ht="15" hidden="false" customHeight="false" outlineLevel="0" collapsed="false">
      <c r="A32" s="17" t="s">
        <v>263</v>
      </c>
    </row>
    <row r="33" customFormat="false" ht="30" hidden="false" customHeight="true" outlineLevel="0" collapsed="false">
      <c r="A33" s="12" t="s">
        <v>221</v>
      </c>
      <c r="B33" s="12" t="s">
        <v>264</v>
      </c>
      <c r="C33" s="12" t="s">
        <v>265</v>
      </c>
      <c r="D33" s="12"/>
      <c r="E33" s="12"/>
      <c r="F33" s="12"/>
      <c r="G33" s="12"/>
      <c r="H33" s="12" t="s">
        <v>266</v>
      </c>
      <c r="I33" s="12"/>
      <c r="J33" s="12"/>
      <c r="K33" s="12"/>
      <c r="L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5" customFormat="false" ht="15" hidden="false" customHeight="false" outlineLevel="0" collapsed="false">
      <c r="A45" s="17" t="s">
        <v>267</v>
      </c>
    </row>
    <row r="46" customFormat="false" ht="30" hidden="false" customHeight="true" outlineLevel="0" collapsed="false">
      <c r="A46" s="12" t="s">
        <v>14</v>
      </c>
      <c r="B46" s="12" t="s">
        <v>264</v>
      </c>
      <c r="C46" s="12" t="s">
        <v>268</v>
      </c>
      <c r="D46" s="12" t="s">
        <v>269</v>
      </c>
      <c r="E46" s="12" t="s">
        <v>270</v>
      </c>
    </row>
    <row r="47" customFormat="false" ht="15" hidden="false" customHeight="false" outlineLevel="0" collapsed="false">
      <c r="A47" s="11"/>
      <c r="B47" s="11"/>
      <c r="C47" s="11"/>
      <c r="D47" s="11"/>
      <c r="E47" s="19"/>
    </row>
    <row r="48" customFormat="false" ht="15" hidden="false" customHeight="false" outlineLevel="0" collapsed="false">
      <c r="A48" s="11"/>
      <c r="B48" s="11"/>
      <c r="C48" s="11"/>
      <c r="D48" s="11"/>
      <c r="E48" s="19"/>
    </row>
    <row r="49" customFormat="false" ht="15" hidden="false" customHeight="false" outlineLevel="0" collapsed="false">
      <c r="A49" s="11"/>
      <c r="B49" s="11"/>
      <c r="C49" s="11"/>
      <c r="D49" s="11"/>
      <c r="E49" s="19"/>
    </row>
    <row r="50" customFormat="false" ht="15" hidden="false" customHeight="false" outlineLevel="0" collapsed="false">
      <c r="A50" s="11"/>
      <c r="B50" s="11"/>
      <c r="C50" s="11"/>
      <c r="D50" s="11"/>
      <c r="E50" s="19"/>
    </row>
    <row r="51" customFormat="false" ht="15" hidden="false" customHeight="false" outlineLevel="0" collapsed="false">
      <c r="A51" s="11"/>
      <c r="B51" s="11"/>
      <c r="C51" s="11"/>
      <c r="D51" s="11"/>
      <c r="E51" s="19"/>
    </row>
    <row r="52" customFormat="false" ht="15" hidden="false" customHeight="false" outlineLevel="0" collapsed="false">
      <c r="A52" s="11"/>
      <c r="B52" s="11"/>
      <c r="C52" s="11"/>
      <c r="D52" s="11"/>
      <c r="E52" s="19"/>
    </row>
    <row r="53" customFormat="false" ht="15" hidden="false" customHeight="false" outlineLevel="0" collapsed="false">
      <c r="A53" s="11"/>
      <c r="B53" s="11"/>
      <c r="C53" s="11"/>
      <c r="D53" s="11"/>
      <c r="E53" s="19"/>
    </row>
    <row r="54" customFormat="false" ht="15" hidden="false" customHeight="false" outlineLevel="0" collapsed="false">
      <c r="A54" s="11"/>
      <c r="B54" s="11"/>
      <c r="C54" s="11"/>
      <c r="D54" s="11"/>
      <c r="E54" s="19"/>
    </row>
  </sheetData>
  <mergeCells count="22">
    <mergeCell ref="C33:G33"/>
    <mergeCell ref="H33:L33"/>
    <mergeCell ref="C34:G34"/>
    <mergeCell ref="H34:L34"/>
    <mergeCell ref="C35:G35"/>
    <mergeCell ref="H35:L35"/>
    <mergeCell ref="C36:G36"/>
    <mergeCell ref="H36:L36"/>
    <mergeCell ref="C37:G37"/>
    <mergeCell ref="H37:L37"/>
    <mergeCell ref="C38:G38"/>
    <mergeCell ref="H38:L38"/>
    <mergeCell ref="C39:G39"/>
    <mergeCell ref="H39:L39"/>
    <mergeCell ref="C40:G40"/>
    <mergeCell ref="H40:L40"/>
    <mergeCell ref="C41:G41"/>
    <mergeCell ref="H41:L41"/>
    <mergeCell ref="C42:G42"/>
    <mergeCell ref="H42:L42"/>
    <mergeCell ref="C43:G43"/>
    <mergeCell ref="H43:L43"/>
  </mergeCells>
  <conditionalFormatting sqref="B21:B30">
    <cfRule type="expression" priority="2" aboveAverage="0" equalAverage="0" bottom="0" percent="0" rank="0" text="" dxfId="0">
      <formula>AND(ISNUMBER(B21),B21&gt;0.01)</formula>
    </cfRule>
    <cfRule type="expression" priority="3" aboveAverage="0" equalAverage="0" bottom="0" percent="0" rank="0" text="" dxfId="1">
      <formula>AND(ISNUMBER(B21),ABS(B21)&lt;=0.01)</formula>
    </cfRule>
    <cfRule type="expression" priority="4" aboveAverage="0" equalAverage="0" bottom="0" percent="0" rank="0" text="" dxfId="2">
      <formula>AND(ISNUMBER(B21),B21&lt;-0.01)</formula>
    </cfRule>
  </conditionalFormatting>
  <dataValidations count="4">
    <dataValidation allowBlank="true" errorStyle="stop" operator="between" showDropDown="false" showErrorMessage="false" showInputMessage="false" sqref="H7:K16" type="list">
      <formula1>"weak,moderate,strong"</formula1>
      <formula2>0</formula2>
    </dataValidation>
    <dataValidation allowBlank="true" errorStyle="stop" operator="between" showDropDown="false" showErrorMessage="false" showInputMessage="false" sqref="B34:B43" type="list">
      <formula1>"hiring,patents,launch,capex,pricing,partnership,exit,other"</formula1>
      <formula2>0</formula2>
    </dataValidation>
    <dataValidation allowBlank="true" errorStyle="stop" operator="between" showDropDown="false" showErrorMessage="false" showInputMessage="false" sqref="A47:A54" type="list">
      <formula1>"P,E,S,T,Env,L"</formula1>
      <formula2>0</formula2>
    </dataValidation>
    <dataValidation allowBlank="true" errorStyle="stop" operator="between" showDropDown="false" showErrorMessage="false" showInputMessage="false" sqref="B47:B54" type="list">
      <formula1>"risk_factor,mdna_trend"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7" t="s">
        <v>271</v>
      </c>
    </row>
    <row r="2" customFormat="false" ht="15" hidden="false" customHeight="false" outlineLevel="0" collapsed="false">
      <c r="A2" s="3" t="s">
        <v>272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274</v>
      </c>
      <c r="C5" s="12" t="s">
        <v>275</v>
      </c>
      <c r="D5" s="12" t="s">
        <v>276</v>
      </c>
      <c r="E5" s="12" t="s">
        <v>277</v>
      </c>
      <c r="F5" s="12" t="s">
        <v>278</v>
      </c>
      <c r="G5" s="12" t="s">
        <v>279</v>
      </c>
      <c r="H5" s="12" t="s">
        <v>269</v>
      </c>
      <c r="I5" s="12" t="s">
        <v>280</v>
      </c>
    </row>
    <row r="6" customFormat="false" ht="15" hidden="false" customHeight="false" outlineLevel="0" collapsed="false">
      <c r="A6" s="11" t="s">
        <v>281</v>
      </c>
      <c r="B6" s="11" t="s">
        <v>282</v>
      </c>
      <c r="C6" s="11" t="s">
        <v>283</v>
      </c>
      <c r="D6" s="11" t="s">
        <v>284</v>
      </c>
      <c r="E6" s="11" t="n">
        <v>4</v>
      </c>
      <c r="F6" s="11" t="n">
        <v>4</v>
      </c>
      <c r="G6" s="26" t="n">
        <f aca="false">IF(AND(ISNUMBER(E6),ISNUMBER(F6)),E6*F6,"")</f>
        <v>16</v>
      </c>
      <c r="H6" s="11" t="s">
        <v>285</v>
      </c>
      <c r="I6" s="11" t="s">
        <v>286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26" t="str">
        <f aca="false">IF(AND(ISNUMBER(E7),ISNUMBER(F7)),E7*F7,"")</f>
        <v/>
      </c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26" t="str">
        <f aca="false">IF(AND(ISNUMBER(E8),ISNUMBER(F8)),E8*F8,"")</f>
        <v/>
      </c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26" t="str">
        <f aca="false">IF(AND(ISNUMBER(E9),ISNUMBER(F9)),E9*F9,"")</f>
        <v/>
      </c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26" t="str">
        <f aca="false">IF(AND(ISNUMBER(E10),ISNUMBER(F10)),E10*F10,"")</f>
        <v/>
      </c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26" t="str">
        <f aca="false">IF(AND(ISNUMBER(E11),ISNUMBER(F11)),E11*F11,"")</f>
        <v/>
      </c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26" t="str">
        <f aca="false">IF(AND(ISNUMBER(E12),ISNUMBER(F12)),E12*F12,"")</f>
        <v/>
      </c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26" t="str">
        <f aca="false">IF(AND(ISNUMBER(E13),ISNUMBER(F13)),E13*F13,"")</f>
        <v/>
      </c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26" t="str">
        <f aca="false">IF(AND(ISNUMBER(E14),ISNUMBER(F14)),E14*F14,"")</f>
        <v/>
      </c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26" t="str">
        <f aca="false">IF(AND(ISNUMBER(E15),ISNUMBER(F15)),E15*F15,"")</f>
        <v/>
      </c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26" t="str">
        <f aca="false">IF(AND(ISNUMBER(E16),ISNUMBER(F16)),E16*F16,"")</f>
        <v/>
      </c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26" t="str">
        <f aca="false">IF(AND(ISNUMBER(E17),ISNUMBER(F17)),E17*F17,"")</f>
        <v/>
      </c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26" t="str">
        <f aca="false">IF(AND(ISNUMBER(E18),ISNUMBER(F18)),E18*F18,"")</f>
        <v/>
      </c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26" t="str">
        <f aca="false">IF(AND(ISNUMBER(E19),ISNUMBER(F19)),E19*F19,"")</f>
        <v/>
      </c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26" t="str">
        <f aca="false">IF(AND(ISNUMBER(E20),ISNUMBER(F20)),E20*F20,"")</f>
        <v/>
      </c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26" t="str">
        <f aca="false">IF(AND(ISNUMBER(E21),ISNUMBER(F21)),E21*F21,"")</f>
        <v/>
      </c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26" t="str">
        <f aca="false">IF(AND(ISNUMBER(E22),ISNUMBER(F22)),E22*F22,"")</f>
        <v/>
      </c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26" t="str">
        <f aca="false">IF(AND(ISNUMBER(E23),ISNUMBER(F23)),E23*F23,"")</f>
        <v/>
      </c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26" t="str">
        <f aca="false">IF(AND(ISNUMBER(E24),ISNUMBER(F24)),E24*F24,"")</f>
        <v/>
      </c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26" t="str">
        <f aca="false">IF(AND(ISNUMBER(E25),ISNUMBER(F25)),E25*F25,"")</f>
        <v/>
      </c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26" t="str">
        <f aca="false">IF(AND(ISNUMBER(E26),ISNUMBER(F26)),E26*F26,"")</f>
        <v/>
      </c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26" t="str">
        <f aca="false">IF(AND(ISNUMBER(E27),ISNUMBER(F27)),E27*F27,"")</f>
        <v/>
      </c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26" t="str">
        <f aca="false">IF(AND(ISNUMBER(E28),ISNUMBER(F28)),E28*F28,"")</f>
        <v/>
      </c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26" t="str">
        <f aca="false">IF(AND(ISNUMBER(E29),ISNUMBER(F29)),E29*F29,"")</f>
        <v/>
      </c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26" t="str">
        <f aca="false">IF(AND(ISNUMBER(E30),ISNUMBER(F30)),E30*F30,"")</f>
        <v/>
      </c>
      <c r="H30" s="11"/>
      <c r="I30" s="11"/>
    </row>
    <row r="32" customFormat="false" ht="15" hidden="false" customHeight="false" outlineLevel="0" collapsed="false">
      <c r="B32" s="20" t="s">
        <v>287</v>
      </c>
      <c r="C32" s="26" t="n">
        <f aca="false">COUNTA(C6:C30)</f>
        <v>1</v>
      </c>
    </row>
    <row r="33" customFormat="false" ht="23.85" hidden="false" customHeight="false" outlineLevel="0" collapsed="false">
      <c r="B33" s="20" t="s">
        <v>288</v>
      </c>
      <c r="C33" s="26" t="n">
        <f aca="false">COUNTIF(G6:G30,"&gt;=16")</f>
        <v>1</v>
      </c>
    </row>
    <row r="34" customFormat="false" ht="23.85" hidden="false" customHeight="false" outlineLevel="0" collapsed="false">
      <c r="B34" s="20" t="s">
        <v>289</v>
      </c>
      <c r="C34" s="26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-IQ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7" t="s">
        <v>290</v>
      </c>
    </row>
    <row r="2" customFormat="false" ht="15" hidden="false" customHeight="false" outlineLevel="0" collapsed="false">
      <c r="A2" s="3" t="s">
        <v>291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292</v>
      </c>
      <c r="B5" s="12" t="s">
        <v>293</v>
      </c>
      <c r="C5" s="12" t="s">
        <v>294</v>
      </c>
      <c r="D5" s="12" t="s">
        <v>295</v>
      </c>
    </row>
    <row r="6" customFormat="false" ht="15" hidden="false" customHeight="false" outlineLevel="0" collapsed="false">
      <c r="A6" s="5" t="s">
        <v>296</v>
      </c>
      <c r="B6" s="5" t="s">
        <v>297</v>
      </c>
      <c r="C6" s="11"/>
      <c r="D6" s="11"/>
    </row>
    <row r="7" customFormat="false" ht="15" hidden="false" customHeight="false" outlineLevel="0" collapsed="false">
      <c r="A7" s="5" t="s">
        <v>296</v>
      </c>
      <c r="B7" s="5" t="s">
        <v>298</v>
      </c>
      <c r="C7" s="11"/>
      <c r="D7" s="11"/>
    </row>
    <row r="8" customFormat="false" ht="15" hidden="false" customHeight="false" outlineLevel="0" collapsed="false">
      <c r="A8" s="5" t="s">
        <v>296</v>
      </c>
      <c r="B8" s="5" t="s">
        <v>299</v>
      </c>
      <c r="C8" s="11"/>
      <c r="D8" s="11"/>
    </row>
    <row r="9" customFormat="false" ht="15" hidden="false" customHeight="false" outlineLevel="0" collapsed="false">
      <c r="A9" s="5" t="s">
        <v>296</v>
      </c>
      <c r="B9" s="5" t="s">
        <v>300</v>
      </c>
      <c r="C9" s="11"/>
      <c r="D9" s="11"/>
    </row>
    <row r="10" customFormat="false" ht="15" hidden="false" customHeight="false" outlineLevel="0" collapsed="false">
      <c r="A10" s="5" t="s">
        <v>301</v>
      </c>
      <c r="B10" s="5" t="s">
        <v>302</v>
      </c>
      <c r="C10" s="11" t="n">
        <v>4</v>
      </c>
      <c r="D10" s="11" t="s">
        <v>303</v>
      </c>
    </row>
    <row r="11" customFormat="false" ht="15" hidden="false" customHeight="false" outlineLevel="0" collapsed="false">
      <c r="A11" s="5" t="s">
        <v>301</v>
      </c>
      <c r="B11" s="5" t="s">
        <v>304</v>
      </c>
      <c r="C11" s="11"/>
      <c r="D11" s="11"/>
    </row>
    <row r="12" customFormat="false" ht="15" hidden="false" customHeight="false" outlineLevel="0" collapsed="false">
      <c r="A12" s="5" t="s">
        <v>301</v>
      </c>
      <c r="B12" s="5" t="s">
        <v>305</v>
      </c>
      <c r="C12" s="11"/>
      <c r="D12" s="11"/>
    </row>
    <row r="13" customFormat="false" ht="15" hidden="false" customHeight="false" outlineLevel="0" collapsed="false">
      <c r="A13" s="5" t="s">
        <v>301</v>
      </c>
      <c r="B13" s="5" t="s">
        <v>306</v>
      </c>
      <c r="C13" s="11"/>
      <c r="D13" s="11"/>
    </row>
    <row r="14" customFormat="false" ht="15" hidden="false" customHeight="false" outlineLevel="0" collapsed="false">
      <c r="A14" s="5" t="s">
        <v>307</v>
      </c>
      <c r="B14" s="5" t="s">
        <v>308</v>
      </c>
      <c r="C14" s="11"/>
      <c r="D14" s="11"/>
    </row>
    <row r="15" customFormat="false" ht="15" hidden="false" customHeight="false" outlineLevel="0" collapsed="false">
      <c r="A15" s="5" t="s">
        <v>307</v>
      </c>
      <c r="B15" s="5" t="s">
        <v>309</v>
      </c>
      <c r="C15" s="11"/>
      <c r="D15" s="11"/>
    </row>
    <row r="16" customFormat="false" ht="15" hidden="false" customHeight="false" outlineLevel="0" collapsed="false">
      <c r="A16" s="5" t="s">
        <v>307</v>
      </c>
      <c r="B16" s="5" t="s">
        <v>304</v>
      </c>
      <c r="C16" s="11"/>
      <c r="D16" s="11"/>
    </row>
    <row r="17" customFormat="false" ht="15" hidden="false" customHeight="false" outlineLevel="0" collapsed="false">
      <c r="A17" s="5" t="s">
        <v>307</v>
      </c>
      <c r="B17" s="5" t="s">
        <v>310</v>
      </c>
      <c r="C17" s="11"/>
      <c r="D17" s="11"/>
    </row>
    <row r="18" customFormat="false" ht="15" hidden="false" customHeight="false" outlineLevel="0" collapsed="false">
      <c r="A18" s="5" t="s">
        <v>311</v>
      </c>
      <c r="B18" s="5" t="s">
        <v>312</v>
      </c>
      <c r="C18" s="11"/>
      <c r="D18" s="11"/>
    </row>
    <row r="19" customFormat="false" ht="15" hidden="false" customHeight="false" outlineLevel="0" collapsed="false">
      <c r="A19" s="5" t="s">
        <v>311</v>
      </c>
      <c r="B19" s="5" t="s">
        <v>313</v>
      </c>
      <c r="C19" s="11"/>
      <c r="D19" s="11"/>
    </row>
    <row r="20" customFormat="false" ht="15" hidden="false" customHeight="false" outlineLevel="0" collapsed="false">
      <c r="A20" s="5" t="s">
        <v>311</v>
      </c>
      <c r="B20" s="5" t="s">
        <v>314</v>
      </c>
      <c r="C20" s="11"/>
      <c r="D20" s="11"/>
    </row>
    <row r="21" customFormat="false" ht="15" hidden="false" customHeight="false" outlineLevel="0" collapsed="false">
      <c r="A21" s="5" t="s">
        <v>311</v>
      </c>
      <c r="B21" s="5" t="s">
        <v>315</v>
      </c>
      <c r="C21" s="11"/>
      <c r="D21" s="11"/>
    </row>
    <row r="22" customFormat="false" ht="15" hidden="false" customHeight="false" outlineLevel="0" collapsed="false">
      <c r="A22" s="5" t="s">
        <v>316</v>
      </c>
      <c r="B22" s="5" t="s">
        <v>317</v>
      </c>
      <c r="C22" s="11"/>
      <c r="D22" s="11"/>
    </row>
    <row r="23" customFormat="false" ht="15" hidden="false" customHeight="false" outlineLevel="0" collapsed="false">
      <c r="A23" s="5" t="s">
        <v>316</v>
      </c>
      <c r="B23" s="5" t="s">
        <v>304</v>
      </c>
      <c r="C23" s="11"/>
      <c r="D23" s="11"/>
    </row>
    <row r="24" customFormat="false" ht="15" hidden="false" customHeight="false" outlineLevel="0" collapsed="false">
      <c r="A24" s="5" t="s">
        <v>316</v>
      </c>
      <c r="B24" s="5" t="s">
        <v>318</v>
      </c>
      <c r="C24" s="11"/>
      <c r="D24" s="11"/>
    </row>
    <row r="25" customFormat="false" ht="15" hidden="false" customHeight="false" outlineLevel="0" collapsed="false">
      <c r="A25" s="5" t="s">
        <v>316</v>
      </c>
      <c r="B25" s="5" t="s">
        <v>319</v>
      </c>
      <c r="C25" s="11"/>
      <c r="D25" s="11"/>
    </row>
    <row r="27" customFormat="false" ht="35.05" hidden="false" customHeight="false" outlineLevel="0" collapsed="false">
      <c r="A27" s="12" t="s">
        <v>292</v>
      </c>
      <c r="B27" s="12" t="s">
        <v>320</v>
      </c>
      <c r="C27" s="12" t="s">
        <v>321</v>
      </c>
      <c r="D27" s="12" t="s">
        <v>322</v>
      </c>
      <c r="E27" s="12" t="s">
        <v>323</v>
      </c>
      <c r="F27" s="12" t="s">
        <v>324</v>
      </c>
    </row>
    <row r="28" customFormat="false" ht="15" hidden="false" customHeight="false" outlineLevel="0" collapsed="false">
      <c r="A28" s="20" t="s">
        <v>296</v>
      </c>
      <c r="B28" s="27" t="str">
        <f aca="false">IFERROR(AVERAGEIF($A$6:$A$25,A28,$C$6:$C$25),"")</f>
        <v/>
      </c>
      <c r="C28" s="28"/>
      <c r="D28" s="27" t="str">
        <f aca="false">IF(ISNUMBER(C28),C28,B28)</f>
        <v/>
      </c>
      <c r="E28" s="15" t="str">
        <f aca="false">IF(D28="","",IF(D28&gt;=4,"Strong",IF(D28&gt;=2.5,"Moderate","Weak")))</f>
        <v/>
      </c>
      <c r="F28" s="28"/>
    </row>
    <row r="29" customFormat="false" ht="15" hidden="false" customHeight="false" outlineLevel="0" collapsed="false">
      <c r="A29" s="20" t="s">
        <v>301</v>
      </c>
      <c r="B29" s="27" t="n">
        <f aca="false">IFERROR(AVERAGEIF($A$6:$A$25,A29,$C$6:$C$25),"")</f>
        <v>4</v>
      </c>
      <c r="C29" s="28"/>
      <c r="D29" s="27" t="n">
        <f aca="false">IF(ISNUMBER(C29),C29,B29)</f>
        <v>4</v>
      </c>
      <c r="E29" s="15" t="str">
        <f aca="false">IF(D29="","",IF(D29&gt;=4,"Strong",IF(D29&gt;=2.5,"Moderate","Weak")))</f>
        <v>Strong</v>
      </c>
      <c r="F29" s="28"/>
    </row>
    <row r="30" customFormat="false" ht="15" hidden="false" customHeight="false" outlineLevel="0" collapsed="false">
      <c r="A30" s="20" t="s">
        <v>307</v>
      </c>
      <c r="B30" s="27" t="str">
        <f aca="false">IFERROR(AVERAGEIF($A$6:$A$25,A30,$C$6:$C$25),"")</f>
        <v/>
      </c>
      <c r="C30" s="28"/>
      <c r="D30" s="27" t="str">
        <f aca="false">IF(ISNUMBER(C30),C30,B30)</f>
        <v/>
      </c>
      <c r="E30" s="15" t="str">
        <f aca="false">IF(D30="","",IF(D30&gt;=4,"Strong",IF(D30&gt;=2.5,"Moderate","Weak")))</f>
        <v/>
      </c>
      <c r="F30" s="28"/>
    </row>
    <row r="31" customFormat="false" ht="15" hidden="false" customHeight="false" outlineLevel="0" collapsed="false">
      <c r="A31" s="20" t="s">
        <v>311</v>
      </c>
      <c r="B31" s="27" t="str">
        <f aca="false">IFERROR(AVERAGEIF($A$6:$A$25,A31,$C$6:$C$25),"")</f>
        <v/>
      </c>
      <c r="C31" s="28"/>
      <c r="D31" s="27" t="str">
        <f aca="false">IF(ISNUMBER(C31),C31,B31)</f>
        <v/>
      </c>
      <c r="E31" s="15" t="str">
        <f aca="false">IF(D31="","",IF(D31&gt;=4,"Strong",IF(D31&gt;=2.5,"Moderate","Weak")))</f>
        <v/>
      </c>
      <c r="F31" s="28"/>
    </row>
    <row r="32" customFormat="false" ht="15" hidden="false" customHeight="false" outlineLevel="0" collapsed="false">
      <c r="A32" s="20" t="s">
        <v>316</v>
      </c>
      <c r="B32" s="27" t="str">
        <f aca="false">IFERROR(AVERAGEIF($A$6:$A$25,A32,$C$6:$C$25),"")</f>
        <v/>
      </c>
      <c r="C32" s="28"/>
      <c r="D32" s="27" t="str">
        <f aca="false">IF(ISNUMBER(C32),C32,B32)</f>
        <v/>
      </c>
      <c r="E32" s="15" t="str">
        <f aca="false">IF(D32="","",IF(D32&gt;=4,"Strong",IF(D32&gt;=2.5,"Moderate","Weak")))</f>
        <v/>
      </c>
      <c r="F32" s="28"/>
    </row>
    <row r="34" customFormat="false" ht="15" hidden="false" customHeight="false" outlineLevel="0" collapsed="false">
      <c r="A34" s="20" t="s">
        <v>325</v>
      </c>
      <c r="B34" s="29" t="n">
        <f aca="false">IFERROR(6-AVERAGE(D28:D32),"")</f>
        <v>2</v>
      </c>
    </row>
    <row r="35" customFormat="false" ht="15" hidden="false" customHeight="false" outlineLevel="0" collapsed="false">
      <c r="A35" s="20" t="s">
        <v>326</v>
      </c>
      <c r="B35" s="27" t="str">
        <f aca="false">IF(COUNT(F28:F32)=5,6-AVERAGE(F28:F32),"")</f>
        <v/>
      </c>
    </row>
    <row r="37" customFormat="false" ht="15" hidden="false" customHeight="false" outlineLevel="0" collapsed="false">
      <c r="A37" s="3" t="s">
        <v>327</v>
      </c>
    </row>
    <row r="38" customFormat="false" ht="15" hidden="false" customHeight="false" outlineLevel="0" collapsed="false">
      <c r="A38" s="3" t="s">
        <v>328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10" min="7" style="0" width="10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7" t="s">
        <v>329</v>
      </c>
    </row>
    <row r="2" customFormat="false" ht="15" hidden="false" customHeight="false" outlineLevel="0" collapsed="false">
      <c r="A2" s="3" t="s">
        <v>330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331</v>
      </c>
      <c r="C5" s="12" t="s">
        <v>332</v>
      </c>
      <c r="D5" s="12" t="s">
        <v>333</v>
      </c>
      <c r="E5" s="12" t="s">
        <v>269</v>
      </c>
      <c r="F5" s="12" t="s">
        <v>334</v>
      </c>
      <c r="G5" s="12" t="s">
        <v>335</v>
      </c>
      <c r="H5" s="12" t="s">
        <v>336</v>
      </c>
      <c r="I5" s="12" t="s">
        <v>337</v>
      </c>
      <c r="J5" s="12" t="s">
        <v>338</v>
      </c>
      <c r="K5" s="12" t="s">
        <v>339</v>
      </c>
      <c r="L5" s="12" t="s">
        <v>340</v>
      </c>
    </row>
    <row r="6" customFormat="false" ht="30" hidden="false" customHeight="true" outlineLevel="0" collapsed="false">
      <c r="A6" s="11" t="s">
        <v>93</v>
      </c>
      <c r="B6" s="11" t="s">
        <v>341</v>
      </c>
      <c r="C6" s="11" t="s">
        <v>281</v>
      </c>
      <c r="D6" s="11" t="s">
        <v>342</v>
      </c>
      <c r="E6" s="11" t="s">
        <v>285</v>
      </c>
      <c r="F6" s="11" t="s">
        <v>343</v>
      </c>
      <c r="G6" s="11" t="s">
        <v>206</v>
      </c>
      <c r="H6" s="11" t="s">
        <v>206</v>
      </c>
      <c r="I6" s="11" t="s">
        <v>206</v>
      </c>
      <c r="J6" s="11" t="s">
        <v>206</v>
      </c>
      <c r="K6" s="16" t="str">
        <f aca="false">IF(B6="","",IF(COUNTIF(G6:J6,"Yes")=4,"Driver","Demoted"))</f>
        <v>Driver</v>
      </c>
      <c r="L6" s="11" t="s">
        <v>344</v>
      </c>
    </row>
    <row r="7" customFormat="false" ht="30" hidden="false" customHeight="true" outlineLevel="0" collapsed="false">
      <c r="A7" s="11" t="s">
        <v>96</v>
      </c>
      <c r="B7" s="11" t="s">
        <v>345</v>
      </c>
      <c r="C7" s="11" t="s">
        <v>346</v>
      </c>
      <c r="D7" s="11" t="s">
        <v>347</v>
      </c>
      <c r="E7" s="11" t="s">
        <v>348</v>
      </c>
      <c r="F7" s="11" t="s">
        <v>349</v>
      </c>
      <c r="G7" s="11" t="s">
        <v>350</v>
      </c>
      <c r="H7" s="11" t="s">
        <v>206</v>
      </c>
      <c r="I7" s="11" t="s">
        <v>206</v>
      </c>
      <c r="J7" s="11" t="s">
        <v>350</v>
      </c>
      <c r="K7" s="16" t="str">
        <f aca="false">IF(B7="","",IF(COUNTIF(G7:J7,"Yes")=4,"Driver","Demoted"))</f>
        <v>Demoted</v>
      </c>
      <c r="L7" s="11" t="s">
        <v>351</v>
      </c>
    </row>
    <row r="8" customFormat="false" ht="30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6" t="str">
        <f aca="false">IF(B8="","",IF(COUNTIF(G8:J8,"Yes")=4,"Driver","Demoted"))</f>
        <v/>
      </c>
      <c r="L8" s="11"/>
    </row>
    <row r="9" customFormat="false" ht="30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6" t="str">
        <f aca="false">IF(B9="","",IF(COUNTIF(G9:J9,"Yes")=4,"Driver","Demoted"))</f>
        <v/>
      </c>
      <c r="L9" s="11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6" t="str">
        <f aca="false">IF(B10="","",IF(COUNTIF(G10:J10,"Yes")=4,"Driver","Demoted"))</f>
        <v/>
      </c>
      <c r="L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6" t="str">
        <f aca="false">IF(B11="","",IF(COUNTIF(G11:J11,"Yes")=4,"Driver","Demoted"))</f>
        <v/>
      </c>
      <c r="L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6" t="str">
        <f aca="false">IF(B12="","",IF(COUNTIF(G12:J12,"Yes")=4,"Driver","Demoted"))</f>
        <v/>
      </c>
      <c r="L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6" t="str">
        <f aca="false">IF(B13="","",IF(COUNTIF(G13:J13,"Yes")=4,"Driver","Demoted"))</f>
        <v/>
      </c>
      <c r="L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6" t="str">
        <f aca="false">IF(B14="","",IF(COUNTIF(G14:J14,"Yes")=4,"Driver","Demoted"))</f>
        <v/>
      </c>
      <c r="L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6" t="str">
        <f aca="false">IF(B15="","",IF(COUNTIF(G15:J15,"Yes")=4,"Driver","Demoted"))</f>
        <v/>
      </c>
      <c r="L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6" t="str">
        <f aca="false">IF(B16="","",IF(COUNTIF(G16:J16,"Yes")=4,"Driver","Demoted"))</f>
        <v/>
      </c>
      <c r="L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6" t="str">
        <f aca="false">IF(B17="","",IF(COUNTIF(G17:J17,"Yes")=4,"Driver","Demoted"))</f>
        <v/>
      </c>
      <c r="L17" s="11"/>
    </row>
    <row r="19" customFormat="false" ht="23.85" hidden="false" customHeight="false" outlineLevel="0" collapsed="false">
      <c r="A19" s="20" t="s">
        <v>352</v>
      </c>
      <c r="C19" s="16" t="str">
        <f aca="false">COUNTIF(K6:K17,"Driver")&amp;" of "&amp;COUNTA(B6:B17)&amp;" candidates"</f>
        <v>1 of 2 candidates</v>
      </c>
      <c r="D19" s="15" t="str">
        <f aca="false">IF(COUNTA(B6:B17)=0,"",IF(AND(COUNTIF(K6:K17,"Driver")&gt;=3,COUNTIF(K6:K17,"Driver")&lt;=5),"OK: 3-5 drivers","Aim for 3-5 drivers"))</f>
        <v>Aim for 3-5 drivers</v>
      </c>
    </row>
  </sheetData>
  <conditionalFormatting sqref="K6:K17">
    <cfRule type="expression" priority="2" aboveAverage="0" equalAverage="0" bottom="0" percent="0" rank="0" text="" dxfId="0">
      <formula>K6="Driver"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K6="Demoted"</formula>
    </cfRule>
  </conditionalFormatting>
  <dataValidations count="2">
    <dataValidation allowBlank="true" errorStyle="stop" operator="between" showDropDown="false" showErrorMessage="false" showInputMessage="false" sqref="G6:J17" type="list">
      <formula1>"Yes,No"</formula1>
      <formula2>0</formula2>
    </dataValidation>
    <dataValidation allowBlank="true" errorStyle="stop" operator="between" showDropDown="false" showErrorMessage="false" showInputMessage="false" sqref="L6:L17" type="list">
      <formula1>"expanding,compressing,redistributing"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7" t="s">
        <v>353</v>
      </c>
    </row>
    <row r="2" customFormat="false" ht="15" hidden="false" customHeight="false" outlineLevel="0" collapsed="false">
      <c r="A2" s="3" t="s">
        <v>354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355</v>
      </c>
      <c r="C5" s="12" t="s">
        <v>356</v>
      </c>
      <c r="D5" s="12" t="s">
        <v>357</v>
      </c>
      <c r="E5" s="30" t="s">
        <v>358</v>
      </c>
      <c r="F5" s="30" t="s">
        <v>359</v>
      </c>
      <c r="G5" s="30" t="s">
        <v>360</v>
      </c>
      <c r="H5" s="30" t="s">
        <v>361</v>
      </c>
      <c r="I5" s="30" t="s">
        <v>362</v>
      </c>
      <c r="J5" s="30" t="s">
        <v>363</v>
      </c>
    </row>
    <row r="6" customFormat="false" ht="15" hidden="false" customHeight="false" outlineLevel="0" collapsed="false">
      <c r="A6" s="11" t="s">
        <v>174</v>
      </c>
      <c r="B6" s="11" t="s">
        <v>364</v>
      </c>
      <c r="C6" s="31" t="n">
        <v>0.25</v>
      </c>
      <c r="D6" s="11" t="s">
        <v>365</v>
      </c>
      <c r="E6" s="11" t="n">
        <v>5</v>
      </c>
      <c r="F6" s="11" t="n">
        <v>2</v>
      </c>
      <c r="G6" s="11" t="n">
        <v>3</v>
      </c>
      <c r="H6" s="11"/>
      <c r="I6" s="11"/>
      <c r="J6" s="11"/>
    </row>
    <row r="7" customFormat="false" ht="15" hidden="false" customHeight="false" outlineLevel="0" collapsed="false">
      <c r="A7" s="11"/>
      <c r="B7" s="11"/>
      <c r="C7" s="3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3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3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3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3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3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3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3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31"/>
      <c r="D15" s="11"/>
      <c r="E15" s="11"/>
      <c r="F15" s="11"/>
      <c r="G15" s="11"/>
      <c r="H15" s="11"/>
      <c r="I15" s="11"/>
      <c r="J15" s="11"/>
    </row>
    <row r="16" customFormat="false" ht="23.85" hidden="false" customHeight="false" outlineLevel="0" collapsed="false">
      <c r="B16" s="20" t="s">
        <v>366</v>
      </c>
      <c r="C16" s="32" t="n">
        <f aca="false">SUM(C6:C15)</f>
        <v>0.25</v>
      </c>
      <c r="D16" s="15" t="str">
        <f aca="false">IF(ABS(C16-1)&lt;0.001,"OK","Weights must sum to 100%")</f>
        <v>Weights must sum to 100%</v>
      </c>
    </row>
    <row r="17" customFormat="false" ht="15" hidden="false" customHeight="false" outlineLevel="0" collapsed="false">
      <c r="B17" s="20" t="s">
        <v>367</v>
      </c>
      <c r="E17" s="33" t="n">
        <f aca="false">IF(COUNT(E6:E15)=0,"",SUMPRODUCT($C$6:$C$15,E6:E15))</f>
        <v>1.25</v>
      </c>
      <c r="F17" s="33" t="n">
        <f aca="false">IF(COUNT(F6:F15)=0,"",SUMPRODUCT($C$6:$C$15,F6:F15))</f>
        <v>0.5</v>
      </c>
      <c r="G17" s="33" t="n">
        <f aca="false">IF(COUNT(G6:G15)=0,"",SUMPRODUCT($C$6:$C$15,G6:G15))</f>
        <v>0.75</v>
      </c>
      <c r="H17" s="33" t="str">
        <f aca="false">IF(COUNT(H6:H15)=0,"",SUMPRODUCT($C$6:$C$15,H6:H15))</f>
        <v/>
      </c>
      <c r="I17" s="33" t="str">
        <f aca="false">IF(COUNT(I6:I15)=0,"",SUMPRODUCT($C$6:$C$15,I6:I15))</f>
        <v/>
      </c>
      <c r="J17" s="33" t="str">
        <f aca="false">IF(COUNT(J6:J15)=0,"",SUMPRODUCT($C$6:$C$15,J6:J15))</f>
        <v/>
      </c>
    </row>
    <row r="18" customFormat="false" ht="15" hidden="false" customHeight="false" outlineLevel="0" collapsed="false">
      <c r="B18" s="20" t="s">
        <v>368</v>
      </c>
      <c r="E18" s="26" t="n">
        <f aca="false">IF(E17="","",RANK(E17,$E$17:$J$17))</f>
        <v>1</v>
      </c>
      <c r="F18" s="26" t="n">
        <f aca="false">IF(F17="","",RANK(F17,$E$17:$J$17))</f>
        <v>3</v>
      </c>
      <c r="G18" s="26" t="n">
        <f aca="false">IF(G17="","",RANK(G17,$E$17:$J$17))</f>
        <v>2</v>
      </c>
      <c r="H18" s="26" t="str">
        <f aca="false">IF(H17="","",RANK(H17,$E$17:$J$17))</f>
        <v/>
      </c>
      <c r="I18" s="26" t="str">
        <f aca="false">IF(I17="","",RANK(I17,$E$17:$J$17))</f>
        <v/>
      </c>
      <c r="J18" s="26" t="str">
        <f aca="false">IF(J17="","",RANK(J17,$E$17:$J$17))</f>
        <v/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9" min="6" style="0" width="2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7" t="s">
        <v>22</v>
      </c>
    </row>
    <row r="2" customFormat="false" ht="15" hidden="false" customHeight="false" outlineLevel="0" collapsed="false">
      <c r="A2" s="3" t="s">
        <v>369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20" t="s">
        <v>370</v>
      </c>
      <c r="B5" s="11" t="s">
        <v>371</v>
      </c>
      <c r="C5" s="11"/>
      <c r="D5" s="11"/>
      <c r="E5" s="11"/>
    </row>
    <row r="6" customFormat="false" ht="15" hidden="false" customHeight="true" outlineLevel="0" collapsed="false">
      <c r="A6" s="20" t="s">
        <v>372</v>
      </c>
      <c r="B6" s="11" t="s">
        <v>373</v>
      </c>
      <c r="C6" s="11"/>
      <c r="D6" s="11"/>
      <c r="E6" s="11"/>
    </row>
    <row r="8" customFormat="false" ht="30" hidden="false" customHeight="true" outlineLevel="0" collapsed="false">
      <c r="A8" s="12" t="s">
        <v>221</v>
      </c>
      <c r="B8" s="12" t="s">
        <v>374</v>
      </c>
      <c r="C8" s="12" t="s">
        <v>375</v>
      </c>
      <c r="D8" s="12" t="s">
        <v>376</v>
      </c>
    </row>
    <row r="9" customFormat="false" ht="15" hidden="false" customHeight="false" outlineLevel="0" collapsed="false">
      <c r="A9" s="11" t="s">
        <v>250</v>
      </c>
      <c r="B9" s="28" t="n">
        <v>3</v>
      </c>
      <c r="C9" s="28" t="n">
        <v>4</v>
      </c>
      <c r="D9" s="28" t="n">
        <v>5</v>
      </c>
    </row>
    <row r="10" customFormat="false" ht="15" hidden="false" customHeight="false" outlineLevel="0" collapsed="false">
      <c r="A10" s="11" t="s">
        <v>257</v>
      </c>
      <c r="B10" s="28" t="n">
        <v>8</v>
      </c>
      <c r="C10" s="28" t="n">
        <v>6</v>
      </c>
      <c r="D10" s="28" t="n">
        <v>2</v>
      </c>
    </row>
    <row r="11" customFormat="false" ht="15" hidden="false" customHeight="false" outlineLevel="0" collapsed="false">
      <c r="A11" s="11" t="s">
        <v>377</v>
      </c>
      <c r="B11" s="28" t="n">
        <v>5</v>
      </c>
      <c r="C11" s="28" t="n">
        <v>3</v>
      </c>
      <c r="D11" s="28" t="n">
        <v>3</v>
      </c>
    </row>
    <row r="12" customFormat="false" ht="15" hidden="false" customHeight="false" outlineLevel="0" collapsed="false">
      <c r="A12" s="11"/>
      <c r="B12" s="28"/>
      <c r="C12" s="28"/>
      <c r="D12" s="28"/>
    </row>
    <row r="13" customFormat="false" ht="15" hidden="false" customHeight="false" outlineLevel="0" collapsed="false">
      <c r="A13" s="11"/>
      <c r="B13" s="28"/>
      <c r="C13" s="28"/>
      <c r="D13" s="28"/>
    </row>
    <row r="14" customFormat="false" ht="15" hidden="false" customHeight="false" outlineLevel="0" collapsed="false">
      <c r="A14" s="11"/>
      <c r="B14" s="28"/>
      <c r="C14" s="28"/>
      <c r="D14" s="28"/>
    </row>
    <row r="15" customFormat="false" ht="15" hidden="false" customHeight="false" outlineLevel="0" collapsed="false">
      <c r="A15" s="11"/>
      <c r="B15" s="28"/>
      <c r="C15" s="28"/>
      <c r="D15" s="28"/>
    </row>
    <row r="16" customFormat="false" ht="15" hidden="false" customHeight="false" outlineLevel="0" collapsed="false">
      <c r="A16" s="11"/>
      <c r="B16" s="28"/>
      <c r="C16" s="28"/>
      <c r="D16" s="28"/>
    </row>
    <row r="17" customFormat="false" ht="15" hidden="false" customHeight="false" outlineLevel="0" collapsed="false">
      <c r="A17" s="11"/>
      <c r="B17" s="28"/>
      <c r="C17" s="28"/>
      <c r="D17" s="28"/>
    </row>
    <row r="18" customFormat="false" ht="15" hidden="false" customHeight="false" outlineLevel="0" collapsed="false">
      <c r="A18" s="11"/>
      <c r="B18" s="28"/>
      <c r="C18" s="28"/>
      <c r="D18" s="28"/>
    </row>
    <row r="30" customFormat="false" ht="15" hidden="false" customHeight="false" outlineLevel="0" collapsed="false">
      <c r="A30" s="17" t="s">
        <v>378</v>
      </c>
    </row>
    <row r="31" customFormat="false" ht="30" hidden="false" customHeight="true" outlineLevel="0" collapsed="false">
      <c r="A31" s="12" t="s">
        <v>368</v>
      </c>
      <c r="B31" s="12" t="s">
        <v>379</v>
      </c>
      <c r="C31" s="12" t="s">
        <v>380</v>
      </c>
      <c r="D31" s="12" t="s">
        <v>381</v>
      </c>
      <c r="E31" s="12" t="s">
        <v>382</v>
      </c>
      <c r="F31" s="12" t="s">
        <v>383</v>
      </c>
      <c r="G31" s="12" t="s">
        <v>384</v>
      </c>
      <c r="H31" s="12" t="s">
        <v>385</v>
      </c>
      <c r="I31" s="12" t="s">
        <v>386</v>
      </c>
      <c r="J31" s="12" t="s">
        <v>387</v>
      </c>
    </row>
    <row r="32" customFormat="false" ht="36" hidden="false" customHeight="true" outlineLevel="0" collapsed="false">
      <c r="A32" s="19" t="n">
        <v>1</v>
      </c>
      <c r="B32" s="28" t="n">
        <v>8.5</v>
      </c>
      <c r="C32" s="28" t="n">
        <v>2</v>
      </c>
      <c r="D32" s="11" t="s">
        <v>388</v>
      </c>
      <c r="E32" s="11" t="s">
        <v>389</v>
      </c>
      <c r="F32" s="11" t="s">
        <v>390</v>
      </c>
      <c r="G32" s="11" t="s">
        <v>390</v>
      </c>
      <c r="H32" s="11" t="s">
        <v>390</v>
      </c>
      <c r="I32" s="11" t="s">
        <v>390</v>
      </c>
      <c r="J32" s="11" t="s">
        <v>391</v>
      </c>
    </row>
    <row r="33" customFormat="false" ht="36" hidden="false" customHeight="true" outlineLevel="0" collapsed="false">
      <c r="A33" s="19"/>
      <c r="B33" s="28"/>
      <c r="C33" s="28"/>
      <c r="D33" s="11"/>
      <c r="E33" s="11"/>
      <c r="F33" s="11"/>
      <c r="G33" s="11"/>
      <c r="H33" s="11"/>
      <c r="I33" s="11"/>
      <c r="J33" s="11"/>
    </row>
    <row r="34" customFormat="false" ht="36" hidden="false" customHeight="true" outlineLevel="0" collapsed="false">
      <c r="A34" s="19"/>
      <c r="B34" s="28"/>
      <c r="C34" s="28"/>
      <c r="D34" s="11"/>
      <c r="E34" s="11"/>
      <c r="F34" s="11"/>
      <c r="G34" s="11"/>
      <c r="H34" s="11"/>
      <c r="I34" s="11"/>
      <c r="J34" s="11"/>
    </row>
    <row r="35" customFormat="false" ht="36" hidden="false" customHeight="true" outlineLevel="0" collapsed="false">
      <c r="A35" s="19"/>
      <c r="B35" s="28"/>
      <c r="C35" s="28"/>
      <c r="D35" s="11"/>
      <c r="E35" s="11"/>
      <c r="F35" s="11"/>
      <c r="G35" s="11"/>
      <c r="H35" s="11"/>
      <c r="I35" s="11"/>
      <c r="J35" s="11"/>
    </row>
    <row r="36" customFormat="false" ht="36" hidden="false" customHeight="true" outlineLevel="0" collapsed="false">
      <c r="A36" s="19"/>
      <c r="B36" s="28"/>
      <c r="C36" s="28"/>
      <c r="D36" s="11"/>
      <c r="E36" s="11"/>
      <c r="F36" s="11"/>
      <c r="G36" s="11"/>
      <c r="H36" s="11"/>
      <c r="I36" s="11"/>
      <c r="J36" s="11"/>
    </row>
  </sheetData>
  <mergeCells count="2">
    <mergeCell ref="B5:E5"/>
    <mergeCell ref="B6:E6"/>
  </mergeCells>
  <conditionalFormatting sqref="J32:J36">
    <cfRule type="expression" priority="2" aboveAverage="0" equalAverage="0" bottom="0" percent="0" rank="0" text="" dxfId="0">
      <formula>J32="supported"</formula>
    </cfRule>
    <cfRule type="expression" priority="3" aboveAverage="0" equalAverage="0" bottom="0" percent="0" rank="0" text="" dxfId="1">
      <formula>J32="UNVALIDATED"</formula>
    </cfRule>
    <cfRule type="expression" priority="4" aboveAverage="0" equalAverage="0" bottom="0" percent="0" rank="0" text="" dxfId="2">
      <formula>J32="gap"</formula>
    </cfRule>
  </conditionalFormatting>
  <dataValidations count="2">
    <dataValidation allowBlank="true" errorStyle="stop" operator="between" showDropDown="false" showErrorMessage="false" showInputMessage="false" sqref="J32:J36" type="list">
      <formula1>"UNVALIDATED,supported,gap"</formula1>
      <formula2>0</formula2>
    </dataValidation>
    <dataValidation allowBlank="true" errorStyle="stop" operator="between" showDropDown="false" showErrorMessage="false" showInputMessage="false" sqref="D32:D36" type="list">
      <formula1>"unpriced,evidence of demand,tested"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7" t="s">
        <v>25</v>
      </c>
    </row>
    <row r="2" customFormat="false" ht="15" hidden="false" customHeight="false" outlineLevel="0" collapsed="false">
      <c r="A2" s="3" t="s">
        <v>392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393</v>
      </c>
      <c r="C5" s="12" t="s">
        <v>394</v>
      </c>
      <c r="D5" s="12" t="s">
        <v>234</v>
      </c>
      <c r="E5" s="12" t="s">
        <v>395</v>
      </c>
      <c r="F5" s="12" t="s">
        <v>396</v>
      </c>
      <c r="G5" s="12" t="s">
        <v>397</v>
      </c>
      <c r="H5" s="12" t="s">
        <v>398</v>
      </c>
      <c r="I5" s="12" t="s">
        <v>399</v>
      </c>
      <c r="J5" s="12" t="s">
        <v>400</v>
      </c>
    </row>
    <row r="6" customFormat="false" ht="15" hidden="false" customHeight="false" outlineLevel="0" collapsed="false">
      <c r="A6" s="11" t="s">
        <v>401</v>
      </c>
      <c r="B6" s="11" t="s">
        <v>402</v>
      </c>
      <c r="C6" s="11" t="s">
        <v>153</v>
      </c>
      <c r="D6" s="11" t="s">
        <v>403</v>
      </c>
      <c r="E6" s="11" t="s">
        <v>404</v>
      </c>
      <c r="F6" s="31" t="n">
        <v>0.35</v>
      </c>
      <c r="G6" s="31" t="n">
        <v>0.25</v>
      </c>
      <c r="H6" s="34" t="n">
        <f aca="false">IF(OR(F6="",G6=""),"",G6-F6)</f>
        <v>-0.1</v>
      </c>
      <c r="I6" s="15" t="str">
        <f aca="false">IF(B6="","",IF(H6="","No figures",IF(H6&gt;0.05,"Differentiating engine",IF(H6&lt;-0.05,"Value trap","In balance"))))</f>
        <v>Value trap</v>
      </c>
      <c r="J6" s="11"/>
    </row>
    <row r="7" customFormat="false" ht="15" hidden="false" customHeight="false" outlineLevel="0" collapsed="false">
      <c r="A7" s="11" t="s">
        <v>405</v>
      </c>
      <c r="B7" s="11" t="s">
        <v>406</v>
      </c>
      <c r="C7" s="11" t="s">
        <v>407</v>
      </c>
      <c r="D7" s="11" t="s">
        <v>408</v>
      </c>
      <c r="E7" s="11" t="s">
        <v>404</v>
      </c>
      <c r="F7" s="31" t="n">
        <v>0.08</v>
      </c>
      <c r="G7" s="31" t="n">
        <v>0.2</v>
      </c>
      <c r="H7" s="34" t="n">
        <f aca="false">IF(OR(F7="",G7=""),"",G7-F7)</f>
        <v>0.12</v>
      </c>
      <c r="I7" s="15" t="str">
        <f aca="false">IF(B7="","",IF(H7="","No figures",IF(H7&gt;0.05,"Differentiating engine",IF(H7&lt;-0.05,"Value trap","In balance"))))</f>
        <v>Differentiating engine</v>
      </c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31"/>
      <c r="G8" s="31"/>
      <c r="H8" s="34" t="str">
        <f aca="false">IF(OR(F8="",G8=""),"",G8-F8)</f>
        <v/>
      </c>
      <c r="I8" s="15" t="str">
        <f aca="false">IF(B8="","",IF(H8="","No figures",IF(H8&gt;0.05,"Differentiating engine",IF(H8&lt;-0.05,"Value trap","In balance"))))</f>
        <v/>
      </c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31"/>
      <c r="G9" s="31"/>
      <c r="H9" s="34" t="str">
        <f aca="false">IF(OR(F9="",G9=""),"",G9-F9)</f>
        <v/>
      </c>
      <c r="I9" s="15" t="str">
        <f aca="false">IF(B9="","",IF(H9="","No figures",IF(H9&gt;0.05,"Differentiating engine",IF(H9&lt;-0.05,"Value trap","In balance"))))</f>
        <v/>
      </c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31"/>
      <c r="G10" s="31"/>
      <c r="H10" s="34" t="str">
        <f aca="false">IF(OR(F10="",G10=""),"",G10-F10)</f>
        <v/>
      </c>
      <c r="I10" s="15" t="str">
        <f aca="false">IF(B10="","",IF(H10="","No figures",IF(H10&gt;0.05,"Differentiating engine",IF(H10&lt;-0.05,"Value trap","In balance"))))</f>
        <v/>
      </c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31"/>
      <c r="G11" s="31"/>
      <c r="H11" s="34" t="str">
        <f aca="false">IF(OR(F11="",G11=""),"",G11-F11)</f>
        <v/>
      </c>
      <c r="I11" s="15" t="str">
        <f aca="false">IF(B11="","",IF(H11="","No figures",IF(H11&gt;0.05,"Differentiating engine",IF(H11&lt;-0.05,"Value trap","In balance"))))</f>
        <v/>
      </c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31"/>
      <c r="G12" s="31"/>
      <c r="H12" s="34" t="str">
        <f aca="false">IF(OR(F12="",G12=""),"",G12-F12)</f>
        <v/>
      </c>
      <c r="I12" s="15" t="str">
        <f aca="false">IF(B12="","",IF(H12="","No figures",IF(H12&gt;0.05,"Differentiating engine",IF(H12&lt;-0.05,"Value trap","In balance"))))</f>
        <v/>
      </c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31"/>
      <c r="G13" s="31"/>
      <c r="H13" s="34" t="str">
        <f aca="false">IF(OR(F13="",G13=""),"",G13-F13)</f>
        <v/>
      </c>
      <c r="I13" s="15" t="str">
        <f aca="false">IF(B13="","",IF(H13="","No figures",IF(H13&gt;0.05,"Differentiating engine",IF(H13&lt;-0.05,"Value trap","In balance"))))</f>
        <v/>
      </c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31"/>
      <c r="G14" s="31"/>
      <c r="H14" s="34" t="str">
        <f aca="false">IF(OR(F14="",G14=""),"",G14-F14)</f>
        <v/>
      </c>
      <c r="I14" s="15" t="str">
        <f aca="false">IF(B14="","",IF(H14="","No figures",IF(H14&gt;0.05,"Differentiating engine",IF(H14&lt;-0.05,"Value trap","In balance"))))</f>
        <v/>
      </c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31"/>
      <c r="G15" s="31"/>
      <c r="H15" s="34" t="str">
        <f aca="false">IF(OR(F15="",G15=""),"",G15-F15)</f>
        <v/>
      </c>
      <c r="I15" s="15" t="str">
        <f aca="false">IF(B15="","",IF(H15="","No figures",IF(H15&gt;0.05,"Differentiating engine",IF(H15&lt;-0.05,"Value trap","In balance"))))</f>
        <v/>
      </c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31"/>
      <c r="G16" s="31"/>
      <c r="H16" s="34" t="str">
        <f aca="false">IF(OR(F16="",G16=""),"",G16-F16)</f>
        <v/>
      </c>
      <c r="I16" s="15" t="str">
        <f aca="false">IF(B16="","",IF(H16="","No figures",IF(H16&gt;0.05,"Differentiating engine",IF(H16&lt;-0.05,"Value trap","In balance"))))</f>
        <v/>
      </c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31"/>
      <c r="G17" s="31"/>
      <c r="H17" s="34" t="str">
        <f aca="false">IF(OR(F17="",G17=""),"",G17-F17)</f>
        <v/>
      </c>
      <c r="I17" s="15" t="str">
        <f aca="false">IF(B17="","",IF(H17="","No figures",IF(H17&gt;0.05,"Differentiating engine",IF(H17&lt;-0.05,"Value trap","In balance"))))</f>
        <v/>
      </c>
      <c r="J17" s="11"/>
    </row>
    <row r="18" customFormat="false" ht="46.25" hidden="false" customHeight="false" outlineLevel="0" collapsed="false">
      <c r="A18" s="20" t="s">
        <v>409</v>
      </c>
      <c r="F18" s="32" t="n">
        <f aca="false">SUM(F6:F17)</f>
        <v>0.43</v>
      </c>
      <c r="G18" s="32" t="n">
        <f aca="false">SUM(G6:G17)</f>
        <v>0.45</v>
      </c>
      <c r="H18" s="15" t="str">
        <f aca="false">IF(AND(ABS(F18-1)&lt;0.02,ABS(G18-1)&lt;0.02),"Both sum to 100%","Cost and value shares should each sum to 100%")</f>
        <v>Cost and value shares should each sum to 100%</v>
      </c>
    </row>
  </sheetData>
  <conditionalFormatting sqref="I6:I17">
    <cfRule type="expression" priority="2" aboveAverage="0" equalAverage="0" bottom="0" percent="0" rank="0" text="" dxfId="0">
      <formula>I6="Differentiating engine"</formula>
    </cfRule>
    <cfRule type="expression" priority="3" aboveAverage="0" equalAverage="0" bottom="0" percent="0" rank="0" text="" dxfId="1">
      <formula>I6="In balance"</formula>
    </cfRule>
    <cfRule type="expression" priority="4" aboveAverage="0" equalAverage="0" bottom="0" percent="0" rank="0" text="" dxfId="2">
      <formula>I6="Value trap"</formula>
    </cfRule>
  </conditionalFormatting>
  <dataValidations count="3">
    <dataValidation allowBlank="true" errorStyle="stop" operator="between" showDropDown="false" showErrorMessage="false" showInputMessage="false" sqref="C6:C17" type="list">
      <formula1>"Inbound logistics,Operations,Outbound logistics,Marketing and sales,Service,Procurement,Technology,HR,Firm infrastructure"</formula1>
      <formula2>0</formula2>
    </dataValidation>
    <dataValidation allowBlank="true" errorStyle="stop" operator="between" showDropDown="false" showErrorMessage="false" showInputMessage="false" sqref="D6:D17" type="list">
      <formula1>"commodity,product,custom,genesis"</formula1>
      <formula2>0</formula2>
    </dataValidation>
    <dataValidation allowBlank="true" errorStyle="stop" operator="between" showDropDown="false" showErrorMessage="false" showInputMessage="false" sqref="E6:E17" type="list">
      <formula1>"in-house,outsourced,mixed"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true" outlineLevel="0" max="9" min="8" style="0" width="13"/>
  </cols>
  <sheetData>
    <row r="1" customFormat="false" ht="19.7" hidden="false" customHeight="false" outlineLevel="0" collapsed="false">
      <c r="A1" s="7" t="s">
        <v>410</v>
      </c>
    </row>
    <row r="2" customFormat="false" ht="15" hidden="false" customHeight="false" outlineLevel="0" collapsed="false">
      <c r="A2" s="3" t="s">
        <v>411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412</v>
      </c>
      <c r="D5" s="20" t="s">
        <v>413</v>
      </c>
    </row>
    <row r="6" customFormat="false" ht="15" hidden="false" customHeight="false" outlineLevel="0" collapsed="false">
      <c r="A6" s="5" t="s">
        <v>198</v>
      </c>
      <c r="B6" s="11" t="s">
        <v>414</v>
      </c>
      <c r="D6" s="20" t="s">
        <v>415</v>
      </c>
      <c r="E6" s="35" t="n">
        <f aca="false">IF(OR(B7="",B8=""),"",B7-B8)</f>
        <v>12000</v>
      </c>
      <c r="H6" s="36" t="n">
        <v>0</v>
      </c>
      <c r="I6" s="37" t="n">
        <f aca="false">IFERROR(IF($E$12-H6&lt;=0,0,$E$11*MIN(1,$E$12-H6)/(1+B14)^H6),0)</f>
        <v>2700</v>
      </c>
    </row>
    <row r="7" customFormat="false" ht="15" hidden="false" customHeight="false" outlineLevel="0" collapsed="false">
      <c r="A7" s="5" t="s">
        <v>416</v>
      </c>
      <c r="B7" s="38" t="n">
        <v>32000</v>
      </c>
      <c r="D7" s="5" t="s">
        <v>417</v>
      </c>
      <c r="E7" s="39" t="n">
        <f aca="false">IFERROR(E6/B7,"")</f>
        <v>0.375</v>
      </c>
      <c r="H7" s="36" t="n">
        <v>1</v>
      </c>
      <c r="I7" s="37" t="n">
        <f aca="false">IFERROR(IF($E$12-H7&lt;=0,0,$E$11*MIN(1,$E$12-H7)/(1+B14)^H7),0)</f>
        <v>2454.54545454545</v>
      </c>
    </row>
    <row r="8" customFormat="false" ht="15" hidden="false" customHeight="false" outlineLevel="0" collapsed="false">
      <c r="A8" s="5" t="s">
        <v>418</v>
      </c>
      <c r="B8" s="38" t="n">
        <v>20000</v>
      </c>
      <c r="D8" s="20" t="s">
        <v>419</v>
      </c>
      <c r="E8" s="23" t="n">
        <f aca="false">IFERROR(IF(E6&gt;0,B9/E6,"never"),"")</f>
        <v>15000</v>
      </c>
      <c r="H8" s="36" t="n">
        <v>2</v>
      </c>
      <c r="I8" s="37" t="n">
        <f aca="false">IFERROR(IF($E$12-H8&lt;=0,0,$E$11*MIN(1,$E$12-H8)/(1+B14)^H8),0)</f>
        <v>1115.70247933884</v>
      </c>
    </row>
    <row r="9" customFormat="false" ht="15" hidden="false" customHeight="false" outlineLevel="0" collapsed="false">
      <c r="A9" s="5" t="s">
        <v>420</v>
      </c>
      <c r="B9" s="38" t="n">
        <v>180000000</v>
      </c>
      <c r="D9" s="5" t="s">
        <v>421</v>
      </c>
      <c r="E9" s="39" t="n">
        <f aca="false">IFERROR((B10-E8)/B10,"")</f>
        <v>0.537037037037037</v>
      </c>
      <c r="H9" s="36" t="n">
        <v>3</v>
      </c>
      <c r="I9" s="37" t="n">
        <f aca="false">IFERROR(IF($E$12-H9&lt;=0,0,$E$11*MIN(1,$E$12-H9)/(1+B14)^H9),0)</f>
        <v>0</v>
      </c>
    </row>
    <row r="10" customFormat="false" ht="15" hidden="false" customHeight="false" outlineLevel="0" collapsed="false">
      <c r="A10" s="5" t="s">
        <v>422</v>
      </c>
      <c r="B10" s="24" t="n">
        <v>32400</v>
      </c>
      <c r="D10" s="5" t="s">
        <v>423</v>
      </c>
      <c r="E10" s="35" t="n">
        <f aca="false">IFERROR(E6*B10-B9,"")</f>
        <v>208800000</v>
      </c>
      <c r="H10" s="36" t="n">
        <v>4</v>
      </c>
      <c r="I10" s="37" t="n">
        <f aca="false">IFERROR(IF($E$12-H10&lt;=0,0,$E$11*MIN(1,$E$12-H10)/(1+B14)^H10),0)</f>
        <v>0</v>
      </c>
    </row>
    <row r="11" customFormat="false" ht="15" hidden="false" customHeight="false" outlineLevel="0" collapsed="false">
      <c r="A11" s="5" t="s">
        <v>424</v>
      </c>
      <c r="B11" s="38" t="n">
        <v>1500</v>
      </c>
      <c r="D11" s="5" t="s">
        <v>425</v>
      </c>
      <c r="E11" s="35" t="n">
        <f aca="false">IFERROR(E6*B12+N(B15),"")</f>
        <v>2700</v>
      </c>
      <c r="H11" s="36" t="n">
        <v>5</v>
      </c>
      <c r="I11" s="37" t="n">
        <f aca="false">IFERROR(IF($E$12-H11&lt;=0,0,$E$11*MIN(1,$E$12-H11)/(1+B14)^H11),0)</f>
        <v>0</v>
      </c>
    </row>
    <row r="12" customFormat="false" ht="15" hidden="false" customHeight="false" outlineLevel="0" collapsed="false">
      <c r="A12" s="5" t="s">
        <v>426</v>
      </c>
      <c r="B12" s="40" t="n">
        <v>0.2</v>
      </c>
      <c r="D12" s="5" t="s">
        <v>427</v>
      </c>
      <c r="E12" s="27" t="n">
        <f aca="false">IFERROR(IF(B13&gt;=1,10,MIN(10,1/(1-B13))),"")</f>
        <v>2.5</v>
      </c>
      <c r="H12" s="36" t="n">
        <v>6</v>
      </c>
      <c r="I12" s="37" t="n">
        <f aca="false">IFERROR(IF($E$12-H12&lt;=0,0,$E$11*MIN(1,$E$12-H12)/(1+B14)^H12),0)</f>
        <v>0</v>
      </c>
    </row>
    <row r="13" customFormat="false" ht="15" hidden="false" customHeight="false" outlineLevel="0" collapsed="false">
      <c r="A13" s="5" t="s">
        <v>428</v>
      </c>
      <c r="B13" s="31" t="n">
        <v>0.6</v>
      </c>
      <c r="D13" s="5" t="s">
        <v>429</v>
      </c>
      <c r="E13" s="35" t="n">
        <f aca="false">IF(E11="","",SUM(I6:I15))</f>
        <v>6270.2479338843</v>
      </c>
      <c r="H13" s="36" t="n">
        <v>7</v>
      </c>
      <c r="I13" s="37" t="n">
        <f aca="false">IFERROR(IF($E$12-H13&lt;=0,0,$E$11*MIN(1,$E$12-H13)/(1+B14)^H13),0)</f>
        <v>0</v>
      </c>
    </row>
    <row r="14" customFormat="false" ht="15" hidden="false" customHeight="false" outlineLevel="0" collapsed="false">
      <c r="A14" s="5" t="s">
        <v>430</v>
      </c>
      <c r="B14" s="22" t="n">
        <v>0.1</v>
      </c>
      <c r="D14" s="20" t="s">
        <v>431</v>
      </c>
      <c r="E14" s="29" t="n">
        <f aca="false">IFERROR(E13/B11,"")</f>
        <v>4.1801652892562</v>
      </c>
      <c r="H14" s="36" t="n">
        <v>8</v>
      </c>
      <c r="I14" s="37" t="n">
        <f aca="false">IFERROR(IF($E$12-H14&lt;=0,0,$E$11*MIN(1,$E$12-H14)/(1+B14)^H14),0)</f>
        <v>0</v>
      </c>
    </row>
    <row r="15" customFormat="false" ht="15" hidden="false" customHeight="false" outlineLevel="0" collapsed="false">
      <c r="A15" s="5" t="s">
        <v>432</v>
      </c>
      <c r="B15" s="38" t="n">
        <v>300</v>
      </c>
      <c r="D15" s="5" t="s">
        <v>433</v>
      </c>
      <c r="E15" s="27" t="n">
        <f aca="false">IFERROR(B11/(E11/12),"")</f>
        <v>6.66666666666667</v>
      </c>
      <c r="H15" s="36" t="n">
        <v>9</v>
      </c>
      <c r="I15" s="37" t="n">
        <f aca="false">IFERROR(IF($E$12-H15&lt;=0,0,$E$11*MIN(1,$E$12-H15)/(1+B14)^H15),0)</f>
        <v>0</v>
      </c>
    </row>
    <row r="18" customFormat="false" ht="23.85" hidden="false" customHeight="false" outlineLevel="0" collapsed="false">
      <c r="A18" s="20" t="s">
        <v>434</v>
      </c>
    </row>
    <row r="19" customFormat="false" ht="30" hidden="false" customHeight="true" outlineLevel="0" collapsed="false">
      <c r="A19" s="12" t="s">
        <v>435</v>
      </c>
      <c r="B19" s="12" t="s">
        <v>436</v>
      </c>
      <c r="C19" s="12" t="s">
        <v>437</v>
      </c>
      <c r="D19" s="12" t="s">
        <v>438</v>
      </c>
    </row>
    <row r="20" customFormat="false" ht="15" hidden="false" customHeight="false" outlineLevel="0" collapsed="false">
      <c r="A20" s="5" t="s">
        <v>439</v>
      </c>
      <c r="B20" s="41" t="n">
        <f aca="false">IFERROR(((B7*(1+-0.1))-B8)*B10-B9,"")</f>
        <v>105120000</v>
      </c>
      <c r="C20" s="41" t="n">
        <f aca="false">IFERROR(((B7*(1+0))-B8)*B10-B9,"")</f>
        <v>208800000</v>
      </c>
      <c r="D20" s="41" t="n">
        <f aca="false">IFERROR(((B7*(1+0.1))-B8)*B10-B9,"")</f>
        <v>312480000</v>
      </c>
    </row>
    <row r="21" customFormat="false" ht="15" hidden="false" customHeight="false" outlineLevel="0" collapsed="false">
      <c r="A21" s="5" t="s">
        <v>440</v>
      </c>
      <c r="B21" s="41" t="n">
        <f aca="false">IFERROR((B7-B8*(1+-0.1))*B10-B9,"")</f>
        <v>273600000</v>
      </c>
      <c r="C21" s="41" t="n">
        <f aca="false">IFERROR((B7-B8*(1+0))*B10-B9,"")</f>
        <v>208800000</v>
      </c>
      <c r="D21" s="41" t="n">
        <f aca="false">IFERROR((B7-B8*(1+0.1))*B10-B9,"")</f>
        <v>144000000</v>
      </c>
    </row>
    <row r="22" customFormat="false" ht="15" hidden="false" customHeight="false" outlineLevel="0" collapsed="false">
      <c r="A22" s="5" t="s">
        <v>441</v>
      </c>
      <c r="B22" s="41" t="n">
        <f aca="false">IFERROR((B7-B8)*B10*(1+-0.1)-B9,"")</f>
        <v>169920000</v>
      </c>
      <c r="C22" s="41" t="n">
        <f aca="false">IFERROR((B7-B8)*B10*(1+0)-B9,"")</f>
        <v>208800000</v>
      </c>
      <c r="D22" s="41" t="n">
        <f aca="false">IFERROR((B7-B8)*B10*(1+0.1)-B9,"")</f>
        <v>247680000</v>
      </c>
    </row>
    <row r="23" customFormat="false" ht="15" hidden="false" customHeight="false" outlineLevel="0" collapsed="false">
      <c r="A23" s="5" t="s">
        <v>442</v>
      </c>
      <c r="B23" s="41" t="n">
        <f aca="false">IFERROR((B7-B8)*B10-B9*(1+-0.1),"")</f>
        <v>226800000</v>
      </c>
      <c r="C23" s="41" t="n">
        <f aca="false">IFERROR((B7-B8)*B10-B9*(1+0),"")</f>
        <v>208800000</v>
      </c>
      <c r="D23" s="41" t="n">
        <f aca="false">IFERROR((B7-B8)*B10-B9*(1+0.1),"")</f>
        <v>190800000</v>
      </c>
    </row>
  </sheetData>
  <conditionalFormatting sqref="E14">
    <cfRule type="expression" priority="2" aboveAverage="0" equalAverage="0" bottom="0" percent="0" rank="0" text="" dxfId="0">
      <formula>AND(ISNUMBER(E14),E14&gt;=3)</formula>
    </cfRule>
    <cfRule type="expression" priority="3" aboveAverage="0" equalAverage="0" bottom="0" percent="0" rank="0" text="" dxfId="1">
      <formula>AND(ISNUMBER(E14),E14&gt;=1)</formula>
    </cfRule>
    <cfRule type="expression" priority="4" aboveAverage="0" equalAverage="0" bottom="0" percent="0" rank="0" text="" dxfId="2">
      <formula>AND(ISNUMBER(E14),E14&lt;1)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7" t="s">
        <v>443</v>
      </c>
    </row>
    <row r="2" customFormat="false" ht="15" hidden="false" customHeight="false" outlineLevel="0" collapsed="false">
      <c r="A2" s="3" t="s">
        <v>444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445</v>
      </c>
    </row>
    <row r="6" customFormat="false" ht="30" hidden="false" customHeight="true" outlineLevel="0" collapsed="false">
      <c r="A6" s="12" t="s">
        <v>273</v>
      </c>
      <c r="B6" s="12" t="s">
        <v>446</v>
      </c>
      <c r="C6" s="12" t="s">
        <v>447</v>
      </c>
      <c r="D6" s="12" t="s">
        <v>448</v>
      </c>
    </row>
    <row r="7" customFormat="false" ht="15" hidden="false" customHeight="false" outlineLevel="0" collapsed="false">
      <c r="A7" s="11" t="s">
        <v>449</v>
      </c>
      <c r="B7" s="11" t="s">
        <v>450</v>
      </c>
      <c r="C7" s="11" t="s">
        <v>451</v>
      </c>
      <c r="D7" s="11" t="s">
        <v>452</v>
      </c>
    </row>
    <row r="8" customFormat="false" ht="15" hidden="false" customHeight="false" outlineLevel="0" collapsed="false">
      <c r="A8" s="11" t="s">
        <v>453</v>
      </c>
      <c r="B8" s="11" t="s">
        <v>454</v>
      </c>
      <c r="C8" s="11" t="s">
        <v>455</v>
      </c>
      <c r="D8" s="11" t="s">
        <v>456</v>
      </c>
    </row>
    <row r="9" customFormat="false" ht="15" hidden="false" customHeight="false" outlineLevel="0" collapsed="false">
      <c r="A9" s="11"/>
      <c r="B9" s="11"/>
      <c r="C9" s="11"/>
      <c r="D9" s="11"/>
    </row>
    <row r="10" customFormat="false" ht="15" hidden="false" customHeight="false" outlineLevel="0" collapsed="false">
      <c r="A10" s="11"/>
      <c r="B10" s="11"/>
      <c r="C10" s="11"/>
      <c r="D10" s="11"/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1"/>
      <c r="B14" s="11"/>
      <c r="C14" s="11"/>
      <c r="D14" s="11"/>
    </row>
    <row r="16" customFormat="false" ht="15" hidden="false" customHeight="false" outlineLevel="0" collapsed="false">
      <c r="A16" s="17" t="s">
        <v>457</v>
      </c>
    </row>
    <row r="17" customFormat="false" ht="30" hidden="false" customHeight="true" outlineLevel="0" collapsed="false">
      <c r="A17" s="12" t="s">
        <v>273</v>
      </c>
      <c r="B17" s="12" t="s">
        <v>458</v>
      </c>
      <c r="C17" s="12" t="s">
        <v>459</v>
      </c>
      <c r="D17" s="12" t="s">
        <v>460</v>
      </c>
      <c r="E17" s="12" t="s">
        <v>461</v>
      </c>
      <c r="F17" s="12" t="s">
        <v>462</v>
      </c>
    </row>
    <row r="18" customFormat="false" ht="15" hidden="false" customHeight="false" outlineLevel="0" collapsed="false">
      <c r="A18" s="11" t="s">
        <v>463</v>
      </c>
      <c r="B18" s="11" t="s">
        <v>464</v>
      </c>
      <c r="C18" s="11" t="s">
        <v>449</v>
      </c>
      <c r="D18" s="11" t="s">
        <v>465</v>
      </c>
      <c r="E18" s="11" t="s">
        <v>401</v>
      </c>
      <c r="F18" s="11" t="s">
        <v>466</v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7" customFormat="false" ht="15" hidden="false" customHeight="false" outlineLevel="0" collapsed="false">
      <c r="A27" s="17" t="s">
        <v>467</v>
      </c>
    </row>
    <row r="28" customFormat="false" ht="30" hidden="false" customHeight="true" outlineLevel="0" collapsed="false">
      <c r="A28" s="12" t="s">
        <v>458</v>
      </c>
      <c r="B28" s="12" t="s">
        <v>468</v>
      </c>
      <c r="C28" s="12" t="s">
        <v>469</v>
      </c>
      <c r="D28" s="12" t="s">
        <v>470</v>
      </c>
      <c r="E28" s="12" t="s">
        <v>471</v>
      </c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5" customFormat="false" ht="15" hidden="false" customHeight="false" outlineLevel="0" collapsed="false">
      <c r="A35" s="20" t="s">
        <v>472</v>
      </c>
      <c r="B35" s="15" t="str">
        <f aca="false">COUNTA(B7:B14)&amp;" resources · "&amp;COUNTA(B18:B25)&amp;" capabilities ("&amp;COUNTIF(F18:F25,"distinctive")&amp;" distinctive) · "&amp;COUNTIF(E29:E33,"confirmed")&amp;" confirmed core competencies"</f>
        <v>2 resources · 1 capabilities (1 distinctive) · 0 confirmed core competencies</v>
      </c>
      <c r="C35" s="15"/>
      <c r="D35" s="15"/>
      <c r="E35" s="15"/>
      <c r="F35" s="15"/>
      <c r="G35" s="15"/>
    </row>
  </sheetData>
  <mergeCells count="1">
    <mergeCell ref="B35:G35"/>
  </mergeCells>
  <dataValidations count="3">
    <dataValidation allowBlank="true" errorStyle="stop" operator="between" showDropDown="false" showErrorMessage="false" showInputMessage="false" sqref="C7:C14" type="list">
      <formula1>"tangible,intangible,human,organisational"</formula1>
      <formula2>0</formula2>
    </dataValidation>
    <dataValidation allowBlank="true" errorStyle="stop" operator="between" showDropDown="false" showErrorMessage="false" showInputMessage="false" sqref="F18:F25" type="list">
      <formula1>"threshold,distinctive"</formula1>
      <formula2>0</formula2>
    </dataValidation>
    <dataValidation allowBlank="true" errorStyle="stop" operator="between" showDropDown="false" showErrorMessage="false" showInputMessage="false" sqref="E29:E33" type="list">
      <formula1>"candidate,confirmed,removed"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7" t="s">
        <v>473</v>
      </c>
    </row>
    <row r="2" customFormat="false" ht="15" hidden="false" customHeight="false" outlineLevel="0" collapsed="false">
      <c r="A2" s="3" t="s">
        <v>474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475</v>
      </c>
      <c r="B5" s="12" t="s">
        <v>447</v>
      </c>
      <c r="C5" s="12" t="s">
        <v>476</v>
      </c>
      <c r="D5" s="12" t="s">
        <v>477</v>
      </c>
      <c r="E5" s="12" t="s">
        <v>478</v>
      </c>
      <c r="F5" s="12" t="s">
        <v>479</v>
      </c>
      <c r="G5" s="12" t="s">
        <v>339</v>
      </c>
      <c r="H5" s="12" t="s">
        <v>480</v>
      </c>
      <c r="I5" s="12" t="s">
        <v>481</v>
      </c>
      <c r="J5" s="12" t="s">
        <v>482</v>
      </c>
      <c r="K5" s="12" t="s">
        <v>483</v>
      </c>
    </row>
    <row r="6" customFormat="false" ht="15" hidden="false" customHeight="false" outlineLevel="0" collapsed="false">
      <c r="A6" s="11" t="s">
        <v>484</v>
      </c>
      <c r="B6" s="11" t="s">
        <v>485</v>
      </c>
      <c r="C6" s="11" t="s">
        <v>206</v>
      </c>
      <c r="D6" s="11" t="s">
        <v>206</v>
      </c>
      <c r="E6" s="11" t="s">
        <v>206</v>
      </c>
      <c r="F6" s="11" t="s">
        <v>206</v>
      </c>
      <c r="G6" s="15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>Sustained advantage</v>
      </c>
      <c r="H6" s="11" t="s">
        <v>174</v>
      </c>
      <c r="I6" s="31" t="n">
        <v>0.25</v>
      </c>
      <c r="J6" s="15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>Supported</v>
      </c>
      <c r="K6" s="11" t="s">
        <v>486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5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/>
      </c>
      <c r="H7" s="11"/>
      <c r="I7" s="31"/>
      <c r="J7" s="15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/>
      </c>
      <c r="K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5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/>
      </c>
      <c r="H8" s="11"/>
      <c r="I8" s="31"/>
      <c r="J8" s="15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/>
      </c>
      <c r="K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5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/>
      </c>
      <c r="H9" s="11"/>
      <c r="I9" s="31"/>
      <c r="J9" s="15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5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11"/>
      <c r="I10" s="31"/>
      <c r="J10" s="15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5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11"/>
      <c r="I11" s="31"/>
      <c r="J11" s="15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5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11"/>
      <c r="I12" s="31"/>
      <c r="J12" s="15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5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11"/>
      <c r="I13" s="31"/>
      <c r="J13" s="15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5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11"/>
      <c r="I14" s="31"/>
      <c r="J14" s="15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5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11"/>
      <c r="I15" s="31"/>
      <c r="J15" s="15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5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11"/>
      <c r="I16" s="31"/>
      <c r="J16" s="15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5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11"/>
      <c r="I17" s="31"/>
      <c r="J17" s="15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5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11"/>
      <c r="I18" s="31"/>
      <c r="J18" s="15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5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11"/>
      <c r="I19" s="31"/>
      <c r="J19" s="15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5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11"/>
      <c r="I20" s="31"/>
      <c r="J20" s="15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11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7" t="s">
        <v>487</v>
      </c>
    </row>
    <row r="2" customFormat="false" ht="15" hidden="false" customHeight="false" outlineLevel="0" collapsed="false">
      <c r="A2" s="3" t="s">
        <v>488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489</v>
      </c>
      <c r="B5" s="12" t="s">
        <v>490</v>
      </c>
      <c r="C5" s="12" t="s">
        <v>491</v>
      </c>
      <c r="D5" s="12" t="s">
        <v>492</v>
      </c>
      <c r="E5" s="12" t="s">
        <v>493</v>
      </c>
      <c r="F5" s="12" t="s">
        <v>494</v>
      </c>
      <c r="G5" s="12" t="s">
        <v>495</v>
      </c>
    </row>
    <row r="6" customFormat="false" ht="15" hidden="false" customHeight="false" outlineLevel="0" collapsed="false">
      <c r="A6" s="5" t="s">
        <v>416</v>
      </c>
      <c r="B6" s="24" t="n">
        <v>30000</v>
      </c>
      <c r="C6" s="24" t="n">
        <v>32000</v>
      </c>
      <c r="D6" s="11" t="s">
        <v>496</v>
      </c>
      <c r="E6" s="11" t="s">
        <v>497</v>
      </c>
      <c r="F6" s="42" t="n">
        <f aca="false">IF(B6="","",IF(C6="",B6,MAX(B6,C6)))</f>
        <v>32000</v>
      </c>
      <c r="G6" s="43" t="n">
        <f aca="false">IFERROR(((F6+N(B7)-B9)*B8-B10)-((B6+N(B7)-B9)*B8-B10),"")</f>
        <v>600000000</v>
      </c>
    </row>
    <row r="7" customFormat="false" ht="15" hidden="false" customHeight="false" outlineLevel="0" collapsed="false">
      <c r="A7" s="5" t="s">
        <v>498</v>
      </c>
      <c r="B7" s="24" t="n">
        <v>0</v>
      </c>
      <c r="C7" s="24" t="n">
        <v>800</v>
      </c>
      <c r="D7" s="11" t="s">
        <v>496</v>
      </c>
      <c r="E7" s="11" t="s">
        <v>497</v>
      </c>
      <c r="F7" s="42" t="n">
        <f aca="false">IF(B7="","",IF(C7="",B7,MAX(B7,C7)))</f>
        <v>800</v>
      </c>
      <c r="G7" s="43" t="n">
        <f aca="false">IFERROR(((F6+N(F7)-B9)*B8-B10)-((F6+N(B7)-B9)*B8-B10),"")</f>
        <v>240000000</v>
      </c>
    </row>
    <row r="8" customFormat="false" ht="15" hidden="false" customHeight="false" outlineLevel="0" collapsed="false">
      <c r="A8" s="5" t="s">
        <v>441</v>
      </c>
      <c r="B8" s="24" t="n">
        <v>300000</v>
      </c>
      <c r="C8" s="24" t="n">
        <v>360000</v>
      </c>
      <c r="D8" s="11" t="s">
        <v>496</v>
      </c>
      <c r="E8" s="11" t="s">
        <v>497</v>
      </c>
      <c r="F8" s="42" t="n">
        <f aca="false">IF(B8="","",IF(C8="",B8,MAX(B8,C8)))</f>
        <v>360000</v>
      </c>
      <c r="G8" s="43" t="n">
        <f aca="false">IFERROR(((F6+N(F7)-B9)*F8-B10)-((F6+N(F7)-B9)*B8-B10),"")</f>
        <v>528000000</v>
      </c>
    </row>
    <row r="9" customFormat="false" ht="15" hidden="false" customHeight="false" outlineLevel="0" collapsed="false">
      <c r="A9" s="5" t="s">
        <v>418</v>
      </c>
      <c r="B9" s="24" t="n">
        <v>24000</v>
      </c>
      <c r="C9" s="24" t="n">
        <v>22500</v>
      </c>
      <c r="D9" s="11" t="s">
        <v>496</v>
      </c>
      <c r="E9" s="11" t="s">
        <v>497</v>
      </c>
      <c r="F9" s="42" t="n">
        <f aca="false">IF(B9="","",IF(C9="",B9,MIN(B9,C9)))</f>
        <v>22500</v>
      </c>
      <c r="G9" s="43" t="n">
        <f aca="false">IFERROR(((F6+N(F7)-F9)*F8-B10)-((F6+N(F7)-B9)*F8-B10),"")</f>
        <v>540000000</v>
      </c>
    </row>
    <row r="10" customFormat="false" ht="15" hidden="false" customHeight="false" outlineLevel="0" collapsed="false">
      <c r="A10" s="5" t="s">
        <v>442</v>
      </c>
      <c r="B10" s="24" t="n">
        <v>1800000000</v>
      </c>
      <c r="C10" s="24" t="n">
        <v>1700000000</v>
      </c>
      <c r="D10" s="11" t="s">
        <v>496</v>
      </c>
      <c r="E10" s="11" t="s">
        <v>497</v>
      </c>
      <c r="F10" s="42" t="n">
        <f aca="false">IF(B10="","",IF(C10="",B10,MIN(B10,C10)))</f>
        <v>1700000000</v>
      </c>
      <c r="G10" s="43" t="n">
        <f aca="false">IFERROR(((F6+N(F7)-F9)*F8-F10)-((F6+N(F7)-F9)*F8-B10),"")</f>
        <v>100000000</v>
      </c>
    </row>
    <row r="12" customFormat="false" ht="15" hidden="false" customHeight="false" outlineLevel="0" collapsed="false">
      <c r="A12" s="20" t="s">
        <v>499</v>
      </c>
      <c r="B12" s="43" t="n">
        <f aca="false">IFERROR(((B6+N(B7)-B9)*B8-B10),"")</f>
        <v>0</v>
      </c>
    </row>
    <row r="13" customFormat="false" ht="23.85" hidden="false" customHeight="false" outlineLevel="0" collapsed="false">
      <c r="A13" s="20" t="s">
        <v>500</v>
      </c>
      <c r="B13" s="43" t="n">
        <f aca="false">IFERROR(((F6+N(F7)-F9)*F8-F10),"")</f>
        <v>2008000000</v>
      </c>
    </row>
    <row r="14" customFormat="false" ht="15" hidden="false" customHeight="false" outlineLevel="0" collapsed="false">
      <c r="A14" s="20" t="s">
        <v>501</v>
      </c>
      <c r="B14" s="43" t="n">
        <f aca="false">IFERROR(B13-B12,"")</f>
        <v>2008000000</v>
      </c>
      <c r="C14" s="44" t="str">
        <f aca="false">IFERROR(B14/ABS(B12),"")</f>
        <v/>
      </c>
    </row>
    <row r="15" customFormat="false" ht="15" hidden="false" customHeight="false" outlineLevel="0" collapsed="false">
      <c r="A15" s="20" t="s">
        <v>502</v>
      </c>
      <c r="B15" s="16" t="str">
        <f aca="false">IFERROR(INDEX(A6:A10,MATCH(MAX(G6:G10),G6:G10,0)),"")</f>
        <v>Price per unit</v>
      </c>
    </row>
  </sheetData>
  <dataValidations count="1">
    <dataValidation allowBlank="true" errorStyle="stop" operator="between" showDropDown="false" showErrorMessage="false" showInputMessage="false" sqref="E6:E10" type="list">
      <formula1>"controllable,capability-bound,structural"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503</v>
      </c>
    </row>
    <row r="2" customFormat="false" ht="15" hidden="false" customHeight="false" outlineLevel="0" collapsed="false">
      <c r="A2" s="3" t="s">
        <v>504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505</v>
      </c>
      <c r="B5" s="12" t="s">
        <v>471</v>
      </c>
      <c r="C5" s="12" t="s">
        <v>483</v>
      </c>
      <c r="D5" s="12" t="s">
        <v>506</v>
      </c>
    </row>
    <row r="6" customFormat="false" ht="30" hidden="false" customHeight="true" outlineLevel="0" collapsed="false">
      <c r="A6" s="5" t="s">
        <v>507</v>
      </c>
      <c r="B6" s="11" t="s">
        <v>508</v>
      </c>
      <c r="C6" s="11"/>
      <c r="D6" s="11"/>
    </row>
    <row r="7" customFormat="false" ht="30" hidden="false" customHeight="true" outlineLevel="0" collapsed="false">
      <c r="A7" s="5" t="s">
        <v>509</v>
      </c>
      <c r="B7" s="11" t="s">
        <v>508</v>
      </c>
      <c r="C7" s="11"/>
      <c r="D7" s="11"/>
    </row>
    <row r="8" customFormat="false" ht="30" hidden="false" customHeight="true" outlineLevel="0" collapsed="false">
      <c r="A8" s="5" t="s">
        <v>510</v>
      </c>
      <c r="B8" s="11" t="s">
        <v>508</v>
      </c>
      <c r="C8" s="11"/>
      <c r="D8" s="11"/>
    </row>
    <row r="9" customFormat="false" ht="30" hidden="false" customHeight="true" outlineLevel="0" collapsed="false">
      <c r="A9" s="5" t="s">
        <v>511</v>
      </c>
      <c r="B9" s="11" t="s">
        <v>512</v>
      </c>
      <c r="C9" s="11"/>
      <c r="D9" s="11"/>
    </row>
    <row r="10" customFormat="false" ht="30" hidden="false" customHeight="true" outlineLevel="0" collapsed="false">
      <c r="A10" s="5" t="s">
        <v>513</v>
      </c>
      <c r="B10" s="11" t="s">
        <v>514</v>
      </c>
      <c r="C10" s="11"/>
      <c r="D10" s="11"/>
    </row>
    <row r="11" customFormat="false" ht="30" hidden="false" customHeight="true" outlineLevel="0" collapsed="false">
      <c r="A11" s="5" t="s">
        <v>515</v>
      </c>
      <c r="B11" s="11" t="s">
        <v>508</v>
      </c>
      <c r="C11" s="11"/>
      <c r="D11" s="11"/>
    </row>
    <row r="13" customFormat="false" ht="15" hidden="false" customHeight="false" outlineLevel="0" collapsed="false">
      <c r="A13" s="20" t="s">
        <v>516</v>
      </c>
      <c r="B13" s="16" t="str">
        <f aca="false">IF(COUNTIF(B6:B11,"binding")=1,INDEX(A6:A11,MATCH("binding",B6:B11,0)),IF(COUNTIF(B6:B11,"binding")=0,"None marked","More than one: choose the one that binds first"))</f>
        <v>Distribution / market access</v>
      </c>
      <c r="C13" s="16"/>
      <c r="D13" s="16"/>
    </row>
  </sheetData>
  <mergeCells count="1">
    <mergeCell ref="B13:D13"/>
  </mergeCells>
  <conditionalFormatting sqref="B6:B11">
    <cfRule type="expression" priority="2" aboveAverage="0" equalAverage="0" bottom="0" percent="0" rank="0" text="" dxfId="0">
      <formula>B6="slack"</formula>
    </cfRule>
    <cfRule type="expression" priority="3" aboveAverage="0" equalAverage="0" bottom="0" percent="0" rank="0" text="" dxfId="1">
      <formula>B6="tight"</formula>
    </cfRule>
    <cfRule type="expression" priority="4" aboveAverage="0" equalAverage="0" bottom="0" percent="0" rank="0" text="" dxfId="2">
      <formula>B6="binding"</formula>
    </cfRule>
  </conditionalFormatting>
  <dataValidations count="1">
    <dataValidation allowBlank="true" errorStyle="stop" operator="between" showDropDown="false" showErrorMessage="false" showInputMessage="false" sqref="B6:B11" type="list">
      <formula1>"binding,tight,slack"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7" t="s">
        <v>517</v>
      </c>
    </row>
    <row r="2" customFormat="false" ht="15" hidden="false" customHeight="false" outlineLevel="0" collapsed="false">
      <c r="A2" s="3" t="s">
        <v>518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2" t="s">
        <v>273</v>
      </c>
      <c r="B5" s="12" t="s">
        <v>519</v>
      </c>
      <c r="C5" s="12" t="s">
        <v>520</v>
      </c>
      <c r="E5" s="12" t="s">
        <v>273</v>
      </c>
      <c r="F5" s="12" t="s">
        <v>521</v>
      </c>
      <c r="G5" s="12" t="s">
        <v>520</v>
      </c>
    </row>
    <row r="6" customFormat="false" ht="15" hidden="false" customHeight="false" outlineLevel="0" collapsed="false">
      <c r="A6" s="20" t="s">
        <v>522</v>
      </c>
      <c r="B6" s="11" t="s">
        <v>523</v>
      </c>
      <c r="C6" s="11" t="s">
        <v>524</v>
      </c>
      <c r="E6" s="20" t="s">
        <v>525</v>
      </c>
      <c r="F6" s="11" t="s">
        <v>526</v>
      </c>
      <c r="G6" s="11" t="s">
        <v>527</v>
      </c>
    </row>
    <row r="7" customFormat="false" ht="15" hidden="false" customHeight="false" outlineLevel="0" collapsed="false">
      <c r="A7" s="20" t="s">
        <v>528</v>
      </c>
      <c r="B7" s="11"/>
      <c r="C7" s="11"/>
      <c r="E7" s="20" t="s">
        <v>529</v>
      </c>
      <c r="F7" s="11"/>
      <c r="G7" s="11"/>
    </row>
    <row r="8" customFormat="false" ht="15" hidden="false" customHeight="false" outlineLevel="0" collapsed="false">
      <c r="A8" s="20" t="s">
        <v>530</v>
      </c>
      <c r="B8" s="11"/>
      <c r="C8" s="11"/>
      <c r="E8" s="20" t="s">
        <v>531</v>
      </c>
      <c r="F8" s="11"/>
      <c r="G8" s="11"/>
    </row>
    <row r="9" customFormat="false" ht="15" hidden="false" customHeight="false" outlineLevel="0" collapsed="false">
      <c r="A9" s="20" t="s">
        <v>532</v>
      </c>
      <c r="B9" s="11"/>
      <c r="C9" s="11"/>
      <c r="E9" s="20" t="s">
        <v>533</v>
      </c>
      <c r="F9" s="11"/>
      <c r="G9" s="11"/>
    </row>
    <row r="10" customFormat="false" ht="15" hidden="false" customHeight="false" outlineLevel="0" collapsed="false">
      <c r="A10" s="20" t="s">
        <v>534</v>
      </c>
      <c r="B10" s="11"/>
      <c r="C10" s="11"/>
      <c r="E10" s="20" t="s">
        <v>535</v>
      </c>
      <c r="F10" s="11"/>
      <c r="G10" s="11"/>
    </row>
    <row r="11" customFormat="false" ht="15" hidden="false" customHeight="false" outlineLevel="0" collapsed="false">
      <c r="A11" s="20" t="s">
        <v>536</v>
      </c>
      <c r="B11" s="11"/>
      <c r="C11" s="11"/>
      <c r="E11" s="20" t="s">
        <v>537</v>
      </c>
      <c r="F11" s="11"/>
      <c r="G11" s="11"/>
    </row>
    <row r="14" customFormat="false" ht="15" hidden="false" customHeight="false" outlineLevel="0" collapsed="false">
      <c r="A14" s="12" t="s">
        <v>273</v>
      </c>
      <c r="B14" s="12" t="s">
        <v>538</v>
      </c>
      <c r="C14" s="12" t="s">
        <v>520</v>
      </c>
      <c r="E14" s="12" t="s">
        <v>273</v>
      </c>
      <c r="F14" s="12" t="s">
        <v>539</v>
      </c>
      <c r="G14" s="12" t="s">
        <v>520</v>
      </c>
    </row>
    <row r="15" customFormat="false" ht="15" hidden="false" customHeight="false" outlineLevel="0" collapsed="false">
      <c r="A15" s="20" t="s">
        <v>540</v>
      </c>
      <c r="B15" s="11" t="s">
        <v>541</v>
      </c>
      <c r="C15" s="11" t="s">
        <v>542</v>
      </c>
      <c r="E15" s="20" t="s">
        <v>162</v>
      </c>
      <c r="F15" s="11" t="s">
        <v>543</v>
      </c>
      <c r="G15" s="11" t="s">
        <v>544</v>
      </c>
    </row>
    <row r="16" customFormat="false" ht="15" hidden="false" customHeight="false" outlineLevel="0" collapsed="false">
      <c r="A16" s="20" t="s">
        <v>545</v>
      </c>
      <c r="B16" s="11"/>
      <c r="C16" s="11"/>
      <c r="E16" s="20" t="s">
        <v>163</v>
      </c>
      <c r="F16" s="11"/>
      <c r="G16" s="11"/>
    </row>
    <row r="17" customFormat="false" ht="15" hidden="false" customHeight="false" outlineLevel="0" collapsed="false">
      <c r="A17" s="20" t="s">
        <v>546</v>
      </c>
      <c r="B17" s="11"/>
      <c r="C17" s="11"/>
      <c r="E17" s="20" t="s">
        <v>164</v>
      </c>
      <c r="F17" s="11"/>
      <c r="G17" s="11"/>
    </row>
    <row r="18" customFormat="false" ht="15" hidden="false" customHeight="false" outlineLevel="0" collapsed="false">
      <c r="A18" s="20" t="s">
        <v>547</v>
      </c>
      <c r="B18" s="11"/>
      <c r="C18" s="11"/>
      <c r="E18" s="20" t="s">
        <v>165</v>
      </c>
      <c r="F18" s="11"/>
      <c r="G18" s="11"/>
    </row>
    <row r="19" customFormat="false" ht="15" hidden="false" customHeight="false" outlineLevel="0" collapsed="false">
      <c r="A19" s="20" t="s">
        <v>548</v>
      </c>
      <c r="B19" s="11"/>
      <c r="C19" s="11"/>
      <c r="E19" s="20" t="s">
        <v>166</v>
      </c>
      <c r="F19" s="11"/>
      <c r="G19" s="11"/>
    </row>
    <row r="20" customFormat="false" ht="15" hidden="false" customHeight="false" outlineLevel="0" collapsed="false">
      <c r="A20" s="20" t="s">
        <v>549</v>
      </c>
      <c r="B20" s="11"/>
      <c r="C20" s="11"/>
      <c r="E20" s="20" t="s">
        <v>167</v>
      </c>
      <c r="F20" s="11"/>
      <c r="G20" s="11"/>
    </row>
    <row r="23" customFormat="false" ht="15" hidden="false" customHeight="false" outlineLevel="0" collapsed="false">
      <c r="A23" s="12" t="s">
        <v>550</v>
      </c>
      <c r="B23" s="12" t="s">
        <v>551</v>
      </c>
      <c r="C23" s="12" t="s">
        <v>552</v>
      </c>
    </row>
    <row r="24" customFormat="false" ht="15" hidden="false" customHeight="false" outlineLevel="0" collapsed="false">
      <c r="A24" s="11" t="s">
        <v>553</v>
      </c>
      <c r="B24" s="11" t="s">
        <v>554</v>
      </c>
      <c r="C24" s="11" t="s">
        <v>555</v>
      </c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7" customFormat="false" ht="15" hidden="false" customHeight="false" outlineLevel="0" collapsed="false">
      <c r="A27" s="11"/>
      <c r="B27" s="11"/>
      <c r="C27" s="11"/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11"/>
      <c r="B29" s="11"/>
      <c r="C29" s="11"/>
    </row>
    <row r="30" customFormat="false" ht="15" hidden="false" customHeight="false" outlineLevel="0" collapsed="false">
      <c r="A30" s="11"/>
      <c r="B30" s="11"/>
      <c r="C30" s="11"/>
    </row>
    <row r="31" customFormat="false" ht="15" hidden="false" customHeight="false" outlineLevel="0" collapsed="false">
      <c r="A31" s="11"/>
      <c r="B31" s="11"/>
      <c r="C31" s="11"/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556</v>
      </c>
    </row>
    <row r="2" customFormat="false" ht="15" hidden="false" customHeight="false" outlineLevel="0" collapsed="false">
      <c r="A2" s="3" t="s">
        <v>557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5" t="s">
        <v>558</v>
      </c>
      <c r="B5" s="11" t="s">
        <v>559</v>
      </c>
      <c r="C5" s="11"/>
      <c r="D5" s="11"/>
    </row>
    <row r="6" customFormat="false" ht="30" hidden="false" customHeight="true" outlineLevel="0" collapsed="false">
      <c r="A6" s="5" t="s">
        <v>560</v>
      </c>
      <c r="B6" s="11"/>
      <c r="C6" s="11"/>
      <c r="D6" s="11"/>
    </row>
    <row r="7" customFormat="false" ht="30" hidden="false" customHeight="true" outlineLevel="0" collapsed="false">
      <c r="A7" s="5" t="s">
        <v>561</v>
      </c>
      <c r="B7" s="11"/>
      <c r="C7" s="11"/>
      <c r="D7" s="11"/>
    </row>
    <row r="8" customFormat="false" ht="30" hidden="false" customHeight="true" outlineLevel="0" collapsed="false">
      <c r="A8" s="5" t="s">
        <v>562</v>
      </c>
      <c r="B8" s="11"/>
      <c r="C8" s="11"/>
      <c r="D8" s="11"/>
    </row>
    <row r="9" customFormat="false" ht="30" hidden="false" customHeight="true" outlineLevel="0" collapsed="false">
      <c r="A9" s="5" t="s">
        <v>563</v>
      </c>
      <c r="B9" s="11"/>
      <c r="C9" s="11"/>
      <c r="D9" s="11"/>
    </row>
    <row r="10" customFormat="false" ht="48" hidden="false" customHeight="true" outlineLevel="0" collapsed="false">
      <c r="A10" s="5" t="s">
        <v>564</v>
      </c>
      <c r="B10" s="11"/>
      <c r="C10" s="11"/>
      <c r="D10" s="11"/>
    </row>
    <row r="12" customFormat="false" ht="30" hidden="false" customHeight="true" outlineLevel="0" collapsed="false">
      <c r="A12" s="12" t="s">
        <v>565</v>
      </c>
      <c r="B12" s="12" t="s">
        <v>123</v>
      </c>
      <c r="C12" s="12" t="s">
        <v>339</v>
      </c>
      <c r="D12" s="12" t="s">
        <v>483</v>
      </c>
    </row>
    <row r="13" customFormat="false" ht="15" hidden="false" customHeight="false" outlineLevel="0" collapsed="false">
      <c r="A13" s="5" t="s">
        <v>566</v>
      </c>
      <c r="B13" s="5" t="s">
        <v>567</v>
      </c>
      <c r="C13" s="11"/>
      <c r="D13" s="11"/>
    </row>
    <row r="14" customFormat="false" ht="15" hidden="false" customHeight="false" outlineLevel="0" collapsed="false">
      <c r="A14" s="5" t="s">
        <v>568</v>
      </c>
      <c r="B14" s="5" t="s">
        <v>569</v>
      </c>
      <c r="C14" s="11"/>
      <c r="D14" s="11"/>
    </row>
    <row r="15" customFormat="false" ht="15" hidden="false" customHeight="false" outlineLevel="0" collapsed="false">
      <c r="A15" s="5" t="s">
        <v>570</v>
      </c>
      <c r="B15" s="5" t="s">
        <v>571</v>
      </c>
      <c r="C15" s="11"/>
      <c r="D15" s="11"/>
    </row>
    <row r="16" customFormat="false" ht="15" hidden="false" customHeight="false" outlineLevel="0" collapsed="false">
      <c r="A16" s="5" t="s">
        <v>572</v>
      </c>
      <c r="B16" s="5" t="s">
        <v>573</v>
      </c>
      <c r="C16" s="11"/>
      <c r="D16" s="11"/>
    </row>
    <row r="17" customFormat="false" ht="15" hidden="false" customHeight="false" outlineLevel="0" collapsed="false">
      <c r="A17" s="5" t="s">
        <v>574</v>
      </c>
      <c r="B17" s="5" t="s">
        <v>575</v>
      </c>
      <c r="C17" s="11"/>
      <c r="D17" s="11"/>
    </row>
    <row r="19" customFormat="false" ht="15" hidden="false" customHeight="false" outlineLevel="0" collapsed="false">
      <c r="A19" s="20" t="s">
        <v>576</v>
      </c>
      <c r="B19" s="16" t="str">
        <f aca="false">COUNTIF(C13:C17,"supported")&amp;" supported · "&amp;COUNTIF(C13:C17,"open question")&amp;" open · "&amp;COUNTIF(C13:C17,"conflicts")&amp;" conflicts"</f>
        <v>0 supported · 0 open · 0 conflicts</v>
      </c>
    </row>
  </sheetData>
  <mergeCells count="6">
    <mergeCell ref="B5:D5"/>
    <mergeCell ref="B6:D6"/>
    <mergeCell ref="B7:D7"/>
    <mergeCell ref="B8:D8"/>
    <mergeCell ref="B9:D9"/>
    <mergeCell ref="B10:D10"/>
  </mergeCells>
  <conditionalFormatting sqref="C13:C17">
    <cfRule type="expression" priority="2" aboveAverage="0" equalAverage="0" bottom="0" percent="0" rank="0" text="" dxfId="0">
      <formula>C13="supported"</formula>
    </cfRule>
    <cfRule type="expression" priority="3" aboveAverage="0" equalAverage="0" bottom="0" percent="0" rank="0" text="" dxfId="1">
      <formula>C13="open question"</formula>
    </cfRule>
    <cfRule type="expression" priority="4" aboveAverage="0" equalAverage="0" bottom="0" percent="0" rank="0" text="" dxfId="2">
      <formula>C13="conflicts"</formula>
    </cfRule>
  </conditionalFormatting>
  <dataValidations count="2">
    <dataValidation allowBlank="true" errorStyle="stop" operator="between" showDropDown="false" showErrorMessage="false" showInputMessage="false" sqref="B5" type="list">
      <formula1>"Low-cost provider,Broad differentiation,Best-cost provider,Focused low-cost,Focused differentiation,[your choice]"</formula1>
      <formula2>0</formula2>
    </dataValidation>
    <dataValidation allowBlank="true" errorStyle="stop" operator="between" showDropDown="false" showErrorMessage="false" showInputMessage="false" sqref="C13:C17" type="list">
      <formula1>"supported,open question,conflicts"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3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7" t="s">
        <v>577</v>
      </c>
    </row>
    <row r="2" customFormat="false" ht="15" hidden="false" customHeight="false" outlineLevel="0" collapsed="false">
      <c r="A2" s="3" t="s">
        <v>578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579</v>
      </c>
      <c r="B5" s="11"/>
      <c r="C5" s="11"/>
      <c r="D5" s="11"/>
      <c r="E5" s="11"/>
      <c r="F5" s="11"/>
      <c r="G5" s="11"/>
    </row>
    <row r="6" customFormat="false" ht="23.85" hidden="false" customHeight="false" outlineLevel="0" collapsed="false">
      <c r="A6" s="5" t="s">
        <v>580</v>
      </c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5" t="s">
        <v>123</v>
      </c>
      <c r="B7" s="11"/>
      <c r="C7" s="11"/>
      <c r="D7" s="11"/>
      <c r="E7" s="11"/>
      <c r="F7" s="11"/>
      <c r="G7" s="11"/>
    </row>
    <row r="9" customFormat="false" ht="30" hidden="false" customHeight="true" outlineLevel="0" collapsed="false">
      <c r="A9" s="12" t="s">
        <v>273</v>
      </c>
      <c r="B9" s="12" t="s">
        <v>581</v>
      </c>
      <c r="C9" s="12" t="s">
        <v>582</v>
      </c>
      <c r="D9" s="12" t="s">
        <v>583</v>
      </c>
      <c r="E9" s="12" t="s">
        <v>584</v>
      </c>
      <c r="F9" s="12" t="s">
        <v>585</v>
      </c>
      <c r="G9" s="12" t="s">
        <v>586</v>
      </c>
    </row>
    <row r="10" customFormat="false" ht="30" hidden="false" customHeight="true" outlineLevel="0" collapsed="false">
      <c r="A10" s="11" t="s">
        <v>587</v>
      </c>
      <c r="B10" s="11" t="s">
        <v>588</v>
      </c>
      <c r="C10" s="11" t="s">
        <v>589</v>
      </c>
      <c r="D10" s="11" t="s">
        <v>590</v>
      </c>
      <c r="E10" s="11" t="s">
        <v>591</v>
      </c>
      <c r="F10" s="11" t="s">
        <v>592</v>
      </c>
      <c r="G10" s="11" t="s">
        <v>350</v>
      </c>
    </row>
    <row r="11" customFormat="false" ht="30" hidden="false" customHeight="true" outlineLevel="0" collapsed="false">
      <c r="A11" s="11" t="s">
        <v>593</v>
      </c>
      <c r="B11" s="11" t="s">
        <v>594</v>
      </c>
      <c r="C11" s="11" t="s">
        <v>595</v>
      </c>
      <c r="D11" s="11"/>
      <c r="E11" s="11"/>
      <c r="F11" s="11"/>
      <c r="G11" s="11" t="s">
        <v>350</v>
      </c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</row>
    <row r="19" customFormat="false" ht="15" hidden="false" customHeight="false" outlineLevel="0" collapsed="false">
      <c r="A19" s="20" t="s">
        <v>596</v>
      </c>
      <c r="B19" s="16" t="str">
        <f aca="false">IF(COUNTIF(C10:C17,"do nothing")=0,"Add do nothing as the baseline",IF(COUNTA(B10:B17)-1&lt;3,"Add options: aim for three or more plus do nothing","OK"))</f>
        <v>Add options: aim for three or more plus do nothing</v>
      </c>
      <c r="C19" s="16"/>
      <c r="D19" s="16"/>
      <c r="E19" s="16"/>
      <c r="F19" s="16"/>
      <c r="G19" s="16"/>
    </row>
  </sheetData>
  <mergeCells count="4">
    <mergeCell ref="B5:G5"/>
    <mergeCell ref="B6:G6"/>
    <mergeCell ref="B7:G7"/>
    <mergeCell ref="B19:G19"/>
  </mergeCells>
  <dataValidations count="2">
    <dataValidation allowBlank="true" errorStyle="stop" operator="between" showDropDown="false" showErrorMessage="false" showInputMessage="false" sqref="C10:C17" type="list">
      <formula1>"build,buy,partner,license,focus,exit,do nothing"</formula1>
      <formula2>0</formula2>
    </dataValidation>
    <dataValidation allowBlank="true" errorStyle="stop" operator="between" showDropDown="false" showErrorMessage="false" showInputMessage="false" sqref="G10:G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7" t="s">
        <v>44</v>
      </c>
    </row>
    <row r="2" customFormat="false" ht="15" hidden="false" customHeight="false" outlineLevel="0" collapsed="false">
      <c r="A2" s="3" t="s">
        <v>597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598</v>
      </c>
      <c r="B5" s="12" t="s">
        <v>599</v>
      </c>
      <c r="C5" s="12" t="s">
        <v>600</v>
      </c>
      <c r="D5" s="30" t="s">
        <v>601</v>
      </c>
      <c r="E5" s="30" t="s">
        <v>602</v>
      </c>
      <c r="F5" s="30" t="s">
        <v>603</v>
      </c>
      <c r="G5" s="30" t="s">
        <v>604</v>
      </c>
      <c r="H5" s="30" t="s">
        <v>605</v>
      </c>
    </row>
    <row r="6" customFormat="false" ht="15" hidden="false" customHeight="false" outlineLevel="0" collapsed="false">
      <c r="A6" s="11" t="s">
        <v>606</v>
      </c>
      <c r="B6" s="11" t="n">
        <v>5</v>
      </c>
      <c r="C6" s="11" t="s">
        <v>607</v>
      </c>
      <c r="D6" s="11" t="n">
        <v>3</v>
      </c>
      <c r="E6" s="11" t="n">
        <v>4</v>
      </c>
      <c r="F6" s="11" t="n">
        <v>3</v>
      </c>
      <c r="G6" s="11" t="n">
        <v>1</v>
      </c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20" t="s">
        <v>367</v>
      </c>
      <c r="D14" s="33" t="n">
        <f aca="false">IF(COUNT(D6:D13)=0,"",SUMPRODUCT($B$6:$B$13,D6:D13)/SUMPRODUCT($B$6:$B$13*(D6:D13&lt;&gt;"")))</f>
        <v>3</v>
      </c>
      <c r="E14" s="33" t="n">
        <f aca="false">IF(COUNT(E6:E13)=0,"",SUMPRODUCT($B$6:$B$13,E6:E13)/SUMPRODUCT($B$6:$B$13*(E6:E13&lt;&gt;"")))</f>
        <v>4</v>
      </c>
      <c r="F14" s="33" t="n">
        <f aca="false">IF(COUNT(F6:F13)=0,"",SUMPRODUCT($B$6:$B$13,F6:F13)/SUMPRODUCT($B$6:$B$13*(F6:F13&lt;&gt;"")))</f>
        <v>3</v>
      </c>
      <c r="G14" s="33" t="n">
        <f aca="false">IF(COUNT(G6:G13)=0,"",SUMPRODUCT($B$6:$B$13,G6:G13)/SUMPRODUCT($B$6:$B$13*(G6:G13&lt;&gt;"")))</f>
        <v>1</v>
      </c>
      <c r="H14" s="33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20" t="s">
        <v>368</v>
      </c>
      <c r="D15" s="26" t="n">
        <f aca="false">IF(D14="","",RANK(D14,$D$14:$H$14))</f>
        <v>2</v>
      </c>
      <c r="E15" s="26" t="n">
        <f aca="false">IF(E14="","",RANK(E14,$D$14:$H$14))</f>
        <v>1</v>
      </c>
      <c r="F15" s="26" t="n">
        <f aca="false">IF(F14="","",RANK(F14,$D$14:$H$14))</f>
        <v>2</v>
      </c>
      <c r="G15" s="26" t="n">
        <f aca="false">IF(G14="","",RANK(G14,$D$14:$H$14))</f>
        <v>4</v>
      </c>
      <c r="H15" s="26" t="str">
        <f aca="false">IF(H14="","",RANK(H14,$D$14:$H$14))</f>
        <v/>
      </c>
    </row>
    <row r="17" customFormat="false" ht="23.85" hidden="false" customHeight="false" outlineLevel="0" collapsed="false">
      <c r="A17" s="5" t="s">
        <v>608</v>
      </c>
    </row>
  </sheetData>
  <dataValidations count="1">
    <dataValidation allowBlank="true" error="Enter a whole number from 1 to 5." errorStyle="stop" errorTitle="Strat-IQ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7" t="s">
        <v>46</v>
      </c>
    </row>
    <row r="2" customFormat="false" ht="15" hidden="false" customHeight="false" outlineLevel="0" collapsed="false">
      <c r="A2" s="3" t="s">
        <v>609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610</v>
      </c>
    </row>
    <row r="6" customFormat="false" ht="15" hidden="false" customHeight="false" outlineLevel="0" collapsed="false">
      <c r="A6" s="5" t="s">
        <v>430</v>
      </c>
      <c r="B6" s="22" t="n">
        <v>0.1</v>
      </c>
    </row>
    <row r="7" customFormat="false" ht="15" hidden="false" customHeight="false" outlineLevel="0" collapsed="false">
      <c r="A7" s="5" t="s">
        <v>611</v>
      </c>
      <c r="B7" s="22" t="n">
        <v>0.21</v>
      </c>
    </row>
    <row r="8" customFormat="false" ht="15" hidden="false" customHeight="false" outlineLevel="0" collapsed="false">
      <c r="A8" s="5" t="s">
        <v>612</v>
      </c>
      <c r="B8" s="22" t="n">
        <v>0.05</v>
      </c>
    </row>
    <row r="10" customFormat="false" ht="15" hidden="false" customHeight="false" outlineLevel="0" collapsed="false">
      <c r="A10" s="12" t="s">
        <v>613</v>
      </c>
      <c r="B10" s="12" t="s">
        <v>614</v>
      </c>
      <c r="C10" s="12" t="s">
        <v>615</v>
      </c>
      <c r="D10" s="12" t="s">
        <v>616</v>
      </c>
      <c r="E10" s="12" t="s">
        <v>617</v>
      </c>
      <c r="F10" s="12" t="s">
        <v>618</v>
      </c>
      <c r="G10" s="12" t="s">
        <v>619</v>
      </c>
    </row>
    <row r="11" customFormat="false" ht="15" hidden="false" customHeight="false" outlineLevel="0" collapsed="false">
      <c r="A11" s="5" t="s">
        <v>620</v>
      </c>
      <c r="B11" s="24" t="n">
        <v>0</v>
      </c>
      <c r="C11" s="24" t="n">
        <v>32400</v>
      </c>
      <c r="D11" s="24" t="n">
        <v>64800</v>
      </c>
      <c r="E11" s="24" t="n">
        <v>97200</v>
      </c>
      <c r="F11" s="24" t="n">
        <v>108000</v>
      </c>
      <c r="G11" s="24" t="n">
        <v>108000</v>
      </c>
    </row>
    <row r="12" customFormat="false" ht="15" hidden="false" customHeight="false" outlineLevel="0" collapsed="false">
      <c r="A12" s="5" t="s">
        <v>416</v>
      </c>
      <c r="B12" s="38" t="n">
        <v>32000</v>
      </c>
      <c r="C12" s="38" t="n">
        <v>32000</v>
      </c>
      <c r="D12" s="38" t="n">
        <v>32000</v>
      </c>
      <c r="E12" s="38" t="n">
        <v>32000</v>
      </c>
      <c r="F12" s="38" t="n">
        <v>32000</v>
      </c>
      <c r="G12" s="38" t="n">
        <v>32000</v>
      </c>
    </row>
    <row r="13" customFormat="false" ht="15" hidden="false" customHeight="false" outlineLevel="0" collapsed="false">
      <c r="A13" s="5" t="s">
        <v>418</v>
      </c>
      <c r="B13" s="38" t="n">
        <v>20000</v>
      </c>
      <c r="C13" s="38" t="n">
        <v>20000</v>
      </c>
      <c r="D13" s="38" t="n">
        <v>20000</v>
      </c>
      <c r="E13" s="38" t="n">
        <v>20000</v>
      </c>
      <c r="F13" s="38" t="n">
        <v>20000</v>
      </c>
      <c r="G13" s="38" t="n">
        <v>20000</v>
      </c>
    </row>
    <row r="14" customFormat="false" ht="15" hidden="false" customHeight="false" outlineLevel="0" collapsed="false">
      <c r="A14" s="5" t="s">
        <v>442</v>
      </c>
      <c r="B14" s="38" t="n">
        <v>0</v>
      </c>
      <c r="C14" s="38" t="n">
        <v>180000000</v>
      </c>
      <c r="D14" s="38" t="n">
        <v>180000000</v>
      </c>
      <c r="E14" s="38" t="n">
        <v>180000000</v>
      </c>
      <c r="F14" s="38" t="n">
        <v>180000000</v>
      </c>
      <c r="G14" s="38" t="n">
        <v>180000000</v>
      </c>
    </row>
    <row r="15" customFormat="false" ht="15" hidden="false" customHeight="false" outlineLevel="0" collapsed="false">
      <c r="A15" s="5" t="s">
        <v>621</v>
      </c>
      <c r="B15" s="38" t="n">
        <v>2000000000</v>
      </c>
      <c r="C15" s="38" t="n">
        <v>100000000</v>
      </c>
      <c r="D15" s="38" t="n">
        <v>100000000</v>
      </c>
      <c r="E15" s="38" t="n">
        <v>50000000</v>
      </c>
      <c r="F15" s="38" t="n">
        <v>50000000</v>
      </c>
      <c r="G15" s="38" t="n">
        <v>50000000</v>
      </c>
    </row>
    <row r="16" customFormat="false" ht="15" hidden="false" customHeight="false" outlineLevel="0" collapsed="false">
      <c r="A16" s="5" t="s">
        <v>622</v>
      </c>
      <c r="B16" s="45" t="n">
        <f aca="false">B11*B12</f>
        <v>0</v>
      </c>
      <c r="C16" s="45" t="n">
        <f aca="false">C11*C12</f>
        <v>1036800000</v>
      </c>
      <c r="D16" s="45" t="n">
        <f aca="false">D11*D12</f>
        <v>2073600000</v>
      </c>
      <c r="E16" s="45" t="n">
        <f aca="false">E11*E12</f>
        <v>3110400000</v>
      </c>
      <c r="F16" s="45" t="n">
        <f aca="false">F11*F12</f>
        <v>3456000000</v>
      </c>
      <c r="G16" s="45" t="n">
        <f aca="false">G11*G12</f>
        <v>3456000000</v>
      </c>
    </row>
    <row r="17" customFormat="false" ht="15" hidden="false" customHeight="false" outlineLevel="0" collapsed="false">
      <c r="A17" s="5" t="s">
        <v>623</v>
      </c>
      <c r="B17" s="45" t="n">
        <f aca="false">B11*(B12-B13)</f>
        <v>0</v>
      </c>
      <c r="C17" s="45" t="n">
        <f aca="false">C11*(C12-C13)</f>
        <v>388800000</v>
      </c>
      <c r="D17" s="45" t="n">
        <f aca="false">D11*(D12-D13)</f>
        <v>777600000</v>
      </c>
      <c r="E17" s="45" t="n">
        <f aca="false">E11*(E12-E13)</f>
        <v>1166400000</v>
      </c>
      <c r="F17" s="45" t="n">
        <f aca="false">F11*(F12-F13)</f>
        <v>1296000000</v>
      </c>
      <c r="G17" s="45" t="n">
        <f aca="false">G11*(G12-G13)</f>
        <v>1296000000</v>
      </c>
    </row>
    <row r="18" customFormat="false" ht="15" hidden="false" customHeight="false" outlineLevel="0" collapsed="false">
      <c r="A18" s="5" t="s">
        <v>624</v>
      </c>
      <c r="B18" s="45" t="n">
        <f aca="false">B17-B14</f>
        <v>0</v>
      </c>
      <c r="C18" s="45" t="n">
        <f aca="false">C17-C14</f>
        <v>208800000</v>
      </c>
      <c r="D18" s="45" t="n">
        <f aca="false">D17-D14</f>
        <v>597600000</v>
      </c>
      <c r="E18" s="45" t="n">
        <f aca="false">E17-E14</f>
        <v>986400000</v>
      </c>
      <c r="F18" s="45" t="n">
        <f aca="false">F17-F14</f>
        <v>1116000000</v>
      </c>
      <c r="G18" s="45" t="n">
        <f aca="false">G17-G14</f>
        <v>1116000000</v>
      </c>
    </row>
    <row r="19" customFormat="false" ht="15" hidden="false" customHeight="false" outlineLevel="0" collapsed="false">
      <c r="A19" s="5" t="s">
        <v>625</v>
      </c>
      <c r="B19" s="45" t="n">
        <f aca="false">MAX(0,B18)*$B$7</f>
        <v>0</v>
      </c>
      <c r="C19" s="45" t="n">
        <f aca="false">MAX(0,C18)*$B$7</f>
        <v>43848000</v>
      </c>
      <c r="D19" s="45" t="n">
        <f aca="false">MAX(0,D18)*$B$7</f>
        <v>125496000</v>
      </c>
      <c r="E19" s="45" t="n">
        <f aca="false">MAX(0,E18)*$B$7</f>
        <v>207144000</v>
      </c>
      <c r="F19" s="45" t="n">
        <f aca="false">MAX(0,F18)*$B$7</f>
        <v>234360000</v>
      </c>
      <c r="G19" s="45" t="n">
        <f aca="false">MAX(0,G18)*$B$7</f>
        <v>234360000</v>
      </c>
    </row>
    <row r="20" customFormat="false" ht="15" hidden="false" customHeight="false" outlineLevel="0" collapsed="false">
      <c r="A20" s="5" t="s">
        <v>626</v>
      </c>
      <c r="B20" s="45" t="n">
        <f aca="false">B16*$B$8</f>
        <v>0</v>
      </c>
      <c r="C20" s="45" t="n">
        <f aca="false">C16*$B$8</f>
        <v>51840000</v>
      </c>
      <c r="D20" s="45" t="n">
        <f aca="false">D16*$B$8</f>
        <v>103680000</v>
      </c>
      <c r="E20" s="45" t="n">
        <f aca="false">E16*$B$8</f>
        <v>155520000</v>
      </c>
      <c r="F20" s="45" t="n">
        <f aca="false">F16*$B$8</f>
        <v>172800000</v>
      </c>
      <c r="G20" s="45" t="n">
        <f aca="false">G16*$B$8</f>
        <v>172800000</v>
      </c>
    </row>
    <row r="21" customFormat="false" ht="15" hidden="false" customHeight="false" outlineLevel="0" collapsed="false">
      <c r="A21" s="5" t="s">
        <v>627</v>
      </c>
      <c r="B21" s="45" t="n">
        <f aca="false">B20</f>
        <v>0</v>
      </c>
      <c r="C21" s="45" t="n">
        <f aca="false">C20-B20</f>
        <v>51840000</v>
      </c>
      <c r="D21" s="45" t="n">
        <f aca="false">D20-C20</f>
        <v>51840000</v>
      </c>
      <c r="E21" s="45" t="n">
        <f aca="false">E20-D20</f>
        <v>51840000</v>
      </c>
      <c r="F21" s="45" t="n">
        <f aca="false">F20-E20</f>
        <v>17280000</v>
      </c>
      <c r="G21" s="45" t="n">
        <f aca="false">G20-F20</f>
        <v>0</v>
      </c>
    </row>
    <row r="22" customFormat="false" ht="15" hidden="false" customHeight="false" outlineLevel="0" collapsed="false">
      <c r="A22" s="20" t="s">
        <v>628</v>
      </c>
      <c r="B22" s="46" t="n">
        <f aca="false">B18-B19-B21-B15</f>
        <v>-2000000000</v>
      </c>
      <c r="C22" s="46" t="n">
        <f aca="false">C18-C19-C21-C15</f>
        <v>13112000</v>
      </c>
      <c r="D22" s="46" t="n">
        <f aca="false">D18-D19-D21-D15</f>
        <v>320264000</v>
      </c>
      <c r="E22" s="46" t="n">
        <f aca="false">E18-E19-E21-E15</f>
        <v>677416000</v>
      </c>
      <c r="F22" s="46" t="n">
        <f aca="false">F18-F19-F21-F15</f>
        <v>814360000</v>
      </c>
      <c r="G22" s="46" t="n">
        <f aca="false">G18-G19-G21-G15+G20</f>
        <v>1004440000</v>
      </c>
    </row>
    <row r="23" customFormat="false" ht="15" hidden="false" customHeight="false" outlineLevel="0" collapsed="false">
      <c r="A23" s="5" t="s">
        <v>629</v>
      </c>
      <c r="B23" s="45" t="n">
        <f aca="false">B22</f>
        <v>-2000000000</v>
      </c>
      <c r="C23" s="45" t="n">
        <f aca="false">B23+C22</f>
        <v>-1986888000</v>
      </c>
      <c r="D23" s="45" t="n">
        <f aca="false">C23+D22</f>
        <v>-1666624000</v>
      </c>
      <c r="E23" s="45" t="n">
        <f aca="false">D23+E22</f>
        <v>-989208000</v>
      </c>
      <c r="F23" s="45" t="n">
        <f aca="false">E23+F22</f>
        <v>-174848000</v>
      </c>
      <c r="G23" s="45" t="n">
        <f aca="false">F23+G22</f>
        <v>829592000</v>
      </c>
    </row>
    <row r="25" customFormat="false" ht="15" hidden="false" customHeight="false" outlineLevel="0" collapsed="false">
      <c r="A25" s="20" t="s">
        <v>630</v>
      </c>
      <c r="B25" s="46" t="n">
        <f aca="false">IF(COUNT(B11:G11)=0,"",B22+NPV($B$6,C22:G22))</f>
        <v>-34549289.8522835</v>
      </c>
    </row>
    <row r="26" customFormat="false" ht="15" hidden="false" customHeight="false" outlineLevel="0" collapsed="false">
      <c r="A26" s="20" t="s">
        <v>631</v>
      </c>
      <c r="B26" s="21" t="n">
        <f aca="false">IFERROR(IRR(B22:G22),"n/a")</f>
        <v>0.0949319301494521</v>
      </c>
    </row>
    <row r="27" customFormat="false" ht="15" hidden="false" customHeight="false" outlineLevel="0" collapsed="false">
      <c r="A27" s="20" t="s">
        <v>632</v>
      </c>
      <c r="B27" s="16" t="str">
        <f aca="false">IF(ISNUMBER(B26),IF(B26&gt;=$B$6,"Yes","No"),"")</f>
        <v>No</v>
      </c>
    </row>
    <row r="29" customFormat="false" ht="35.05" hidden="false" customHeight="false" outlineLevel="0" collapsed="false">
      <c r="A29" s="5" t="s">
        <v>633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7" t="s">
        <v>48</v>
      </c>
    </row>
    <row r="2" customFormat="false" ht="15" hidden="false" customHeight="false" outlineLevel="0" collapsed="false">
      <c r="A2" s="3" t="s">
        <v>634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581</v>
      </c>
      <c r="B5" s="12" t="s">
        <v>635</v>
      </c>
      <c r="C5" s="12" t="s">
        <v>636</v>
      </c>
      <c r="D5" s="12" t="s">
        <v>637</v>
      </c>
      <c r="E5" s="12" t="s">
        <v>638</v>
      </c>
      <c r="F5" s="12" t="s">
        <v>639</v>
      </c>
      <c r="G5" s="12" t="s">
        <v>640</v>
      </c>
      <c r="H5" s="12" t="s">
        <v>641</v>
      </c>
      <c r="I5" s="12" t="s">
        <v>642</v>
      </c>
      <c r="J5" s="12" t="s">
        <v>643</v>
      </c>
      <c r="K5" s="12" t="s">
        <v>644</v>
      </c>
    </row>
    <row r="6" customFormat="false" ht="15" hidden="false" customHeight="false" outlineLevel="0" collapsed="false">
      <c r="A6" s="11" t="s">
        <v>645</v>
      </c>
      <c r="B6" s="31" t="n">
        <v>0.3</v>
      </c>
      <c r="C6" s="28" t="n">
        <v>12</v>
      </c>
      <c r="D6" s="31" t="n">
        <v>0.5</v>
      </c>
      <c r="E6" s="28" t="n">
        <v>4</v>
      </c>
      <c r="F6" s="31" t="n">
        <v>0.2</v>
      </c>
      <c r="G6" s="28" t="n">
        <v>-6</v>
      </c>
      <c r="H6" s="15" t="str">
        <f aca="false">IF(A6="","",IF(ABS(B6+D6+F6-1)&lt;0.001,"OK","Must sum to 100%"))</f>
        <v>OK</v>
      </c>
      <c r="I6" s="33" t="n">
        <f aca="false">IF(A6="","",B6*C6+D6*E6+F6*G6)</f>
        <v>4.4</v>
      </c>
      <c r="J6" s="27" t="n">
        <f aca="false">IF(A6="","",MIN(C6,E6,G6))</f>
        <v>-6</v>
      </c>
      <c r="K6" s="27" t="n">
        <f aca="false">IF(A6="","",MAX(C6,E6,G6))</f>
        <v>12</v>
      </c>
    </row>
    <row r="7" customFormat="false" ht="15" hidden="false" customHeight="false" outlineLevel="0" collapsed="false">
      <c r="A7" s="11" t="s">
        <v>646</v>
      </c>
      <c r="B7" s="31" t="n">
        <v>0.3</v>
      </c>
      <c r="C7" s="28" t="n">
        <v>6</v>
      </c>
      <c r="D7" s="31" t="n">
        <v>0.5</v>
      </c>
      <c r="E7" s="28" t="n">
        <v>4</v>
      </c>
      <c r="F7" s="31" t="n">
        <v>0.2</v>
      </c>
      <c r="G7" s="28" t="n">
        <v>1</v>
      </c>
      <c r="H7" s="15" t="str">
        <f aca="false">IF(A7="","",IF(ABS(B7+D7+F7-1)&lt;0.001,"OK","Must sum to 100%"))</f>
        <v>OK</v>
      </c>
      <c r="I7" s="33" t="n">
        <f aca="false">IF(A7="","",B7*C7+D7*E7+F7*G7)</f>
        <v>4</v>
      </c>
      <c r="J7" s="27" t="n">
        <f aca="false">IF(A7="","",MIN(C7,E7,G7))</f>
        <v>1</v>
      </c>
      <c r="K7" s="27" t="n">
        <f aca="false">IF(A7="","",MAX(C7,E7,G7))</f>
        <v>6</v>
      </c>
    </row>
    <row r="8" customFormat="false" ht="15" hidden="false" customHeight="false" outlineLevel="0" collapsed="false">
      <c r="A8" s="11" t="s">
        <v>647</v>
      </c>
      <c r="B8" s="31" t="n">
        <v>0.3</v>
      </c>
      <c r="C8" s="28" t="n">
        <v>0</v>
      </c>
      <c r="D8" s="31" t="n">
        <v>0.5</v>
      </c>
      <c r="E8" s="28" t="n">
        <v>0</v>
      </c>
      <c r="F8" s="31" t="n">
        <v>0.2</v>
      </c>
      <c r="G8" s="28" t="n">
        <v>0</v>
      </c>
      <c r="H8" s="15" t="str">
        <f aca="false">IF(A8="","",IF(ABS(B8+D8+F8-1)&lt;0.001,"OK","Must sum to 100%"))</f>
        <v>OK</v>
      </c>
      <c r="I8" s="33" t="n">
        <f aca="false">IF(A8="","",B8*C8+D8*E8+F8*G8)</f>
        <v>0</v>
      </c>
      <c r="J8" s="27" t="n">
        <f aca="false">IF(A8="","",MIN(C8,E8,G8))</f>
        <v>0</v>
      </c>
      <c r="K8" s="27" t="n">
        <f aca="false">IF(A8="","",MAX(C8,E8,G8))</f>
        <v>0</v>
      </c>
    </row>
    <row r="9" customFormat="false" ht="15" hidden="false" customHeight="false" outlineLevel="0" collapsed="false">
      <c r="A9" s="11"/>
      <c r="B9" s="31"/>
      <c r="C9" s="28"/>
      <c r="D9" s="31"/>
      <c r="E9" s="28"/>
      <c r="F9" s="31"/>
      <c r="G9" s="28"/>
      <c r="H9" s="15" t="str">
        <f aca="false">IF(A9="","",IF(ABS(B9+D9+F9-1)&lt;0.001,"OK","Must sum to 100%"))</f>
        <v/>
      </c>
      <c r="I9" s="33" t="str">
        <f aca="false">IF(A9="","",B9*C9+D9*E9+F9*G9)</f>
        <v/>
      </c>
      <c r="J9" s="27" t="str">
        <f aca="false">IF(A9="","",MIN(C9,E9,G9))</f>
        <v/>
      </c>
      <c r="K9" s="27" t="str">
        <f aca="false">IF(A9="","",MAX(C9,E9,G9))</f>
        <v/>
      </c>
    </row>
    <row r="10" customFormat="false" ht="15" hidden="false" customHeight="false" outlineLevel="0" collapsed="false">
      <c r="A10" s="11"/>
      <c r="B10" s="31"/>
      <c r="C10" s="28"/>
      <c r="D10" s="31"/>
      <c r="E10" s="28"/>
      <c r="F10" s="31"/>
      <c r="G10" s="28"/>
      <c r="H10" s="15" t="str">
        <f aca="false">IF(A10="","",IF(ABS(B10+D10+F10-1)&lt;0.001,"OK","Must sum to 100%"))</f>
        <v/>
      </c>
      <c r="I10" s="33" t="str">
        <f aca="false">IF(A10="","",B10*C10+D10*E10+F10*G10)</f>
        <v/>
      </c>
      <c r="J10" s="27" t="str">
        <f aca="false">IF(A10="","",MIN(C10,E10,G10))</f>
        <v/>
      </c>
      <c r="K10" s="27" t="str">
        <f aca="false">IF(A10="","",MAX(C10,E10,G10))</f>
        <v/>
      </c>
    </row>
    <row r="11" customFormat="false" ht="15" hidden="false" customHeight="false" outlineLevel="0" collapsed="false">
      <c r="A11" s="11"/>
      <c r="B11" s="31"/>
      <c r="C11" s="28"/>
      <c r="D11" s="31"/>
      <c r="E11" s="28"/>
      <c r="F11" s="31"/>
      <c r="G11" s="28"/>
      <c r="H11" s="15" t="str">
        <f aca="false">IF(A11="","",IF(ABS(B11+D11+F11-1)&lt;0.001,"OK","Must sum to 100%"))</f>
        <v/>
      </c>
      <c r="I11" s="33" t="str">
        <f aca="false">IF(A11="","",B11*C11+D11*E11+F11*G11)</f>
        <v/>
      </c>
      <c r="J11" s="27" t="str">
        <f aca="false">IF(A11="","",MIN(C11,E11,G11))</f>
        <v/>
      </c>
      <c r="K11" s="27" t="str">
        <f aca="false">IF(A11="","",MAX(C11,E11,G11))</f>
        <v/>
      </c>
    </row>
    <row r="13" customFormat="false" ht="23.85" hidden="false" customHeight="false" outlineLevel="0" collapsed="false">
      <c r="A13" s="20" t="s">
        <v>648</v>
      </c>
      <c r="B13" s="16" t="str">
        <f aca="false">IFERROR(INDEX(A6:A11,MATCH(MAX(I6:I11),I6:I11,0)),"")</f>
        <v>A. Move upmarket</v>
      </c>
    </row>
    <row r="14" customFormat="false" ht="23.85" hidden="false" customHeight="false" outlineLevel="0" collapsed="false">
      <c r="A14" s="20" t="s">
        <v>649</v>
      </c>
      <c r="B14" s="16" t="str">
        <f aca="false">IFERROR(INDEX(A6:A11,MATCH(MAX(J6:J11),J6:J11,0)),"")</f>
        <v>B. Cut costs</v>
      </c>
    </row>
    <row r="15" customFormat="false" ht="23.85" hidden="false" customHeight="true" outlineLevel="0" collapsed="false">
      <c r="A15" s="20" t="s">
        <v>650</v>
      </c>
      <c r="B15" s="33" t="n">
        <f aca="false">IFERROR(INDEX(B6:B11,MATCH(MAX(I6:I11),I6:I11,0))*MAX(C6:C11)+INDEX(D6:D11,MATCH(MAX(I6:I11),I6:I11,0))*MAX(E6:E11)+INDEX(F6:F11,MATCH(MAX(I6:I11),I6:I11,0))*MAX(G6:G11)-MAX(I6:I11),"")</f>
        <v>1.4</v>
      </c>
      <c r="C15" s="10" t="s">
        <v>651</v>
      </c>
      <c r="D15" s="10"/>
      <c r="E15" s="10"/>
      <c r="F15" s="10"/>
      <c r="G15" s="10"/>
      <c r="H15" s="10"/>
      <c r="I15" s="10"/>
      <c r="J15" s="10"/>
      <c r="K15" s="10"/>
    </row>
    <row r="18" customFormat="false" ht="23.85" hidden="false" customHeight="true" outlineLevel="0" collapsed="false">
      <c r="A18" s="20" t="s">
        <v>652</v>
      </c>
      <c r="B18" s="10" t="s">
        <v>653</v>
      </c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A19" s="12" t="s">
        <v>654</v>
      </c>
      <c r="B19" s="12" t="s">
        <v>655</v>
      </c>
      <c r="C19" s="12" t="s">
        <v>656</v>
      </c>
      <c r="D19" s="12" t="s">
        <v>657</v>
      </c>
      <c r="E19" s="12" t="s">
        <v>658</v>
      </c>
      <c r="F19" s="12" t="s">
        <v>659</v>
      </c>
      <c r="G19" s="12" t="s">
        <v>660</v>
      </c>
    </row>
    <row r="20" customFormat="false" ht="15" hidden="false" customHeight="false" outlineLevel="0" collapsed="false">
      <c r="A20" s="5" t="s">
        <v>661</v>
      </c>
      <c r="B20" s="44" t="n">
        <f aca="false">IF(B6="","",B6)</f>
        <v>0.3</v>
      </c>
      <c r="C20" s="31" t="n">
        <v>0.8</v>
      </c>
      <c r="D20" s="31" t="n">
        <v>0.2</v>
      </c>
      <c r="E20" s="15" t="str">
        <f aca="false">IF(C20="","",IF(ABS(C20+D20-1)&lt;0.001,"OK","Must sum to 100%"))</f>
        <v>OK</v>
      </c>
      <c r="F20" s="39" t="n">
        <f aca="false">IFERROR(B20*C20/SUMPRODUCT($B$20:$B$22,$C$20:$C$22),"")</f>
        <v>0.461538461538462</v>
      </c>
      <c r="G20" s="39" t="n">
        <f aca="false">IFERROR(B20*D20/SUMPRODUCT($B$20:$B$22,$D$20:$D$22),"")</f>
        <v>0.125</v>
      </c>
    </row>
    <row r="21" customFormat="false" ht="15" hidden="false" customHeight="false" outlineLevel="0" collapsed="false">
      <c r="A21" s="5" t="s">
        <v>662</v>
      </c>
      <c r="B21" s="44" t="n">
        <f aca="false">IF(D6="","",D6)</f>
        <v>0.5</v>
      </c>
      <c r="C21" s="31" t="n">
        <v>0.5</v>
      </c>
      <c r="D21" s="31" t="n">
        <v>0.5</v>
      </c>
      <c r="E21" s="15" t="str">
        <f aca="false">IF(C21="","",IF(ABS(C21+D21-1)&lt;0.001,"OK","Must sum to 100%"))</f>
        <v>OK</v>
      </c>
      <c r="F21" s="39" t="n">
        <f aca="false">IFERROR(B21*C21/SUMPRODUCT($B$20:$B$22,$C$20:$C$22),"")</f>
        <v>0.480769230769231</v>
      </c>
      <c r="G21" s="39" t="n">
        <f aca="false">IFERROR(B21*D21/SUMPRODUCT($B$20:$B$22,$D$20:$D$22),"")</f>
        <v>0.520833333333333</v>
      </c>
    </row>
    <row r="22" customFormat="false" ht="15" hidden="false" customHeight="false" outlineLevel="0" collapsed="false">
      <c r="A22" s="5" t="s">
        <v>663</v>
      </c>
      <c r="B22" s="44" t="n">
        <f aca="false">IF(F6="","",F6)</f>
        <v>0.2</v>
      </c>
      <c r="C22" s="31" t="n">
        <v>0.15</v>
      </c>
      <c r="D22" s="31" t="n">
        <v>0.85</v>
      </c>
      <c r="E22" s="15" t="str">
        <f aca="false">IF(C22="","",IF(ABS(C22+D22-1)&lt;0.001,"OK","Must sum to 100%"))</f>
        <v>OK</v>
      </c>
      <c r="F22" s="39" t="n">
        <f aca="false">IFERROR(B22*C22/SUMPRODUCT($B$20:$B$22,$C$20:$C$22),"")</f>
        <v>0.0576923076923077</v>
      </c>
      <c r="G22" s="39" t="n">
        <f aca="false">IFERROR(B22*D22/SUMPRODUCT($B$20:$B$22,$D$20:$D$22),"")</f>
        <v>0.354166666666667</v>
      </c>
    </row>
    <row r="23" customFormat="false" ht="15" hidden="false" customHeight="false" outlineLevel="0" collapsed="false">
      <c r="A23" s="20" t="s">
        <v>664</v>
      </c>
      <c r="F23" s="21" t="n">
        <f aca="false">IFERROR(SUMPRODUCT(B20:B22,C20:C22),"")</f>
        <v>0.52</v>
      </c>
      <c r="G23" s="21" t="n">
        <f aca="false">IFERROR(SUMPRODUCT(B20:B22,D20:D22),"")</f>
        <v>0.48</v>
      </c>
    </row>
    <row r="25" customFormat="false" ht="30" hidden="false" customHeight="true" outlineLevel="0" collapsed="false">
      <c r="A25" s="12" t="s">
        <v>581</v>
      </c>
      <c r="B25" s="12" t="s">
        <v>665</v>
      </c>
      <c r="C25" s="12" t="s">
        <v>666</v>
      </c>
      <c r="D25" s="12" t="s">
        <v>667</v>
      </c>
    </row>
    <row r="26" customFormat="false" ht="15" hidden="false" customHeight="false" outlineLevel="0" collapsed="false">
      <c r="A26" s="15" t="str">
        <f aca="false">IF(A6="","",A6)</f>
        <v>A. Move upmarket</v>
      </c>
      <c r="B26" s="47" t="n">
        <f aca="false">IF(A6="","",I6)</f>
        <v>4.4</v>
      </c>
      <c r="C26" s="47" t="n">
        <f aca="false">IF(OR(A6="",F20=""),"",C6*F20+E6*F21+G6*F22)</f>
        <v>7.11538461538462</v>
      </c>
      <c r="D26" s="47" t="n">
        <f aca="false">IF(OR(A6="",G20=""),"",C6*G20+E6*G21+G6*G22)</f>
        <v>1.45833333333333</v>
      </c>
    </row>
    <row r="27" customFormat="false" ht="15" hidden="false" customHeight="false" outlineLevel="0" collapsed="false">
      <c r="A27" s="15" t="str">
        <f aca="false">IF(A7="","",A7)</f>
        <v>B. Cut costs</v>
      </c>
      <c r="B27" s="47" t="n">
        <f aca="false">IF(A7="","",I7)</f>
        <v>4</v>
      </c>
      <c r="C27" s="47" t="n">
        <f aca="false">IF(OR(A7="",F20=""),"",C7*F20+E7*F21+G7*F22)</f>
        <v>4.75</v>
      </c>
      <c r="D27" s="47" t="n">
        <f aca="false">IF(OR(A7="",G20=""),"",C7*G20+E7*G21+G7*G22)</f>
        <v>3.1875</v>
      </c>
    </row>
    <row r="28" customFormat="false" ht="15" hidden="false" customHeight="false" outlineLevel="0" collapsed="false">
      <c r="A28" s="15" t="str">
        <f aca="false">IF(A8="","",A8)</f>
        <v>C. Do nothing</v>
      </c>
      <c r="B28" s="47" t="n">
        <f aca="false">IF(A8="","",I8)</f>
        <v>0</v>
      </c>
      <c r="C28" s="47" t="n">
        <f aca="false">IF(OR(A8="",F20=""),"",C8*F20+E8*F21+G8*F22)</f>
        <v>0</v>
      </c>
      <c r="D28" s="47" t="n">
        <f aca="false">IF(OR(A8="",G20=""),"",C8*G20+E8*G21+G8*G22)</f>
        <v>0</v>
      </c>
    </row>
    <row r="29" customFormat="false" ht="15" hidden="false" customHeight="false" outlineLevel="0" collapsed="false">
      <c r="A29" s="15" t="str">
        <f aca="false">IF(A9="","",A9)</f>
        <v/>
      </c>
      <c r="B29" s="47" t="str">
        <f aca="false">IF(A9="","",I9)</f>
        <v/>
      </c>
      <c r="C29" s="47" t="str">
        <f aca="false">IF(OR(A9="",F20=""),"",C9*F20+E9*F21+G9*F22)</f>
        <v/>
      </c>
      <c r="D29" s="47" t="str">
        <f aca="false">IF(OR(A9="",G20=""),"",C9*G20+E9*G21+G9*G22)</f>
        <v/>
      </c>
    </row>
    <row r="30" customFormat="false" ht="15" hidden="false" customHeight="false" outlineLevel="0" collapsed="false">
      <c r="A30" s="15" t="str">
        <f aca="false">IF(A10="","",A10)</f>
        <v/>
      </c>
      <c r="B30" s="47" t="str">
        <f aca="false">IF(A10="","",I10)</f>
        <v/>
      </c>
      <c r="C30" s="47" t="str">
        <f aca="false">IF(OR(A10="",F20=""),"",C10*F20+E10*F21+G10*F22)</f>
        <v/>
      </c>
      <c r="D30" s="47" t="str">
        <f aca="false">IF(OR(A10="",G20=""),"",C10*G20+E10*G21+G10*G22)</f>
        <v/>
      </c>
    </row>
    <row r="31" customFormat="false" ht="15" hidden="false" customHeight="false" outlineLevel="0" collapsed="false">
      <c r="A31" s="15" t="str">
        <f aca="false">IF(A11="","",A11)</f>
        <v/>
      </c>
      <c r="B31" s="47" t="str">
        <f aca="false">IF(A11="","",I11)</f>
        <v/>
      </c>
      <c r="C31" s="47" t="str">
        <f aca="false">IF(OR(A11="",F20=""),"",C11*F20+E11*F21+G11*F22)</f>
        <v/>
      </c>
      <c r="D31" s="47" t="str">
        <f aca="false">IF(OR(A11="",G20=""),"",C11*G20+E11*G21+G11*G22)</f>
        <v/>
      </c>
    </row>
    <row r="33" customFormat="false" ht="23.85" hidden="false" customHeight="true" outlineLevel="0" collapsed="false">
      <c r="A33" s="20" t="s">
        <v>668</v>
      </c>
      <c r="B33" s="16" t="str">
        <f aca="false">IFERROR(INDEX(A26:A31,MATCH(MAX(C26:C31),C26:C31,0)),"")</f>
        <v>A. Move upmarket</v>
      </c>
      <c r="C33" s="10" t="s">
        <v>669</v>
      </c>
      <c r="D33" s="10"/>
      <c r="E33" s="10"/>
      <c r="F33" s="10"/>
      <c r="G33" s="10"/>
      <c r="H33" s="10"/>
      <c r="I33" s="10"/>
      <c r="J33" s="10"/>
      <c r="K33" s="10"/>
    </row>
    <row r="34" customFormat="false" ht="23.85" hidden="false" customHeight="false" outlineLevel="0" collapsed="false">
      <c r="A34" s="20" t="s">
        <v>670</v>
      </c>
      <c r="B34" s="16" t="str">
        <f aca="false">IFERROR(INDEX(A26:A31,MATCH(MAX(D26:D31),D26:D31,0)),"")</f>
        <v>B. Cut costs</v>
      </c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23.85" hidden="false" customHeight="false" outlineLevel="0" collapsed="false">
      <c r="A35" s="20" t="s">
        <v>671</v>
      </c>
      <c r="B35" s="33" t="n">
        <f aca="false">IFERROR(F23*MAX(C26:C31)+G23*MAX(D26:D31),"")</f>
        <v>5.23</v>
      </c>
    </row>
    <row r="36" customFormat="false" ht="15" hidden="false" customHeight="false" outlineLevel="0" collapsed="false">
      <c r="A36" s="20" t="s">
        <v>672</v>
      </c>
      <c r="B36" s="33" t="n">
        <f aca="false">IFERROR(B35-MAX(I6:I11),"")</f>
        <v>0.830000000000001</v>
      </c>
    </row>
    <row r="37" customFormat="false" ht="15" hidden="false" customHeight="false" outlineLevel="0" collapsed="false">
      <c r="A37" s="20" t="s">
        <v>673</v>
      </c>
      <c r="B37" s="40" t="n">
        <v>0.5</v>
      </c>
    </row>
    <row r="38" customFormat="false" ht="23.85" hidden="false" customHeight="false" outlineLevel="0" collapsed="false">
      <c r="A38" s="20" t="s">
        <v>674</v>
      </c>
      <c r="B38" s="33" t="n">
        <f aca="false">IFERROR(IF(B37="","",B36-B37),"")</f>
        <v>0.330000000000001</v>
      </c>
    </row>
    <row r="39" customFormat="false" ht="15" hidden="false" customHeight="false" outlineLevel="0" collapsed="false">
      <c r="A39" s="20" t="s">
        <v>675</v>
      </c>
      <c r="B39" s="32" t="n">
        <f aca="false">IFERROR(B36/B15,"")</f>
        <v>0.592857142857143</v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7" t="s">
        <v>676</v>
      </c>
    </row>
    <row r="2" customFormat="false" ht="15" hidden="false" customHeight="false" outlineLevel="0" collapsed="false">
      <c r="A2" s="3" t="s">
        <v>677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489</v>
      </c>
      <c r="B5" s="12" t="s">
        <v>678</v>
      </c>
      <c r="C5" s="12" t="s">
        <v>679</v>
      </c>
      <c r="D5" s="12" t="s">
        <v>680</v>
      </c>
      <c r="E5" s="12" t="s">
        <v>681</v>
      </c>
      <c r="F5" s="12" t="s">
        <v>682</v>
      </c>
      <c r="G5" s="12" t="s">
        <v>683</v>
      </c>
    </row>
    <row r="6" customFormat="false" ht="15" hidden="false" customHeight="false" outlineLevel="0" collapsed="false">
      <c r="A6" s="5" t="s">
        <v>416</v>
      </c>
      <c r="B6" s="22" t="n">
        <v>-0.1</v>
      </c>
      <c r="C6" s="22" t="n">
        <v>0</v>
      </c>
      <c r="D6" s="22" t="n">
        <v>0.05</v>
      </c>
      <c r="E6" s="39" t="n">
        <f aca="false">IF(B6="",F6,B6)</f>
        <v>-0.1</v>
      </c>
      <c r="F6" s="39" t="n">
        <f aca="false">IF(C6="",0,C6)</f>
        <v>0</v>
      </c>
      <c r="G6" s="39" t="n">
        <f aca="false">IF(D6="",F6,D6)</f>
        <v>0.05</v>
      </c>
    </row>
    <row r="7" customFormat="false" ht="15" hidden="false" customHeight="false" outlineLevel="0" collapsed="false">
      <c r="A7" s="5" t="s">
        <v>620</v>
      </c>
      <c r="B7" s="22" t="n">
        <v>-0.3</v>
      </c>
      <c r="C7" s="22" t="n">
        <v>0</v>
      </c>
      <c r="D7" s="22" t="n">
        <v>0.15</v>
      </c>
      <c r="E7" s="39" t="n">
        <f aca="false">IF(B7="",F7,B7)</f>
        <v>-0.3</v>
      </c>
      <c r="F7" s="39" t="n">
        <f aca="false">IF(C7="",0,C7)</f>
        <v>0</v>
      </c>
      <c r="G7" s="39" t="n">
        <f aca="false">IF(D7="",F7,D7)</f>
        <v>0.15</v>
      </c>
    </row>
    <row r="8" customFormat="false" ht="15" hidden="false" customHeight="false" outlineLevel="0" collapsed="false">
      <c r="A8" s="5" t="s">
        <v>418</v>
      </c>
      <c r="B8" s="22" t="n">
        <v>-0.05</v>
      </c>
      <c r="C8" s="22" t="n">
        <v>0</v>
      </c>
      <c r="D8" s="22" t="n">
        <v>0.1</v>
      </c>
      <c r="E8" s="39" t="n">
        <f aca="false">IF(B8="",F8,B8)</f>
        <v>-0.05</v>
      </c>
      <c r="F8" s="39" t="n">
        <f aca="false">IF(C8="",0,C8)</f>
        <v>0</v>
      </c>
      <c r="G8" s="39" t="n">
        <f aca="false">IF(D8="",F8,D8)</f>
        <v>0.1</v>
      </c>
    </row>
    <row r="9" customFormat="false" ht="15" hidden="false" customHeight="false" outlineLevel="0" collapsed="false">
      <c r="A9" s="5" t="s">
        <v>442</v>
      </c>
      <c r="B9" s="22" t="n">
        <v>-0.1</v>
      </c>
      <c r="C9" s="22" t="n">
        <v>0</v>
      </c>
      <c r="D9" s="22" t="n">
        <v>0.15</v>
      </c>
      <c r="E9" s="39" t="n">
        <f aca="false">IF(B9="",F9,B9)</f>
        <v>-0.1</v>
      </c>
      <c r="F9" s="39" t="n">
        <f aca="false">IF(C9="",0,C9)</f>
        <v>0</v>
      </c>
      <c r="G9" s="39" t="n">
        <f aca="false">IF(D9="",F9,D9)</f>
        <v>0.15</v>
      </c>
    </row>
    <row r="10" customFormat="false" ht="15" hidden="false" customHeight="false" outlineLevel="0" collapsed="false">
      <c r="A10" s="5" t="s">
        <v>621</v>
      </c>
      <c r="B10" s="22" t="n">
        <v>-0.05</v>
      </c>
      <c r="C10" s="22" t="n">
        <v>0</v>
      </c>
      <c r="D10" s="22" t="n">
        <v>0.25</v>
      </c>
      <c r="E10" s="39" t="n">
        <f aca="false">IF(B10="",F10,B10)</f>
        <v>-0.05</v>
      </c>
      <c r="F10" s="39" t="n">
        <f aca="false">IF(C10="",0,C10)</f>
        <v>0</v>
      </c>
      <c r="G10" s="39" t="n">
        <f aca="false">IF(D10="",F10,D10)</f>
        <v>0.25</v>
      </c>
    </row>
    <row r="11" customFormat="false" ht="15" hidden="false" customHeight="false" outlineLevel="0" collapsed="false">
      <c r="A11" s="5" t="s">
        <v>684</v>
      </c>
      <c r="B11" s="22" t="n">
        <v>0.08</v>
      </c>
      <c r="C11" s="22" t="n">
        <v>0.1</v>
      </c>
      <c r="D11" s="22" t="n">
        <v>0.13</v>
      </c>
      <c r="E11" s="39" t="n">
        <f aca="false">IF(B11="",F11,B11)</f>
        <v>0.08</v>
      </c>
      <c r="F11" s="39" t="n">
        <f aca="false">IF(C11="",'Business Case'!$B$6,C11)</f>
        <v>0.1</v>
      </c>
      <c r="G11" s="39" t="n">
        <f aca="false">IF(D11="",F11,D11)</f>
        <v>0.13</v>
      </c>
    </row>
    <row r="12" customFormat="false" ht="15" hidden="false" customHeight="false" outlineLevel="0" collapsed="false">
      <c r="A12" s="5" t="s">
        <v>685</v>
      </c>
      <c r="B12" s="15" t="str">
        <f aca="false">IF(SUMPRODUCT((E6:E11&gt;F6:F11)+(F6:F11&gt;G6:G11))=0,"OK","Need low &lt;= likely &lt;= high")</f>
        <v>OK</v>
      </c>
      <c r="C12" s="15"/>
      <c r="D12" s="15"/>
    </row>
    <row r="14" customFormat="false" ht="35.05" hidden="false" customHeight="false" outlineLevel="0" collapsed="false">
      <c r="A14" s="20" t="s">
        <v>686</v>
      </c>
    </row>
    <row r="15" customFormat="false" ht="15" hidden="false" customHeight="false" outlineLevel="0" collapsed="false">
      <c r="A15" s="12" t="s">
        <v>654</v>
      </c>
      <c r="B15" s="12" t="s">
        <v>687</v>
      </c>
      <c r="C15" s="12" t="s">
        <v>688</v>
      </c>
      <c r="D15" s="12" t="s">
        <v>689</v>
      </c>
      <c r="E15" s="12" t="s">
        <v>690</v>
      </c>
      <c r="F15" s="12" t="s">
        <v>691</v>
      </c>
      <c r="G15" s="12" t="s">
        <v>692</v>
      </c>
      <c r="H15" s="12" t="s">
        <v>693</v>
      </c>
      <c r="I15" s="12" t="s">
        <v>694</v>
      </c>
      <c r="J15" s="12" t="s">
        <v>695</v>
      </c>
      <c r="K15" s="12" t="s">
        <v>696</v>
      </c>
      <c r="L15" s="12" t="s">
        <v>697</v>
      </c>
      <c r="M15" s="12" t="s">
        <v>698</v>
      </c>
      <c r="N15" s="12" t="s">
        <v>630</v>
      </c>
    </row>
    <row r="16" customFormat="false" ht="15" hidden="false" customHeight="false" outlineLevel="0" collapsed="false">
      <c r="A16" s="5" t="s">
        <v>437</v>
      </c>
      <c r="B16" s="47" t="n">
        <f aca="false">1</f>
        <v>1</v>
      </c>
      <c r="C16" s="47" t="n">
        <f aca="false">1</f>
        <v>1</v>
      </c>
      <c r="D16" s="47" t="n">
        <f aca="false">1</f>
        <v>1</v>
      </c>
      <c r="E16" s="47" t="n">
        <f aca="false">1</f>
        <v>1</v>
      </c>
      <c r="F16" s="47" t="n">
        <f aca="false">1</f>
        <v>1</v>
      </c>
      <c r="G16" s="39" t="n">
        <f aca="false">'Business Case'!$B$6</f>
        <v>0.1</v>
      </c>
      <c r="H16" s="45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-2000000000</v>
      </c>
      <c r="I16" s="45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13112000</v>
      </c>
      <c r="J16" s="45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320264000</v>
      </c>
      <c r="K16" s="45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677416000</v>
      </c>
      <c r="L16" s="45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814360000</v>
      </c>
      <c r="M16" s="45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1004440000</v>
      </c>
      <c r="N16" s="46" t="n">
        <f aca="false">IF(COUNT('Business Case'!B11:G11)=0,"",H16+NPV(G16,I16:M16))</f>
        <v>-34549289.8522835</v>
      </c>
    </row>
    <row r="17" customFormat="false" ht="15" hidden="false" customHeight="false" outlineLevel="0" collapsed="false">
      <c r="A17" s="5" t="s">
        <v>699</v>
      </c>
      <c r="B17" s="47" t="n">
        <f aca="false">1+E6</f>
        <v>0.9</v>
      </c>
      <c r="C17" s="47" t="n">
        <f aca="false">1</f>
        <v>1</v>
      </c>
      <c r="D17" s="47" t="n">
        <f aca="false">1</f>
        <v>1</v>
      </c>
      <c r="E17" s="47" t="n">
        <f aca="false">1</f>
        <v>1</v>
      </c>
      <c r="F17" s="47" t="n">
        <f aca="false">1</f>
        <v>1</v>
      </c>
      <c r="G17" s="39" t="n">
        <f aca="false">'Business Case'!$B$6</f>
        <v>0.1</v>
      </c>
      <c r="H17" s="45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-2000000000</v>
      </c>
      <c r="I17" s="45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-63611200</v>
      </c>
      <c r="J17" s="45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161633600</v>
      </c>
      <c r="K17" s="45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436878400</v>
      </c>
      <c r="L17" s="45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543064000</v>
      </c>
      <c r="M17" s="45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714136000</v>
      </c>
      <c r="N17" s="46" t="n">
        <f aca="false">IF(COUNT('Business Case'!B11:G11)=0,"",H17+NPV(G17,I17:M17))</f>
        <v>-781671378.830309</v>
      </c>
    </row>
    <row r="18" customFormat="false" ht="15" hidden="false" customHeight="false" outlineLevel="0" collapsed="false">
      <c r="A18" s="5" t="s">
        <v>700</v>
      </c>
      <c r="B18" s="47" t="n">
        <f aca="false">1+G6</f>
        <v>1.05</v>
      </c>
      <c r="C18" s="47" t="n">
        <f aca="false">1</f>
        <v>1</v>
      </c>
      <c r="D18" s="47" t="n">
        <f aca="false">1</f>
        <v>1</v>
      </c>
      <c r="E18" s="47" t="n">
        <f aca="false">1</f>
        <v>1</v>
      </c>
      <c r="F18" s="47" t="n">
        <f aca="false">1</f>
        <v>1</v>
      </c>
      <c r="G18" s="39" t="n">
        <f aca="false">'Business Case'!$B$6</f>
        <v>0.1</v>
      </c>
      <c r="H18" s="45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-2000000000</v>
      </c>
      <c r="I18" s="45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51473600</v>
      </c>
      <c r="J18" s="45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399579200</v>
      </c>
      <c r="K18" s="45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797684800</v>
      </c>
      <c r="L18" s="45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950008000</v>
      </c>
      <c r="M18" s="45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1149592000</v>
      </c>
      <c r="N18" s="46" t="n">
        <f aca="false">IF(COUNT('Business Case'!B11:G11)=0,"",H18+NPV(G18,I18:M18))</f>
        <v>339011754.636729</v>
      </c>
    </row>
    <row r="19" customFormat="false" ht="15" hidden="false" customHeight="false" outlineLevel="0" collapsed="false">
      <c r="A19" s="5" t="s">
        <v>701</v>
      </c>
      <c r="B19" s="47" t="n">
        <f aca="false">1</f>
        <v>1</v>
      </c>
      <c r="C19" s="47" t="n">
        <f aca="false">1+E7</f>
        <v>0.7</v>
      </c>
      <c r="D19" s="47" t="n">
        <f aca="false">1</f>
        <v>1</v>
      </c>
      <c r="E19" s="47" t="n">
        <f aca="false">1</f>
        <v>1</v>
      </c>
      <c r="F19" s="47" t="n">
        <f aca="false">1</f>
        <v>1</v>
      </c>
      <c r="G19" s="39" t="n">
        <f aca="false">'Business Case'!$B$6</f>
        <v>0.1</v>
      </c>
      <c r="H19" s="45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-2000000000</v>
      </c>
      <c r="I19" s="45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-63481600</v>
      </c>
      <c r="J19" s="45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151524800</v>
      </c>
      <c r="K19" s="45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416531200</v>
      </c>
      <c r="L19" s="45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512392000</v>
      </c>
      <c r="M19" s="45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645448000</v>
      </c>
      <c r="N19" s="46" t="n">
        <f aca="false">IF(COUNT('Business Case'!B11:G11)=0,"",H19+NPV(G19,I19:M19))</f>
        <v>-868794325.871929</v>
      </c>
    </row>
    <row r="20" customFormat="false" ht="15" hidden="false" customHeight="false" outlineLevel="0" collapsed="false">
      <c r="A20" s="5" t="s">
        <v>702</v>
      </c>
      <c r="B20" s="47" t="n">
        <f aca="false">1</f>
        <v>1</v>
      </c>
      <c r="C20" s="47" t="n">
        <f aca="false">1+G7</f>
        <v>1.15</v>
      </c>
      <c r="D20" s="47" t="n">
        <f aca="false">1</f>
        <v>1</v>
      </c>
      <c r="E20" s="47" t="n">
        <f aca="false">1</f>
        <v>1</v>
      </c>
      <c r="F20" s="47" t="n">
        <f aca="false">1</f>
        <v>1</v>
      </c>
      <c r="G20" s="39" t="n">
        <f aca="false">'Business Case'!$B$6</f>
        <v>0.1</v>
      </c>
      <c r="H20" s="45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-2000000000</v>
      </c>
      <c r="I20" s="45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51408800</v>
      </c>
      <c r="J20" s="45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404633600</v>
      </c>
      <c r="K20" s="45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807858400</v>
      </c>
      <c r="L20" s="45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965344000</v>
      </c>
      <c r="M20" s="45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1183936000</v>
      </c>
      <c r="N20" s="46" t="n">
        <f aca="false">IF(COUNT('Business Case'!B11:G11)=0,"",H20+NPV(G20,I20:M20))</f>
        <v>382573228.157539</v>
      </c>
    </row>
    <row r="21" customFormat="false" ht="15" hidden="false" customHeight="false" outlineLevel="0" collapsed="false">
      <c r="A21" s="5" t="s">
        <v>703</v>
      </c>
      <c r="B21" s="47" t="n">
        <f aca="false">1</f>
        <v>1</v>
      </c>
      <c r="C21" s="47" t="n">
        <f aca="false">1</f>
        <v>1</v>
      </c>
      <c r="D21" s="47" t="n">
        <f aca="false">1+E8</f>
        <v>0.95</v>
      </c>
      <c r="E21" s="47" t="n">
        <f aca="false">1</f>
        <v>1</v>
      </c>
      <c r="F21" s="47" t="n">
        <f aca="false">1</f>
        <v>1</v>
      </c>
      <c r="G21" s="39" t="n">
        <f aca="false">'Business Case'!$B$6</f>
        <v>0.1</v>
      </c>
      <c r="H21" s="45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-2000000000</v>
      </c>
      <c r="I21" s="45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38708000</v>
      </c>
      <c r="J21" s="45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371456000</v>
      </c>
      <c r="K21" s="45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754204000</v>
      </c>
      <c r="L21" s="45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899680000</v>
      </c>
      <c r="M21" s="45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1089760000</v>
      </c>
      <c r="N21" s="46" t="n">
        <f aca="false">IF(COUNT('Business Case'!B11:G11)=0,"",H21+NPV(G21,I21:M21))</f>
        <v>199970915.300122</v>
      </c>
    </row>
    <row r="22" customFormat="false" ht="15" hidden="false" customHeight="false" outlineLevel="0" collapsed="false">
      <c r="A22" s="5" t="s">
        <v>704</v>
      </c>
      <c r="B22" s="47" t="n">
        <f aca="false">1</f>
        <v>1</v>
      </c>
      <c r="C22" s="47" t="n">
        <f aca="false">1</f>
        <v>1</v>
      </c>
      <c r="D22" s="47" t="n">
        <f aca="false">1+G8</f>
        <v>1.1</v>
      </c>
      <c r="E22" s="47" t="n">
        <f aca="false">1</f>
        <v>1</v>
      </c>
      <c r="F22" s="47" t="n">
        <f aca="false">1</f>
        <v>1</v>
      </c>
      <c r="G22" s="39" t="n">
        <f aca="false">'Business Case'!$B$6</f>
        <v>0.1</v>
      </c>
      <c r="H22" s="45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-2000000000</v>
      </c>
      <c r="I22" s="45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-38080000</v>
      </c>
      <c r="J22" s="45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217880000</v>
      </c>
      <c r="K22" s="45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523840000</v>
      </c>
      <c r="L22" s="45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643720000</v>
      </c>
      <c r="M22" s="45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833800000</v>
      </c>
      <c r="N22" s="46" t="n">
        <f aca="false">IF(COUNT('Business Case'!B11:G11)=0,"",H22+NPV(G22,I22:M22))</f>
        <v>-503589700.157094</v>
      </c>
    </row>
    <row r="23" customFormat="false" ht="15" hidden="false" customHeight="false" outlineLevel="0" collapsed="false">
      <c r="A23" s="5" t="s">
        <v>705</v>
      </c>
      <c r="B23" s="47" t="n">
        <f aca="false">1</f>
        <v>1</v>
      </c>
      <c r="C23" s="47" t="n">
        <f aca="false">1</f>
        <v>1</v>
      </c>
      <c r="D23" s="47" t="n">
        <f aca="false">1</f>
        <v>1</v>
      </c>
      <c r="E23" s="47" t="n">
        <f aca="false">1+E9</f>
        <v>0.9</v>
      </c>
      <c r="F23" s="47" t="n">
        <f aca="false">1</f>
        <v>1</v>
      </c>
      <c r="G23" s="39" t="n">
        <f aca="false">'Business Case'!$B$6</f>
        <v>0.1</v>
      </c>
      <c r="H23" s="45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-2000000000</v>
      </c>
      <c r="I23" s="45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27332000</v>
      </c>
      <c r="J23" s="45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334484000</v>
      </c>
      <c r="K23" s="45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691636000</v>
      </c>
      <c r="L23" s="45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828580000</v>
      </c>
      <c r="M23" s="45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1018660000</v>
      </c>
      <c r="N23" s="46" t="n">
        <f aca="false">IF(COUNT('Business Case'!B11:G11)=0,"",H23+NPV(G23,I23:M23))</f>
        <v>19355698.0087049</v>
      </c>
    </row>
    <row r="24" customFormat="false" ht="15" hidden="false" customHeight="false" outlineLevel="0" collapsed="false">
      <c r="A24" s="5" t="s">
        <v>706</v>
      </c>
      <c r="B24" s="47" t="n">
        <f aca="false">1</f>
        <v>1</v>
      </c>
      <c r="C24" s="47" t="n">
        <f aca="false">1</f>
        <v>1</v>
      </c>
      <c r="D24" s="47" t="n">
        <f aca="false">1</f>
        <v>1</v>
      </c>
      <c r="E24" s="47" t="n">
        <f aca="false">1+G9</f>
        <v>1.15</v>
      </c>
      <c r="F24" s="47" t="n">
        <f aca="false">1</f>
        <v>1</v>
      </c>
      <c r="G24" s="39" t="n">
        <f aca="false">'Business Case'!$B$6</f>
        <v>0.1</v>
      </c>
      <c r="H24" s="45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-2000000000</v>
      </c>
      <c r="I24" s="45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-8217999.99999997</v>
      </c>
      <c r="J24" s="45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298934000</v>
      </c>
      <c r="K24" s="45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656086000</v>
      </c>
      <c r="L24" s="45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793030000</v>
      </c>
      <c r="M24" s="45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983110000</v>
      </c>
      <c r="N24" s="46" t="n">
        <f aca="false">IF(COUNT('Business Case'!B11:G11)=0,"",H24+NPV(G24,I24:M24))</f>
        <v>-115406771.643765</v>
      </c>
    </row>
    <row r="25" customFormat="false" ht="15" hidden="false" customHeight="false" outlineLevel="0" collapsed="false">
      <c r="A25" s="5" t="s">
        <v>707</v>
      </c>
      <c r="B25" s="47" t="n">
        <f aca="false">1</f>
        <v>1</v>
      </c>
      <c r="C25" s="47" t="n">
        <f aca="false">1</f>
        <v>1</v>
      </c>
      <c r="D25" s="47" t="n">
        <f aca="false">1</f>
        <v>1</v>
      </c>
      <c r="E25" s="47" t="n">
        <f aca="false">1</f>
        <v>1</v>
      </c>
      <c r="F25" s="47" t="n">
        <f aca="false">1+E10</f>
        <v>0.95</v>
      </c>
      <c r="G25" s="39" t="n">
        <f aca="false">'Business Case'!$B$6</f>
        <v>0.1</v>
      </c>
      <c r="H25" s="45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-1900000000</v>
      </c>
      <c r="I25" s="45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18112000</v>
      </c>
      <c r="J25" s="45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325264000</v>
      </c>
      <c r="K25" s="45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679916000</v>
      </c>
      <c r="L25" s="45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816860000</v>
      </c>
      <c r="M25" s="45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1006940000</v>
      </c>
      <c r="N25" s="46" t="n">
        <f aca="false">IF(COUNT('Business Case'!B11:G11)=0,"",H25+NPV(G25,I25:M25))</f>
        <v>79266520.0464444</v>
      </c>
    </row>
    <row r="26" customFormat="false" ht="15" hidden="false" customHeight="false" outlineLevel="0" collapsed="false">
      <c r="A26" s="5" t="s">
        <v>708</v>
      </c>
      <c r="B26" s="47" t="n">
        <f aca="false">1</f>
        <v>1</v>
      </c>
      <c r="C26" s="47" t="n">
        <f aca="false">1</f>
        <v>1</v>
      </c>
      <c r="D26" s="47" t="n">
        <f aca="false">1</f>
        <v>1</v>
      </c>
      <c r="E26" s="47" t="n">
        <f aca="false">1</f>
        <v>1</v>
      </c>
      <c r="F26" s="47" t="n">
        <f aca="false">1+G10</f>
        <v>1.25</v>
      </c>
      <c r="G26" s="39" t="n">
        <f aca="false">'Business Case'!$B$6</f>
        <v>0.1</v>
      </c>
      <c r="H26" s="45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-2500000000</v>
      </c>
      <c r="I26" s="45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-11888000</v>
      </c>
      <c r="J26" s="45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295264000</v>
      </c>
      <c r="K26" s="45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664916000</v>
      </c>
      <c r="L26" s="45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801860000</v>
      </c>
      <c r="M26" s="45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991940000</v>
      </c>
      <c r="N26" s="46" t="n">
        <f aca="false">IF(COUNT('Business Case'!B11:G11)=0,"",H26+NPV(G26,I26:M26))</f>
        <v>-603628339.345922</v>
      </c>
    </row>
    <row r="27" customFormat="false" ht="15" hidden="false" customHeight="false" outlineLevel="0" collapsed="false">
      <c r="A27" s="5" t="s">
        <v>709</v>
      </c>
      <c r="B27" s="47" t="n">
        <f aca="false">1</f>
        <v>1</v>
      </c>
      <c r="C27" s="47" t="n">
        <f aca="false">1</f>
        <v>1</v>
      </c>
      <c r="D27" s="47" t="n">
        <f aca="false">1</f>
        <v>1</v>
      </c>
      <c r="E27" s="47" t="n">
        <f aca="false">1</f>
        <v>1</v>
      </c>
      <c r="F27" s="47" t="n">
        <f aca="false">1</f>
        <v>1</v>
      </c>
      <c r="G27" s="39" t="n">
        <f aca="false">E11</f>
        <v>0.08</v>
      </c>
      <c r="H27" s="45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-2000000000</v>
      </c>
      <c r="I27" s="45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13112000</v>
      </c>
      <c r="J27" s="45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320264000</v>
      </c>
      <c r="K27" s="45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677416000</v>
      </c>
      <c r="L27" s="45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814360000</v>
      </c>
      <c r="M27" s="45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1004440000</v>
      </c>
      <c r="N27" s="46" t="n">
        <f aca="false">IF(COUNT('Business Case'!B11:G11)=0,"",H27+NPV(G27,I27:M27))</f>
        <v>106654059.420693</v>
      </c>
    </row>
    <row r="28" customFormat="false" ht="15" hidden="false" customHeight="false" outlineLevel="0" collapsed="false">
      <c r="A28" s="5" t="s">
        <v>710</v>
      </c>
      <c r="B28" s="47" t="n">
        <f aca="false">1</f>
        <v>1</v>
      </c>
      <c r="C28" s="47" t="n">
        <f aca="false">1</f>
        <v>1</v>
      </c>
      <c r="D28" s="47" t="n">
        <f aca="false">1</f>
        <v>1</v>
      </c>
      <c r="E28" s="47" t="n">
        <f aca="false">1</f>
        <v>1</v>
      </c>
      <c r="F28" s="47" t="n">
        <f aca="false">1</f>
        <v>1</v>
      </c>
      <c r="G28" s="39" t="n">
        <f aca="false">G11</f>
        <v>0.13</v>
      </c>
      <c r="H28" s="45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-2000000000</v>
      </c>
      <c r="I28" s="45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13112000</v>
      </c>
      <c r="J28" s="45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320264000</v>
      </c>
      <c r="K28" s="45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677416000</v>
      </c>
      <c r="L28" s="45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814360000</v>
      </c>
      <c r="M28" s="45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1004440000</v>
      </c>
      <c r="N28" s="46" t="n">
        <f aca="false">IF(COUNT('Business Case'!B11:G11)=0,"",H28+NPV(G28,I28:M28))</f>
        <v>-223467472.855195</v>
      </c>
    </row>
    <row r="30" customFormat="false" ht="23.85" hidden="false" customHeight="false" outlineLevel="0" collapsed="false">
      <c r="A30" s="20" t="s">
        <v>711</v>
      </c>
    </row>
    <row r="31" customFormat="false" ht="30" hidden="false" customHeight="true" outlineLevel="0" collapsed="false">
      <c r="A31" s="12" t="s">
        <v>489</v>
      </c>
      <c r="B31" s="12" t="s">
        <v>712</v>
      </c>
      <c r="C31" s="12" t="s">
        <v>713</v>
      </c>
      <c r="D31" s="12" t="s">
        <v>714</v>
      </c>
      <c r="E31" s="12" t="s">
        <v>715</v>
      </c>
      <c r="F31" s="12" t="s">
        <v>716</v>
      </c>
      <c r="G31" s="12" t="s">
        <v>717</v>
      </c>
      <c r="H31" s="12" t="s">
        <v>718</v>
      </c>
    </row>
    <row r="32" customFormat="false" ht="23.85" hidden="false" customHeight="false" outlineLevel="0" collapsed="false">
      <c r="A32" s="15" t="str">
        <f aca="false">INDEX($A$40:$A$45,MATCH(LARGE($D$40:$D$45,1),$D$40:$D$45,0))</f>
        <v>Units</v>
      </c>
      <c r="B32" s="45" t="n">
        <f aca="false">INDEX($B$40:$B$45,MATCH(LARGE($D$40:$D$45,1),$D$40:$D$45,0))</f>
        <v>-868794325.871929</v>
      </c>
      <c r="C32" s="45" t="n">
        <f aca="false">INDEX($C$40:$C$45,MATCH(LARGE($D$40:$D$45,1),$D$40:$D$45,0))</f>
        <v>382573228.157539</v>
      </c>
      <c r="D32" s="48" t="n">
        <f aca="false">IFERROR(ABS(C32-B32),"")</f>
        <v>1251367554.02947</v>
      </c>
      <c r="E32" s="45" t="n">
        <f aca="false">IFERROR(B32-$N$16,"")</f>
        <v>-834245036.019646</v>
      </c>
      <c r="F32" s="45" t="n">
        <f aca="false">IFERROR(C32-$N$16,"")</f>
        <v>417122518.009823</v>
      </c>
      <c r="G32" s="15" t="str">
        <f aca="false">IF(B32="","",IF(MIN(B32,C32)&lt;0,IF(MAX(B32,C32)&gt;0,"Yes","Below zero"),"No"))</f>
        <v>Yes</v>
      </c>
      <c r="H32" s="15" t="n">
        <f aca="false">1</f>
        <v>1</v>
      </c>
    </row>
    <row r="33" customFormat="false" ht="23.85" hidden="false" customHeight="false" outlineLevel="0" collapsed="false">
      <c r="A33" s="15" t="str">
        <f aca="false">INDEX($A$40:$A$45,MATCH(LARGE($D$40:$D$45,2),$D$40:$D$45,0))</f>
        <v>Price per unit</v>
      </c>
      <c r="B33" s="45" t="n">
        <f aca="false">INDEX($B$40:$B$45,MATCH(LARGE($D$40:$D$45,2),$D$40:$D$45,0))</f>
        <v>-781671378.830309</v>
      </c>
      <c r="C33" s="45" t="n">
        <f aca="false">INDEX($C$40:$C$45,MATCH(LARGE($D$40:$D$45,2),$D$40:$D$45,0))</f>
        <v>339011754.636729</v>
      </c>
      <c r="D33" s="48" t="n">
        <f aca="false">IFERROR(ABS(C33-B33),"")</f>
        <v>1120683133.46704</v>
      </c>
      <c r="E33" s="45" t="n">
        <f aca="false">IFERROR(B33-$N$16,"")</f>
        <v>-747122088.978025</v>
      </c>
      <c r="F33" s="45" t="n">
        <f aca="false">IFERROR(C33-$N$16,"")</f>
        <v>373561044.489013</v>
      </c>
      <c r="G33" s="15" t="str">
        <f aca="false">IF(B33="","",IF(MIN(B33,C33)&lt;0,IF(MAX(B33,C33)&gt;0,"Yes","Below zero"),"No"))</f>
        <v>Yes</v>
      </c>
      <c r="H33" s="15" t="n">
        <f aca="false">2</f>
        <v>2</v>
      </c>
    </row>
    <row r="34" customFormat="false" ht="23.85" hidden="false" customHeight="false" outlineLevel="0" collapsed="false">
      <c r="A34" s="15" t="str">
        <f aca="false">INDEX($A$40:$A$45,MATCH(LARGE($D$40:$D$45,3),$D$40:$D$45,0))</f>
        <v>Variable cost per unit</v>
      </c>
      <c r="B34" s="45" t="n">
        <f aca="false">INDEX($B$40:$B$45,MATCH(LARGE($D$40:$D$45,3),$D$40:$D$45,0))</f>
        <v>199970915.300122</v>
      </c>
      <c r="C34" s="45" t="n">
        <f aca="false">INDEX($C$40:$C$45,MATCH(LARGE($D$40:$D$45,3),$D$40:$D$45,0))</f>
        <v>-503589700.157094</v>
      </c>
      <c r="D34" s="48" t="n">
        <f aca="false">IFERROR(ABS(C34-B34),"")</f>
        <v>703560615.457216</v>
      </c>
      <c r="E34" s="45" t="n">
        <f aca="false">IFERROR(B34-$N$16,"")</f>
        <v>234520205.152405</v>
      </c>
      <c r="F34" s="45" t="n">
        <f aca="false">IFERROR(C34-$N$16,"")</f>
        <v>-469040410.30481</v>
      </c>
      <c r="G34" s="15" t="str">
        <f aca="false">IF(B34="","",IF(MIN(B34,C34)&lt;0,IF(MAX(B34,C34)&gt;0,"Yes","Below zero"),"No"))</f>
        <v>Yes</v>
      </c>
      <c r="H34" s="15" t="n">
        <f aca="false">3</f>
        <v>3</v>
      </c>
    </row>
    <row r="35" customFormat="false" ht="23.85" hidden="false" customHeight="false" outlineLevel="0" collapsed="false">
      <c r="A35" s="15" t="str">
        <f aca="false">INDEX($A$40:$A$45,MATCH(LARGE($D$40:$D$45,4),$D$40:$D$45,0))</f>
        <v>Capex</v>
      </c>
      <c r="B35" s="45" t="n">
        <f aca="false">INDEX($B$40:$B$45,MATCH(LARGE($D$40:$D$45,4),$D$40:$D$45,0))</f>
        <v>79266520.0464444</v>
      </c>
      <c r="C35" s="45" t="n">
        <f aca="false">INDEX($C$40:$C$45,MATCH(LARGE($D$40:$D$45,4),$D$40:$D$45,0))</f>
        <v>-603628339.345922</v>
      </c>
      <c r="D35" s="48" t="n">
        <f aca="false">IFERROR(ABS(C35-B35),"")</f>
        <v>682894859.392366</v>
      </c>
      <c r="E35" s="45" t="n">
        <f aca="false">IFERROR(B35-$N$16,"")</f>
        <v>113815809.898728</v>
      </c>
      <c r="F35" s="45" t="n">
        <f aca="false">IFERROR(C35-$N$16,"")</f>
        <v>-569079049.493639</v>
      </c>
      <c r="G35" s="15" t="str">
        <f aca="false">IF(B35="","",IF(MIN(B35,C35)&lt;0,IF(MAX(B35,C35)&gt;0,"Yes","Below zero"),"No"))</f>
        <v>Yes</v>
      </c>
      <c r="H35" s="15" t="n">
        <f aca="false">4</f>
        <v>4</v>
      </c>
    </row>
    <row r="36" customFormat="false" ht="23.85" hidden="false" customHeight="false" outlineLevel="0" collapsed="false">
      <c r="A36" s="15" t="str">
        <f aca="false">INDEX($A$40:$A$45,MATCH(LARGE($D$40:$D$45,5),$D$40:$D$45,0))</f>
        <v>Discount rate (absolute)</v>
      </c>
      <c r="B36" s="45" t="n">
        <f aca="false">INDEX($B$40:$B$45,MATCH(LARGE($D$40:$D$45,5),$D$40:$D$45,0))</f>
        <v>106654059.420693</v>
      </c>
      <c r="C36" s="45" t="n">
        <f aca="false">INDEX($C$40:$C$45,MATCH(LARGE($D$40:$D$45,5),$D$40:$D$45,0))</f>
        <v>-223467472.855195</v>
      </c>
      <c r="D36" s="48" t="n">
        <f aca="false">IFERROR(ABS(C36-B36),"")</f>
        <v>330121532.275888</v>
      </c>
      <c r="E36" s="45" t="n">
        <f aca="false">IFERROR(B36-$N$16,"")</f>
        <v>141203349.272976</v>
      </c>
      <c r="F36" s="45" t="n">
        <f aca="false">IFERROR(C36-$N$16,"")</f>
        <v>-188918183.002911</v>
      </c>
      <c r="G36" s="15" t="str">
        <f aca="false">IF(B36="","",IF(MIN(B36,C36)&lt;0,IF(MAX(B36,C36)&gt;0,"Yes","Below zero"),"No"))</f>
        <v>Yes</v>
      </c>
      <c r="H36" s="15" t="n">
        <f aca="false">5</f>
        <v>5</v>
      </c>
    </row>
    <row r="37" customFormat="false" ht="23.85" hidden="false" customHeight="false" outlineLevel="0" collapsed="false">
      <c r="A37" s="15" t="str">
        <f aca="false">INDEX($A$40:$A$45,MATCH(LARGE($D$40:$D$45,6),$D$40:$D$45,0))</f>
        <v>Fixed costs</v>
      </c>
      <c r="B37" s="45" t="n">
        <f aca="false">INDEX($B$40:$B$45,MATCH(LARGE($D$40:$D$45,6),$D$40:$D$45,0))</f>
        <v>19355698.0087049</v>
      </c>
      <c r="C37" s="45" t="n">
        <f aca="false">INDEX($C$40:$C$45,MATCH(LARGE($D$40:$D$45,6),$D$40:$D$45,0))</f>
        <v>-115406771.643765</v>
      </c>
      <c r="D37" s="48" t="n">
        <f aca="false">IFERROR(ABS(C37-B37),"")</f>
        <v>134762469.65247</v>
      </c>
      <c r="E37" s="45" t="n">
        <f aca="false">IFERROR(B37-$N$16,"")</f>
        <v>53904987.8609884</v>
      </c>
      <c r="F37" s="45" t="n">
        <f aca="false">IFERROR(C37-$N$16,"")</f>
        <v>-80857481.791482</v>
      </c>
      <c r="G37" s="15" t="str">
        <f aca="false">IF(B37="","",IF(MIN(B37,C37)&lt;0,IF(MAX(B37,C37)&gt;0,"Yes","Below zero"),"No"))</f>
        <v>Yes</v>
      </c>
      <c r="H37" s="15" t="n">
        <f aca="false">6</f>
        <v>6</v>
      </c>
    </row>
    <row r="39" customFormat="false" ht="15" hidden="false" customHeight="false" outlineLevel="0" collapsed="false">
      <c r="A39" s="5" t="s">
        <v>719</v>
      </c>
    </row>
    <row r="40" customFormat="false" ht="23.85" hidden="false" customHeight="false" outlineLevel="0" collapsed="false">
      <c r="A40" s="5" t="s">
        <v>416</v>
      </c>
      <c r="B40" s="45" t="n">
        <f aca="false">N17</f>
        <v>-781671378.830309</v>
      </c>
      <c r="C40" s="45" t="n">
        <f aca="false">N18</f>
        <v>339011754.636729</v>
      </c>
      <c r="D40" s="35" t="n">
        <f aca="false">IFERROR(ABS(C40-B40)+ROW()/1000000000,0)</f>
        <v>1120683133.46704</v>
      </c>
    </row>
    <row r="41" customFormat="false" ht="23.85" hidden="false" customHeight="false" outlineLevel="0" collapsed="false">
      <c r="A41" s="5" t="s">
        <v>620</v>
      </c>
      <c r="B41" s="45" t="n">
        <f aca="false">N19</f>
        <v>-868794325.871929</v>
      </c>
      <c r="C41" s="45" t="n">
        <f aca="false">N20</f>
        <v>382573228.157539</v>
      </c>
      <c r="D41" s="35" t="n">
        <f aca="false">IFERROR(ABS(C41-B41)+ROW()/1000000000,0)</f>
        <v>1251367554.02947</v>
      </c>
    </row>
    <row r="42" customFormat="false" ht="23.85" hidden="false" customHeight="false" outlineLevel="0" collapsed="false">
      <c r="A42" s="5" t="s">
        <v>418</v>
      </c>
      <c r="B42" s="45" t="n">
        <f aca="false">N21</f>
        <v>199970915.300122</v>
      </c>
      <c r="C42" s="45" t="n">
        <f aca="false">N22</f>
        <v>-503589700.157094</v>
      </c>
      <c r="D42" s="35" t="n">
        <f aca="false">IFERROR(ABS(C42-B42)+ROW()/1000000000,0)</f>
        <v>703560615.457216</v>
      </c>
    </row>
    <row r="43" customFormat="false" ht="23.85" hidden="false" customHeight="false" outlineLevel="0" collapsed="false">
      <c r="A43" s="5" t="s">
        <v>442</v>
      </c>
      <c r="B43" s="45" t="n">
        <f aca="false">N23</f>
        <v>19355698.0087049</v>
      </c>
      <c r="C43" s="45" t="n">
        <f aca="false">N24</f>
        <v>-115406771.643765</v>
      </c>
      <c r="D43" s="35" t="n">
        <f aca="false">IFERROR(ABS(C43-B43)+ROW()/1000000000,0)</f>
        <v>134762469.65247</v>
      </c>
    </row>
    <row r="44" customFormat="false" ht="23.85" hidden="false" customHeight="false" outlineLevel="0" collapsed="false">
      <c r="A44" s="5" t="s">
        <v>621</v>
      </c>
      <c r="B44" s="45" t="n">
        <f aca="false">N25</f>
        <v>79266520.0464444</v>
      </c>
      <c r="C44" s="45" t="n">
        <f aca="false">N26</f>
        <v>-603628339.345922</v>
      </c>
      <c r="D44" s="35" t="n">
        <f aca="false">IFERROR(ABS(C44-B44)+ROW()/1000000000,0)</f>
        <v>682894859.392366</v>
      </c>
    </row>
    <row r="45" customFormat="false" ht="23.85" hidden="false" customHeight="false" outlineLevel="0" collapsed="false">
      <c r="A45" s="5" t="s">
        <v>684</v>
      </c>
      <c r="B45" s="45" t="n">
        <f aca="false">N27</f>
        <v>106654059.420693</v>
      </c>
      <c r="C45" s="45" t="n">
        <f aca="false">N28</f>
        <v>-223467472.855195</v>
      </c>
      <c r="D45" s="35" t="n">
        <f aca="false">IFERROR(ABS(C45-B45)+ROW()/1000000000,0)</f>
        <v>330121532.275888</v>
      </c>
    </row>
    <row r="48" customFormat="false" ht="15" hidden="false" customHeight="true" outlineLevel="0" collapsed="false">
      <c r="A48" s="9" t="s">
        <v>720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23.85" hidden="false" customHeight="false" outlineLevel="0" collapsed="false">
      <c r="A49" s="5" t="s">
        <v>721</v>
      </c>
      <c r="B49" s="45" t="n">
        <f aca="false">IFERROR(AVERAGE($N$81:$N$1080),"")</f>
        <v>-556330272.311184</v>
      </c>
    </row>
    <row r="50" customFormat="false" ht="23.85" hidden="false" customHeight="false" outlineLevel="0" collapsed="false">
      <c r="A50" s="20" t="s">
        <v>722</v>
      </c>
      <c r="B50" s="46" t="n">
        <f aca="false">IFERROR(MEDIAN($N$81:$N$1080),"")</f>
        <v>-565175201.286421</v>
      </c>
    </row>
    <row r="51" customFormat="false" ht="23.85" hidden="false" customHeight="false" outlineLevel="0" collapsed="false">
      <c r="A51" s="5" t="s">
        <v>723</v>
      </c>
      <c r="B51" s="45" t="n">
        <f aca="false">IFERROR(PERCENTILE($N$81:$N$1080,0.1),"")</f>
        <v>-1069925391.29361</v>
      </c>
    </row>
    <row r="52" customFormat="false" ht="23.85" hidden="false" customHeight="false" outlineLevel="0" collapsed="false">
      <c r="A52" s="5" t="s">
        <v>724</v>
      </c>
      <c r="B52" s="45" t="n">
        <f aca="false">IFERROR(PERCENTILE($N$81:$N$1080,0.9),"")</f>
        <v>-36003792.1228965</v>
      </c>
    </row>
    <row r="53" customFormat="false" ht="23.85" hidden="false" customHeight="false" outlineLevel="0" collapsed="false">
      <c r="A53" s="5" t="s">
        <v>725</v>
      </c>
      <c r="B53" s="45" t="n">
        <f aca="false">IFERROR(STDEV($N$81:$N$1080),"")</f>
        <v>391719360.903035</v>
      </c>
    </row>
    <row r="54" customFormat="false" ht="15" hidden="false" customHeight="false" outlineLevel="0" collapsed="false">
      <c r="A54" s="20" t="s">
        <v>726</v>
      </c>
      <c r="B54" s="21" t="n">
        <f aca="false">IFERROR(COUNTIF($N$81:$N$1080,"&lt;0")/COUNT($N$81:$N$1080),"")</f>
        <v>0.915</v>
      </c>
    </row>
    <row r="55" customFormat="false" ht="23.85" hidden="false" customHeight="false" outlineLevel="0" collapsed="false">
      <c r="A55" s="5" t="s">
        <v>727</v>
      </c>
      <c r="B55" s="45" t="n">
        <f aca="false">IFERROR(N16,"")</f>
        <v>-34549289.8522835</v>
      </c>
    </row>
    <row r="56" customFormat="false" ht="30" hidden="false" customHeight="true" outlineLevel="0" collapsed="false">
      <c r="A56" s="10" t="s">
        <v>728</v>
      </c>
      <c r="B56" s="10"/>
      <c r="C56" s="10"/>
      <c r="D56" s="10"/>
      <c r="E56" s="10"/>
      <c r="F56" s="10"/>
      <c r="G56" s="10"/>
      <c r="H56" s="10"/>
    </row>
    <row r="58" customFormat="false" ht="30" hidden="false" customHeight="true" outlineLevel="0" collapsed="false">
      <c r="A58" s="12" t="s">
        <v>729</v>
      </c>
      <c r="B58" s="12" t="s">
        <v>730</v>
      </c>
      <c r="C58" s="12" t="s">
        <v>731</v>
      </c>
    </row>
    <row r="59" customFormat="false" ht="15" hidden="false" customHeight="false" outlineLevel="0" collapsed="false">
      <c r="A59" s="49" t="n">
        <f aca="false">MIN($N$81:$N$1080)+(MAX($N$81:$N$1080)-MIN($N$81:$N$1080))*0/20</f>
        <v>-1700006998.52261</v>
      </c>
      <c r="B59" s="49" t="n">
        <f aca="false">MIN($N$81:$N$1080)+(MAX($N$81:$N$1080)-MIN($N$81:$N$1080))*1/20</f>
        <v>-1578198919.14986</v>
      </c>
      <c r="C59" s="26" t="n">
        <f aca="false">COUNTIFS($N$81:$N$1080,"&gt;="&amp;A59,$N$81:$N$1080,"&lt;"&amp;B59)</f>
        <v>3</v>
      </c>
    </row>
    <row r="60" customFormat="false" ht="15" hidden="false" customHeight="false" outlineLevel="0" collapsed="false">
      <c r="A60" s="49" t="n">
        <f aca="false">MIN($N$81:$N$1080)+(MAX($N$81:$N$1080)-MIN($N$81:$N$1080))*1/20</f>
        <v>-1578198919.14986</v>
      </c>
      <c r="B60" s="49" t="n">
        <f aca="false">MIN($N$81:$N$1080)+(MAX($N$81:$N$1080)-MIN($N$81:$N$1080))*2/20</f>
        <v>-1456390839.77712</v>
      </c>
      <c r="C60" s="26" t="n">
        <f aca="false">COUNTIFS($N$81:$N$1080,"&gt;="&amp;A60,$N$81:$N$1080,"&lt;"&amp;B60)</f>
        <v>6</v>
      </c>
    </row>
    <row r="61" customFormat="false" ht="15" hidden="false" customHeight="false" outlineLevel="0" collapsed="false">
      <c r="A61" s="49" t="n">
        <f aca="false">MIN($N$81:$N$1080)+(MAX($N$81:$N$1080)-MIN($N$81:$N$1080))*2/20</f>
        <v>-1456390839.77712</v>
      </c>
      <c r="B61" s="49" t="n">
        <f aca="false">MIN($N$81:$N$1080)+(MAX($N$81:$N$1080)-MIN($N$81:$N$1080))*3/20</f>
        <v>-1334582760.40437</v>
      </c>
      <c r="C61" s="26" t="n">
        <f aca="false">COUNTIFS($N$81:$N$1080,"&gt;="&amp;A61,$N$81:$N$1080,"&lt;"&amp;B61)</f>
        <v>14</v>
      </c>
    </row>
    <row r="62" customFormat="false" ht="15" hidden="false" customHeight="false" outlineLevel="0" collapsed="false">
      <c r="A62" s="49" t="n">
        <f aca="false">MIN($N$81:$N$1080)+(MAX($N$81:$N$1080)-MIN($N$81:$N$1080))*3/20</f>
        <v>-1334582760.40437</v>
      </c>
      <c r="B62" s="49" t="n">
        <f aca="false">MIN($N$81:$N$1080)+(MAX($N$81:$N$1080)-MIN($N$81:$N$1080))*4/20</f>
        <v>-1212774681.03163</v>
      </c>
      <c r="C62" s="26" t="n">
        <f aca="false">COUNTIFS($N$81:$N$1080,"&gt;="&amp;A62,$N$81:$N$1080,"&lt;"&amp;B62)</f>
        <v>22</v>
      </c>
    </row>
    <row r="63" customFormat="false" ht="15" hidden="false" customHeight="false" outlineLevel="0" collapsed="false">
      <c r="A63" s="49" t="n">
        <f aca="false">MIN($N$81:$N$1080)+(MAX($N$81:$N$1080)-MIN($N$81:$N$1080))*4/20</f>
        <v>-1212774681.03163</v>
      </c>
      <c r="B63" s="49" t="n">
        <f aca="false">MIN($N$81:$N$1080)+(MAX($N$81:$N$1080)-MIN($N$81:$N$1080))*5/20</f>
        <v>-1090966601.65889</v>
      </c>
      <c r="C63" s="26" t="n">
        <f aca="false">COUNTIFS($N$81:$N$1080,"&gt;="&amp;A63,$N$81:$N$1080,"&lt;"&amp;B63)</f>
        <v>47</v>
      </c>
    </row>
    <row r="64" customFormat="false" ht="15" hidden="false" customHeight="false" outlineLevel="0" collapsed="false">
      <c r="A64" s="49" t="n">
        <f aca="false">MIN($N$81:$N$1080)+(MAX($N$81:$N$1080)-MIN($N$81:$N$1080))*5/20</f>
        <v>-1090966601.65889</v>
      </c>
      <c r="B64" s="49" t="n">
        <f aca="false">MIN($N$81:$N$1080)+(MAX($N$81:$N$1080)-MIN($N$81:$N$1080))*6/20</f>
        <v>-969158522.286142</v>
      </c>
      <c r="C64" s="26" t="n">
        <f aca="false">COUNTIFS($N$81:$N$1080,"&gt;="&amp;A64,$N$81:$N$1080,"&lt;"&amp;B64)</f>
        <v>59</v>
      </c>
    </row>
    <row r="65" customFormat="false" ht="15" hidden="false" customHeight="false" outlineLevel="0" collapsed="false">
      <c r="A65" s="49" t="n">
        <f aca="false">MIN($N$81:$N$1080)+(MAX($N$81:$N$1080)-MIN($N$81:$N$1080))*6/20</f>
        <v>-969158522.286142</v>
      </c>
      <c r="B65" s="49" t="n">
        <f aca="false">MIN($N$81:$N$1080)+(MAX($N$81:$N$1080)-MIN($N$81:$N$1080))*7/20</f>
        <v>-847350442.913398</v>
      </c>
      <c r="C65" s="26" t="n">
        <f aca="false">COUNTIFS($N$81:$N$1080,"&gt;="&amp;A65,$N$81:$N$1080,"&lt;"&amp;B65)</f>
        <v>86</v>
      </c>
    </row>
    <row r="66" customFormat="false" ht="15" hidden="false" customHeight="false" outlineLevel="0" collapsed="false">
      <c r="A66" s="49" t="n">
        <f aca="false">MIN($N$81:$N$1080)+(MAX($N$81:$N$1080)-MIN($N$81:$N$1080))*7/20</f>
        <v>-847350442.913398</v>
      </c>
      <c r="B66" s="49" t="n">
        <f aca="false">MIN($N$81:$N$1080)+(MAX($N$81:$N$1080)-MIN($N$81:$N$1080))*8/20</f>
        <v>-725542363.540654</v>
      </c>
      <c r="C66" s="26" t="n">
        <f aca="false">COUNTIFS($N$81:$N$1080,"&gt;="&amp;A66,$N$81:$N$1080,"&lt;"&amp;B66)</f>
        <v>99</v>
      </c>
    </row>
    <row r="67" customFormat="false" ht="15" hidden="false" customHeight="false" outlineLevel="0" collapsed="false">
      <c r="A67" s="49" t="n">
        <f aca="false">MIN($N$81:$N$1080)+(MAX($N$81:$N$1080)-MIN($N$81:$N$1080))*8/20</f>
        <v>-725542363.540654</v>
      </c>
      <c r="B67" s="49" t="n">
        <f aca="false">MIN($N$81:$N$1080)+(MAX($N$81:$N$1080)-MIN($N$81:$N$1080))*9/20</f>
        <v>-603734284.16791</v>
      </c>
      <c r="C67" s="26" t="n">
        <f aca="false">COUNTIFS($N$81:$N$1080,"&gt;="&amp;A67,$N$81:$N$1080,"&lt;"&amp;B67)</f>
        <v>113</v>
      </c>
    </row>
    <row r="68" customFormat="false" ht="15" hidden="false" customHeight="false" outlineLevel="0" collapsed="false">
      <c r="A68" s="49" t="n">
        <f aca="false">MIN($N$81:$N$1080)+(MAX($N$81:$N$1080)-MIN($N$81:$N$1080))*9/20</f>
        <v>-603734284.16791</v>
      </c>
      <c r="B68" s="49" t="n">
        <f aca="false">MIN($N$81:$N$1080)+(MAX($N$81:$N$1080)-MIN($N$81:$N$1080))*10/20</f>
        <v>-481926204.795167</v>
      </c>
      <c r="C68" s="26" t="n">
        <f aca="false">COUNTIFS($N$81:$N$1080,"&gt;="&amp;A68,$N$81:$N$1080,"&lt;"&amp;B68)</f>
        <v>129</v>
      </c>
    </row>
    <row r="69" customFormat="false" ht="15" hidden="false" customHeight="false" outlineLevel="0" collapsed="false">
      <c r="A69" s="49" t="n">
        <f aca="false">MIN($N$81:$N$1080)+(MAX($N$81:$N$1080)-MIN($N$81:$N$1080))*10/20</f>
        <v>-481926204.795167</v>
      </c>
      <c r="B69" s="49" t="n">
        <f aca="false">MIN($N$81:$N$1080)+(MAX($N$81:$N$1080)-MIN($N$81:$N$1080))*11/20</f>
        <v>-360118125.422423</v>
      </c>
      <c r="C69" s="26" t="n">
        <f aca="false">COUNTIFS($N$81:$N$1080,"&gt;="&amp;A69,$N$81:$N$1080,"&lt;"&amp;B69)</f>
        <v>109</v>
      </c>
    </row>
    <row r="70" customFormat="false" ht="15" hidden="false" customHeight="false" outlineLevel="0" collapsed="false">
      <c r="A70" s="49" t="n">
        <f aca="false">MIN($N$81:$N$1080)+(MAX($N$81:$N$1080)-MIN($N$81:$N$1080))*11/20</f>
        <v>-360118125.422423</v>
      </c>
      <c r="B70" s="49" t="n">
        <f aca="false">MIN($N$81:$N$1080)+(MAX($N$81:$N$1080)-MIN($N$81:$N$1080))*12/20</f>
        <v>-238310046.049679</v>
      </c>
      <c r="C70" s="26" t="n">
        <f aca="false">COUNTIFS($N$81:$N$1080,"&gt;="&amp;A70,$N$81:$N$1080,"&lt;"&amp;B70)</f>
        <v>99</v>
      </c>
    </row>
    <row r="71" customFormat="false" ht="15" hidden="false" customHeight="false" outlineLevel="0" collapsed="false">
      <c r="A71" s="49" t="n">
        <f aca="false">MIN($N$81:$N$1080)+(MAX($N$81:$N$1080)-MIN($N$81:$N$1080))*12/20</f>
        <v>-238310046.049679</v>
      </c>
      <c r="B71" s="49" t="n">
        <f aca="false">MIN($N$81:$N$1080)+(MAX($N$81:$N$1080)-MIN($N$81:$N$1080))*13/20</f>
        <v>-116501966.676935</v>
      </c>
      <c r="C71" s="26" t="n">
        <f aca="false">COUNTIFS($N$81:$N$1080,"&gt;="&amp;A71,$N$81:$N$1080,"&lt;"&amp;B71)</f>
        <v>72</v>
      </c>
    </row>
    <row r="72" customFormat="false" ht="15" hidden="false" customHeight="false" outlineLevel="0" collapsed="false">
      <c r="A72" s="49" t="n">
        <f aca="false">MIN($N$81:$N$1080)+(MAX($N$81:$N$1080)-MIN($N$81:$N$1080))*13/20</f>
        <v>-116501966.676935</v>
      </c>
      <c r="B72" s="49" t="n">
        <f aca="false">MIN($N$81:$N$1080)+(MAX($N$81:$N$1080)-MIN($N$81:$N$1080))*14/20</f>
        <v>5306112.69580913</v>
      </c>
      <c r="C72" s="26" t="n">
        <f aca="false">COUNTIFS($N$81:$N$1080,"&gt;="&amp;A72,$N$81:$N$1080,"&lt;"&amp;B72)</f>
        <v>60</v>
      </c>
    </row>
    <row r="73" customFormat="false" ht="15" hidden="false" customHeight="false" outlineLevel="0" collapsed="false">
      <c r="A73" s="49" t="n">
        <f aca="false">MIN($N$81:$N$1080)+(MAX($N$81:$N$1080)-MIN($N$81:$N$1080))*14/20</f>
        <v>5306112.69580913</v>
      </c>
      <c r="B73" s="49" t="n">
        <f aca="false">MIN($N$81:$N$1080)+(MAX($N$81:$N$1080)-MIN($N$81:$N$1080))*15/20</f>
        <v>127114192.068553</v>
      </c>
      <c r="C73" s="26" t="n">
        <f aca="false">COUNTIFS($N$81:$N$1080,"&gt;="&amp;A73,$N$81:$N$1080,"&lt;"&amp;B73)</f>
        <v>48</v>
      </c>
    </row>
    <row r="74" customFormat="false" ht="15" hidden="false" customHeight="false" outlineLevel="0" collapsed="false">
      <c r="A74" s="49" t="n">
        <f aca="false">MIN($N$81:$N$1080)+(MAX($N$81:$N$1080)-MIN($N$81:$N$1080))*15/20</f>
        <v>127114192.068553</v>
      </c>
      <c r="B74" s="49" t="n">
        <f aca="false">MIN($N$81:$N$1080)+(MAX($N$81:$N$1080)-MIN($N$81:$N$1080))*16/20</f>
        <v>248922271.441297</v>
      </c>
      <c r="C74" s="26" t="n">
        <f aca="false">COUNTIFS($N$81:$N$1080,"&gt;="&amp;A74,$N$81:$N$1080,"&lt;"&amp;B74)</f>
        <v>18</v>
      </c>
    </row>
    <row r="75" customFormat="false" ht="15" hidden="false" customHeight="false" outlineLevel="0" collapsed="false">
      <c r="A75" s="49" t="n">
        <f aca="false">MIN($N$81:$N$1080)+(MAX($N$81:$N$1080)-MIN($N$81:$N$1080))*16/20</f>
        <v>248922271.441297</v>
      </c>
      <c r="B75" s="49" t="n">
        <f aca="false">MIN($N$81:$N$1080)+(MAX($N$81:$N$1080)-MIN($N$81:$N$1080))*17/20</f>
        <v>370730350.814041</v>
      </c>
      <c r="C75" s="26" t="n">
        <f aca="false">COUNTIFS($N$81:$N$1080,"&gt;="&amp;A75,$N$81:$N$1080,"&lt;"&amp;B75)</f>
        <v>9</v>
      </c>
    </row>
    <row r="76" customFormat="false" ht="15" hidden="false" customHeight="false" outlineLevel="0" collapsed="false">
      <c r="A76" s="49" t="n">
        <f aca="false">MIN($N$81:$N$1080)+(MAX($N$81:$N$1080)-MIN($N$81:$N$1080))*17/20</f>
        <v>370730350.814041</v>
      </c>
      <c r="B76" s="49" t="n">
        <f aca="false">MIN($N$81:$N$1080)+(MAX($N$81:$N$1080)-MIN($N$81:$N$1080))*18/20</f>
        <v>492538430.186785</v>
      </c>
      <c r="C76" s="26" t="n">
        <f aca="false">COUNTIFS($N$81:$N$1080,"&gt;="&amp;A76,$N$81:$N$1080,"&lt;"&amp;B76)</f>
        <v>4</v>
      </c>
    </row>
    <row r="77" customFormat="false" ht="15" hidden="false" customHeight="false" outlineLevel="0" collapsed="false">
      <c r="A77" s="49" t="n">
        <f aca="false">MIN($N$81:$N$1080)+(MAX($N$81:$N$1080)-MIN($N$81:$N$1080))*18/20</f>
        <v>492538430.186785</v>
      </c>
      <c r="B77" s="49" t="n">
        <f aca="false">MIN($N$81:$N$1080)+(MAX($N$81:$N$1080)-MIN($N$81:$N$1080))*19/20</f>
        <v>614346509.559528</v>
      </c>
      <c r="C77" s="26" t="n">
        <f aca="false">COUNTIFS($N$81:$N$1080,"&gt;="&amp;A77,$N$81:$N$1080,"&lt;"&amp;B77)</f>
        <v>1</v>
      </c>
    </row>
    <row r="78" customFormat="false" ht="15" hidden="false" customHeight="false" outlineLevel="0" collapsed="false">
      <c r="A78" s="49" t="n">
        <f aca="false">MIN($N$81:$N$1080)+(MAX($N$81:$N$1080)-MIN($N$81:$N$1080))*19/20</f>
        <v>614346509.559528</v>
      </c>
      <c r="B78" s="49" t="n">
        <f aca="false">MIN($N$81:$N$1080)+(MAX($N$81:$N$1080)-MIN($N$81:$N$1080))*20/20</f>
        <v>736154588.932272</v>
      </c>
      <c r="C78" s="26" t="n">
        <f aca="false">COUNTIFS($N$81:$N$1080,"&gt;="&amp;A78,$N$81:$N$1080,"&lt;="&amp;B78)</f>
        <v>2</v>
      </c>
    </row>
    <row r="80" customFormat="false" ht="23.85" hidden="false" customHeight="false" outlineLevel="0" collapsed="false">
      <c r="A80" s="12" t="s">
        <v>732</v>
      </c>
      <c r="B80" s="12" t="s">
        <v>687</v>
      </c>
      <c r="C80" s="12" t="s">
        <v>688</v>
      </c>
      <c r="D80" s="12" t="s">
        <v>689</v>
      </c>
      <c r="E80" s="12" t="s">
        <v>690</v>
      </c>
      <c r="F80" s="12" t="s">
        <v>691</v>
      </c>
      <c r="G80" s="12" t="s">
        <v>692</v>
      </c>
      <c r="H80" s="12" t="s">
        <v>693</v>
      </c>
      <c r="I80" s="12" t="s">
        <v>694</v>
      </c>
      <c r="J80" s="12" t="s">
        <v>695</v>
      </c>
      <c r="K80" s="12" t="s">
        <v>696</v>
      </c>
      <c r="L80" s="12" t="s">
        <v>697</v>
      </c>
      <c r="M80" s="12" t="s">
        <v>698</v>
      </c>
      <c r="N80" s="12" t="s">
        <v>630</v>
      </c>
      <c r="P80" s="12" t="s">
        <v>733</v>
      </c>
      <c r="Q80" s="12" t="s">
        <v>734</v>
      </c>
      <c r="R80" s="12" t="s">
        <v>735</v>
      </c>
      <c r="S80" s="12" t="s">
        <v>736</v>
      </c>
      <c r="T80" s="12" t="s">
        <v>737</v>
      </c>
      <c r="U80" s="12" t="s">
        <v>738</v>
      </c>
    </row>
    <row r="81" customFormat="false" ht="15" hidden="false" customHeight="false" outlineLevel="0" collapsed="false">
      <c r="A81" s="50" t="n">
        <v>1</v>
      </c>
      <c r="B81" s="51" t="n">
        <f aca="false">1+IF($G$6=$E$6,$F$6,IF(P81&lt;($F$6-$E$6)/($G$6-$E$6),$E$6+SQRT(P81*($G$6-$E$6)*($F$6-$E$6)),$G$6-SQRT((1-P81)*($G$6-$E$6)*($G$6-$F$6))))</f>
        <v>0.955120592215395</v>
      </c>
      <c r="C81" s="51" t="n">
        <f aca="false">1+IF($G$7=$E$7,$F$7,IF(Q81&lt;($F$7-$E$7)/($G$7-$E$7),$E$7+SQRT(Q81*($G$7-$E$7)*($F$7-$E$7)),$G$7-SQRT((1-Q81)*($G$7-$E$7)*($G$7-$F$7))))</f>
        <v>0.78766836376755</v>
      </c>
      <c r="D81" s="51" t="n">
        <f aca="false">1+IF($G$8=$E$8,$F$8,IF(R81&lt;($F$8-$E$8)/($G$8-$E$8),$E$8+SQRT(R81*($G$8-$E$8)*($F$8-$E$8)),$G$8-SQRT((1-R81)*($G$8-$E$8)*($G$8-$F$8))))</f>
        <v>0.987002693477546</v>
      </c>
      <c r="E81" s="51" t="n">
        <f aca="false">1+IF($G$9=$E$9,$F$9,IF(S81&lt;($F$9-$E$9)/($G$9-$E$9),$E$9+SQRT(S81*($G$9-$E$9)*($F$9-$E$9)),$G$9-SQRT((1-S81)*($G$9-$E$9)*($G$9-$F$9))))</f>
        <v>0.994224613759934</v>
      </c>
      <c r="F81" s="51" t="n">
        <f aca="false">1+IF($G$10=$E$10,$F$10,IF(T81&lt;($F$10-$E$10)/($G$10-$E$10),$E$10+SQRT(T81*($G$10-$E$10)*($F$10-$E$10)),$G$10-SQRT((1-T81)*($G$10-$E$10)*($G$10-$F$10))))</f>
        <v>1.04956205681137</v>
      </c>
      <c r="G81" s="52" t="n">
        <f aca="false">IF($G$11=$E$11,$F$11,IF(U81&lt;($F$11-$E$11)/($G$11-$E$11),$E$11+SQRT(U81*($G$11-$E$11)*($F$11-$E$11)),$G$11-SQRT((1-U81)*($G$11-$E$11)*($G$11-$F$11))))</f>
        <v>0.090476853639022</v>
      </c>
      <c r="H81" s="53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-2099124113.62273</v>
      </c>
      <c r="I81" s="53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-67114665.1041137</v>
      </c>
      <c r="J81" s="53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151105794.877412</v>
      </c>
      <c r="K81" s="53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421804357.699506</v>
      </c>
      <c r="L81" s="53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520544630.578575</v>
      </c>
      <c r="M81" s="53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663545288.11399</v>
      </c>
      <c r="N81" s="53" t="n">
        <f aca="false">IF(COUNT('Business Case'!B11:G11)=0,"",H81+NPV(G81,I81:M81))</f>
        <v>-909876362.353364</v>
      </c>
      <c r="P81" s="54" t="n">
        <f aca="true">RAND()</f>
        <v>0.20255197907839</v>
      </c>
      <c r="Q81" s="54" t="n">
        <f aca="true">RAND()</f>
        <v>0.0569314222642926</v>
      </c>
      <c r="R81" s="54" t="n">
        <f aca="true">RAND()</f>
        <v>0.182559909945766</v>
      </c>
      <c r="S81" s="54" t="n">
        <f aca="true">RAND()</f>
        <v>0.355131113528353</v>
      </c>
      <c r="T81" s="54" t="n">
        <f aca="true">RAND()</f>
        <v>0.464328412404137</v>
      </c>
      <c r="U81" s="54" t="n">
        <f aca="true">RAND()</f>
        <v>0.109764462173487</v>
      </c>
    </row>
    <row r="82" customFormat="false" ht="15" hidden="false" customHeight="false" outlineLevel="0" collapsed="false">
      <c r="A82" s="50" t="n">
        <v>2</v>
      </c>
      <c r="B82" s="51" t="n">
        <f aca="false">1+IF($G$6=$E$6,$F$6,IF(P82&lt;($F$6-$E$6)/($G$6-$E$6),$E$6+SQRT(P82*($G$6-$E$6)*($F$6-$E$6)),$G$6-SQRT((1-P82)*($G$6-$E$6)*($G$6-$F$6))))</f>
        <v>1.03108194754185</v>
      </c>
      <c r="C82" s="51" t="n">
        <f aca="false">1+IF($G$7=$E$7,$F$7,IF(Q82&lt;($F$7-$E$7)/($G$7-$E$7),$E$7+SQRT(Q82*($G$7-$E$7)*($F$7-$E$7)),$G$7-SQRT((1-Q82)*($G$7-$E$7)*($G$7-$F$7))))</f>
        <v>1.01958385604248</v>
      </c>
      <c r="D82" s="51" t="n">
        <f aca="false">1+IF($G$8=$E$8,$F$8,IF(R82&lt;($F$8-$E$8)/($G$8-$E$8),$E$8+SQRT(R82*($G$8-$E$8)*($F$8-$E$8)),$G$8-SQRT((1-R82)*($G$8-$E$8)*($G$8-$F$8))))</f>
        <v>1.06880360673806</v>
      </c>
      <c r="E82" s="51" t="n">
        <f aca="false">1+IF($G$9=$E$9,$F$9,IF(S82&lt;($F$9-$E$9)/($G$9-$E$9),$E$9+SQRT(S82*($G$9-$E$9)*($F$9-$E$9)),$G$9-SQRT((1-S82)*($G$9-$E$9)*($G$9-$F$9))))</f>
        <v>1.00146842945991</v>
      </c>
      <c r="F82" s="51" t="n">
        <f aca="false">1+IF($G$10=$E$10,$F$10,IF(T82&lt;($F$10-$E$10)/($G$10-$E$10),$E$10+SQRT(T82*($G$10-$E$10)*($F$10-$E$10)),$G$10-SQRT((1-T82)*($G$10-$E$10)*($G$10-$F$10))))</f>
        <v>0.969861782178827</v>
      </c>
      <c r="G82" s="52" t="n">
        <f aca="false">IF($G$11=$E$11,$F$11,IF(U82&lt;($F$11-$E$11)/($G$11-$E$11),$E$11+SQRT(U82*($G$11-$E$11)*($F$11-$E$11)),$G$11-SQRT((1-U82)*($G$11-$E$11)*($G$11-$F$11))))</f>
        <v>0.0970733724938811</v>
      </c>
      <c r="H82" s="53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-1939723564.35765</v>
      </c>
      <c r="I82" s="53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9319363.01679511</v>
      </c>
      <c r="J82" s="53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312531785.413863</v>
      </c>
      <c r="K82" s="53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664237296.919873</v>
      </c>
      <c r="L82" s="53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801640151.381023</v>
      </c>
      <c r="M82" s="53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1001466409.85606</v>
      </c>
      <c r="N82" s="53" t="n">
        <f aca="false">IF(COUNT('Business Case'!B11:G11)=0,"",H82+NPV(G82,I82:M82))</f>
        <v>15065085.7407937</v>
      </c>
      <c r="P82" s="54" t="n">
        <f aca="true">RAND()</f>
        <v>0.952280972158757</v>
      </c>
      <c r="Q82" s="54" t="n">
        <f aca="true">RAND()</f>
        <v>0.748024139188911</v>
      </c>
      <c r="R82" s="54" t="n">
        <f aca="true">RAND()</f>
        <v>0.935119003163074</v>
      </c>
      <c r="S82" s="54" t="n">
        <f aca="true">RAND()</f>
        <v>0.41168993474385</v>
      </c>
      <c r="T82" s="54" t="n">
        <f aca="true">RAND()</f>
        <v>0.026299359421278</v>
      </c>
      <c r="U82" s="54" t="n">
        <f aca="true">RAND()</f>
        <v>0.291500048314817</v>
      </c>
    </row>
    <row r="83" customFormat="false" ht="15" hidden="false" customHeight="false" outlineLevel="0" collapsed="false">
      <c r="A83" s="50" t="n">
        <v>3</v>
      </c>
      <c r="B83" s="51" t="n">
        <f aca="false">1+IF($G$6=$E$6,$F$6,IF(P83&lt;($F$6-$E$6)/($G$6-$E$6),$E$6+SQRT(P83*($G$6-$E$6)*($F$6-$E$6)),$G$6-SQRT((1-P83)*($G$6-$E$6)*($G$6-$F$6))))</f>
        <v>0.999858664116225</v>
      </c>
      <c r="C83" s="51" t="n">
        <f aca="false">1+IF($G$7=$E$7,$F$7,IF(Q83&lt;($F$7-$E$7)/($G$7-$E$7),$E$7+SQRT(Q83*($G$7-$E$7)*($F$7-$E$7)),$G$7-SQRT((1-Q83)*($G$7-$E$7)*($G$7-$F$7))))</f>
        <v>0.952323237431803</v>
      </c>
      <c r="D83" s="51" t="n">
        <f aca="false">1+IF($G$8=$E$8,$F$8,IF(R83&lt;($F$8-$E$8)/($G$8-$E$8),$E$8+SQRT(R83*($G$8-$E$8)*($F$8-$E$8)),$G$8-SQRT((1-R83)*($G$8-$E$8)*($G$8-$F$8))))</f>
        <v>1.03407732282327</v>
      </c>
      <c r="E83" s="51" t="n">
        <f aca="false">1+IF($G$9=$E$9,$F$9,IF(S83&lt;($F$9-$E$9)/($G$9-$E$9),$E$9+SQRT(S83*($G$9-$E$9)*($F$9-$E$9)),$G$9-SQRT((1-S83)*($G$9-$E$9)*($G$9-$F$9))))</f>
        <v>1.10016150942138</v>
      </c>
      <c r="F83" s="51" t="n">
        <f aca="false">1+IF($G$10=$E$10,$F$10,IF(T83&lt;($F$10-$E$10)/($G$10-$E$10),$E$10+SQRT(T83*($G$10-$E$10)*($F$10-$E$10)),$G$10-SQRT((1-T83)*($G$10-$E$10)*($G$10-$F$10))))</f>
        <v>1.10699370492309</v>
      </c>
      <c r="G83" s="52" t="n">
        <f aca="false">IF($G$11=$E$11,$F$11,IF(U83&lt;($F$11-$E$11)/($G$11-$E$11),$E$11+SQRT(U83*($G$11-$E$11)*($F$11-$E$11)),$G$11-SQRT((1-U83)*($G$11-$E$11)*($G$11-$F$11))))</f>
        <v>0.0993094825322954</v>
      </c>
      <c r="H83" s="53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-2213987409.84618</v>
      </c>
      <c r="I83" s="53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-40719202.7084866</v>
      </c>
      <c r="J83" s="53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235065390.8119</v>
      </c>
      <c r="K83" s="53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566199669.57844</v>
      </c>
      <c r="L83" s="53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691035506.816464</v>
      </c>
      <c r="M83" s="53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872027523.504889</v>
      </c>
      <c r="N83" s="53" t="n">
        <f aca="false">IF(COUNT('Business Case'!B11:G11)=0,"",H83+NPV(G83,I83:M83))</f>
        <v>-613982019.06285</v>
      </c>
      <c r="P83" s="54" t="n">
        <f aca="true">RAND()</f>
        <v>0.664783519938464</v>
      </c>
      <c r="Q83" s="54" t="n">
        <f aca="true">RAND()</f>
        <v>0.471607527022712</v>
      </c>
      <c r="R83" s="54" t="n">
        <f aca="true">RAND()</f>
        <v>0.710280042256798</v>
      </c>
      <c r="S83" s="54" t="n">
        <f aca="true">RAND()</f>
        <v>0.933763329515871</v>
      </c>
      <c r="T83" s="54" t="n">
        <f aca="true">RAND()</f>
        <v>0.727322660911675</v>
      </c>
      <c r="U83" s="54" t="n">
        <f aca="true">RAND()</f>
        <v>0.37285611566502</v>
      </c>
    </row>
    <row r="84" customFormat="false" ht="15" hidden="false" customHeight="false" outlineLevel="0" collapsed="false">
      <c r="A84" s="50" t="n">
        <v>4</v>
      </c>
      <c r="B84" s="51" t="n">
        <f aca="false">1+IF($G$6=$E$6,$F$6,IF(P84&lt;($F$6-$E$6)/($G$6-$E$6),$E$6+SQRT(P84*($G$6-$E$6)*($F$6-$E$6)),$G$6-SQRT((1-P84)*($G$6-$E$6)*($G$6-$F$6))))</f>
        <v>1.02205604074368</v>
      </c>
      <c r="C84" s="51" t="n">
        <f aca="false">1+IF($G$7=$E$7,$F$7,IF(Q84&lt;($F$7-$E$7)/($G$7-$E$7),$E$7+SQRT(Q84*($G$7-$E$7)*($F$7-$E$7)),$G$7-SQRT((1-Q84)*($G$7-$E$7)*($G$7-$F$7))))</f>
        <v>1.08063727738667</v>
      </c>
      <c r="D84" s="51" t="n">
        <f aca="false">1+IF($G$8=$E$8,$F$8,IF(R84&lt;($F$8-$E$8)/($G$8-$E$8),$E$8+SQRT(R84*($G$8-$E$8)*($F$8-$E$8)),$G$8-SQRT((1-R84)*($G$8-$E$8)*($G$8-$F$8))))</f>
        <v>1.01903537753639</v>
      </c>
      <c r="E84" s="51" t="n">
        <f aca="false">1+IF($G$9=$E$9,$F$9,IF(S84&lt;($F$9-$E$9)/($G$9-$E$9),$E$9+SQRT(S84*($G$9-$E$9)*($F$9-$E$9)),$G$9-SQRT((1-S84)*($G$9-$E$9)*($G$9-$F$9))))</f>
        <v>1.01230260612476</v>
      </c>
      <c r="F84" s="51" t="n">
        <f aca="false">1+IF($G$10=$E$10,$F$10,IF(T84&lt;($F$10-$E$10)/($G$10-$E$10),$E$10+SQRT(T84*($G$10-$E$10)*($F$10-$E$10)),$G$10-SQRT((1-T84)*($G$10-$E$10)*($G$10-$F$10))))</f>
        <v>1.06502776095914</v>
      </c>
      <c r="G84" s="52" t="n">
        <f aca="false">IF($G$11=$E$11,$F$11,IF(U84&lt;($F$11-$E$11)/($G$11-$E$11),$E$11+SQRT(U84*($G$11-$E$11)*($F$11-$E$11)),$G$11-SQRT((1-U84)*($G$11-$E$11)*($G$11-$F$11))))</f>
        <v>0.113804379677444</v>
      </c>
      <c r="H84" s="53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-2130055521.91828</v>
      </c>
      <c r="I84" s="53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33203742.5080674</v>
      </c>
      <c r="J84" s="53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374115512.780541</v>
      </c>
      <c r="K84" s="53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768278671.100971</v>
      </c>
      <c r="L84" s="53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920086475.243496</v>
      </c>
      <c r="M84" s="53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1130024485.86118</v>
      </c>
      <c r="N84" s="53" t="n">
        <f aca="false">IF(COUNT('Business Case'!B11:G11)=0,"",H84+NPV(G84,I84:M84))</f>
        <v>14437993.9931989</v>
      </c>
      <c r="P84" s="54" t="n">
        <f aca="true">RAND()</f>
        <v>0.895884685477466</v>
      </c>
      <c r="Q84" s="54" t="n">
        <f aca="true">RAND()</f>
        <v>0.928723151283941</v>
      </c>
      <c r="R84" s="54" t="n">
        <f aca="true">RAND()</f>
        <v>0.562981993954978</v>
      </c>
      <c r="S84" s="54" t="n">
        <f aca="true">RAND()</f>
        <v>0.494384739199127</v>
      </c>
      <c r="T84" s="54" t="n">
        <f aca="true">RAND()</f>
        <v>0.543803610456149</v>
      </c>
      <c r="U84" s="54" t="n">
        <f aca="true">RAND()</f>
        <v>0.825134588245084</v>
      </c>
    </row>
    <row r="85" customFormat="false" ht="15" hidden="false" customHeight="false" outlineLevel="0" collapsed="false">
      <c r="A85" s="50" t="n">
        <v>5</v>
      </c>
      <c r="B85" s="51" t="n">
        <f aca="false">1+IF($G$6=$E$6,$F$6,IF(P85&lt;($F$6-$E$6)/($G$6-$E$6),$E$6+SQRT(P85*($G$6-$E$6)*($F$6-$E$6)),$G$6-SQRT((1-P85)*($G$6-$E$6)*($G$6-$F$6))))</f>
        <v>1.02785177197666</v>
      </c>
      <c r="C85" s="51" t="n">
        <f aca="false">1+IF($G$7=$E$7,$F$7,IF(Q85&lt;($F$7-$E$7)/($G$7-$E$7),$E$7+SQRT(Q85*($G$7-$E$7)*($F$7-$E$7)),$G$7-SQRT((1-Q85)*($G$7-$E$7)*($G$7-$F$7))))</f>
        <v>1.10193222612683</v>
      </c>
      <c r="D85" s="51" t="n">
        <f aca="false">1+IF($G$8=$E$8,$F$8,IF(R85&lt;($F$8-$E$8)/($G$8-$E$8),$E$8+SQRT(R85*($G$8-$E$8)*($F$8-$E$8)),$G$8-SQRT((1-R85)*($G$8-$E$8)*($G$8-$F$8))))</f>
        <v>0.983597341772814</v>
      </c>
      <c r="E85" s="51" t="n">
        <f aca="false">1+IF($G$9=$E$9,$F$9,IF(S85&lt;($F$9-$E$9)/($G$9-$E$9),$E$9+SQRT(S85*($G$9-$E$9)*($F$9-$E$9)),$G$9-SQRT((1-S85)*($G$9-$E$9)*($G$9-$F$9))))</f>
        <v>0.963113914629137</v>
      </c>
      <c r="F85" s="51" t="n">
        <f aca="false">1+IF($G$10=$E$10,$F$10,IF(T85&lt;($F$10-$E$10)/($G$10-$E$10),$E$10+SQRT(T85*($G$10-$E$10)*($F$10-$E$10)),$G$10-SQRT((1-T85)*($G$10-$E$10)*($G$10-$F$10))))</f>
        <v>1.09888240960321</v>
      </c>
      <c r="G85" s="52" t="n">
        <f aca="false">IF($G$11=$E$11,$F$11,IF(U85&lt;($F$11-$E$11)/($G$11-$E$11),$E$11+SQRT(U85*($G$11-$E$11)*($F$11-$E$11)),$G$11-SQRT((1-U85)*($G$11-$E$11)*($G$11-$F$11))))</f>
        <v>0.0927639710945273</v>
      </c>
      <c r="H85" s="53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-2197764819.20643</v>
      </c>
      <c r="I85" s="53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67293176.2725605</v>
      </c>
      <c r="J85" s="53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440144568.030688</v>
      </c>
      <c r="K85" s="53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867940080.268976</v>
      </c>
      <c r="L85" s="53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1031367328.09834</v>
      </c>
      <c r="M85" s="53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1246656306.26994</v>
      </c>
      <c r="N85" s="53" t="n">
        <f aca="false">IF(COUNT('Business Case'!B11:G11)=0,"",H85+NPV(G85,I85:M85))</f>
        <v>420869671.287928</v>
      </c>
      <c r="P85" s="54" t="n">
        <f aca="true">RAND()</f>
        <v>0.93459413272347</v>
      </c>
      <c r="Q85" s="54" t="n">
        <f aca="true">RAND()</f>
        <v>0.965770209109296</v>
      </c>
      <c r="R85" s="54" t="n">
        <f aca="true">RAND()</f>
        <v>0.150504183226572</v>
      </c>
      <c r="S85" s="54" t="n">
        <f aca="true">RAND()</f>
        <v>0.159334648792562</v>
      </c>
      <c r="T85" s="54" t="n">
        <f aca="true">RAND()</f>
        <v>0.695512984968926</v>
      </c>
      <c r="U85" s="54" t="n">
        <f aca="true">RAND()</f>
        <v>0.162918958101929</v>
      </c>
    </row>
    <row r="86" customFormat="false" ht="15" hidden="false" customHeight="false" outlineLevel="0" collapsed="false">
      <c r="A86" s="50" t="n">
        <v>6</v>
      </c>
      <c r="B86" s="51" t="n">
        <f aca="false">1+IF($G$6=$E$6,$F$6,IF(P86&lt;($F$6-$E$6)/($G$6-$E$6),$E$6+SQRT(P86*($G$6-$E$6)*($F$6-$E$6)),$G$6-SQRT((1-P86)*($G$6-$E$6)*($G$6-$F$6))))</f>
        <v>0.982694491321937</v>
      </c>
      <c r="C86" s="51" t="n">
        <f aca="false">1+IF($G$7=$E$7,$F$7,IF(Q86&lt;($F$7-$E$7)/($G$7-$E$7),$E$7+SQRT(Q86*($G$7-$E$7)*($F$7-$E$7)),$G$7-SQRT((1-Q86)*($G$7-$E$7)*($G$7-$F$7))))</f>
        <v>1.03606186976778</v>
      </c>
      <c r="D86" s="51" t="n">
        <f aca="false">1+IF($G$8=$E$8,$F$8,IF(R86&lt;($F$8-$E$8)/($G$8-$E$8),$E$8+SQRT(R86*($G$8-$E$8)*($F$8-$E$8)),$G$8-SQRT((1-R86)*($G$8-$E$8)*($G$8-$F$8))))</f>
        <v>1.02959005980632</v>
      </c>
      <c r="E86" s="51" t="n">
        <f aca="false">1+IF($G$9=$E$9,$F$9,IF(S86&lt;($F$9-$E$9)/($G$9-$E$9),$E$9+SQRT(S86*($G$9-$E$9)*($F$9-$E$9)),$G$9-SQRT((1-S86)*($G$9-$E$9)*($G$9-$F$9))))</f>
        <v>0.919194253111576</v>
      </c>
      <c r="F86" s="51" t="n">
        <f aca="false">1+IF($G$10=$E$10,$F$10,IF(T86&lt;($F$10-$E$10)/($G$10-$E$10),$E$10+SQRT(T86*($G$10-$E$10)*($F$10-$E$10)),$G$10-SQRT((1-T86)*($G$10-$E$10)*($G$10-$F$10))))</f>
        <v>1.10246636481079</v>
      </c>
      <c r="G86" s="52" t="n">
        <f aca="false">IF($G$11=$E$11,$F$11,IF(U86&lt;($F$11-$E$11)/($G$11-$E$11),$E$11+SQRT(U86*($G$11-$E$11)*($F$11-$E$11)),$G$11-SQRT((1-U86)*($G$11-$E$11)*($G$11-$F$11))))</f>
        <v>0.113626398502048</v>
      </c>
      <c r="H86" s="53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-2204932729.62159</v>
      </c>
      <c r="I86" s="53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-5887176.28705001</v>
      </c>
      <c r="J86" s="53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281961684.721365</v>
      </c>
      <c r="K86" s="53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624933863.970321</v>
      </c>
      <c r="L86" s="53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756070136.321072</v>
      </c>
      <c r="M86" s="53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949596722.401444</v>
      </c>
      <c r="N86" s="53" t="n">
        <f aca="false">IF(COUNT('Business Case'!B11:G11)=0,"",H86+NPV(G86,I86:M86))</f>
        <v>-484349404.99288</v>
      </c>
      <c r="P86" s="54" t="n">
        <f aca="true">RAND()</f>
        <v>0.455891926332932</v>
      </c>
      <c r="Q86" s="54" t="n">
        <f aca="true">RAND()</f>
        <v>0.807675592284229</v>
      </c>
      <c r="R86" s="54" t="n">
        <f aca="true">RAND()</f>
        <v>0.669496021461492</v>
      </c>
      <c r="S86" s="54" t="n">
        <f aca="true">RAND()</f>
        <v>0.0147367741004502</v>
      </c>
      <c r="T86" s="54" t="n">
        <f aca="true">RAND()</f>
        <v>0.709784353171438</v>
      </c>
      <c r="U86" s="54" t="n">
        <f aca="true">RAND()</f>
        <v>0.821270115990844</v>
      </c>
    </row>
    <row r="87" customFormat="false" ht="15" hidden="false" customHeight="false" outlineLevel="0" collapsed="false">
      <c r="A87" s="50" t="n">
        <v>7</v>
      </c>
      <c r="B87" s="51" t="n">
        <f aca="false">1+IF($G$6=$E$6,$F$6,IF(P87&lt;($F$6-$E$6)/($G$6-$E$6),$E$6+SQRT(P87*($G$6-$E$6)*($F$6-$E$6)),$G$6-SQRT((1-P87)*($G$6-$E$6)*($G$6-$F$6))))</f>
        <v>1.02792082050004</v>
      </c>
      <c r="C87" s="51" t="n">
        <f aca="false">1+IF($G$7=$E$7,$F$7,IF(Q87&lt;($F$7-$E$7)/($G$7-$E$7),$E$7+SQRT(Q87*($G$7-$E$7)*($F$7-$E$7)),$G$7-SQRT((1-Q87)*($G$7-$E$7)*($G$7-$F$7))))</f>
        <v>1.00780609848188</v>
      </c>
      <c r="D87" s="51" t="n">
        <f aca="false">1+IF($G$8=$E$8,$F$8,IF(R87&lt;($F$8-$E$8)/($G$8-$E$8),$E$8+SQRT(R87*($G$8-$E$8)*($F$8-$E$8)),$G$8-SQRT((1-R87)*($G$8-$E$8)*($G$8-$F$8))))</f>
        <v>0.986349759394776</v>
      </c>
      <c r="E87" s="51" t="n">
        <f aca="false">1+IF($G$9=$E$9,$F$9,IF(S87&lt;($F$9-$E$9)/($G$9-$E$9),$E$9+SQRT(S87*($G$9-$E$9)*($F$9-$E$9)),$G$9-SQRT((1-S87)*($G$9-$E$9)*($G$9-$F$9))))</f>
        <v>0.918270081542721</v>
      </c>
      <c r="F87" s="51" t="n">
        <f aca="false">1+IF($G$10=$E$10,$F$10,IF(T87&lt;($F$10-$E$10)/($G$10-$E$10),$E$10+SQRT(T87*($G$10-$E$10)*($F$10-$E$10)),$G$10-SQRT((1-T87)*($G$10-$E$10)*($G$10-$F$10))))</f>
        <v>0.963415197638667</v>
      </c>
      <c r="G87" s="52" t="n">
        <f aca="false">IF($G$11=$E$11,$F$11,IF(U87&lt;($F$11-$E$11)/($G$11-$E$11),$E$11+SQRT(U87*($G$11-$E$11)*($F$11-$E$11)),$G$11-SQRT((1-U87)*($G$11-$E$11)*($G$11-$F$11))))</f>
        <v>0.103874698047976</v>
      </c>
      <c r="H87" s="53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-1926830395.27733</v>
      </c>
      <c r="I87" s="53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59016811.3455494</v>
      </c>
      <c r="J87" s="53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398656530.197011</v>
      </c>
      <c r="K87" s="53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786467008.930405</v>
      </c>
      <c r="L87" s="53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935482503.312005</v>
      </c>
      <c r="M87" s="53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1132394904.51646</v>
      </c>
      <c r="N87" s="53" t="n">
        <f aca="false">IF(COUNT('Business Case'!B11:G11)=0,"",H87+NPV(G87,I87:M87))</f>
        <v>359373695.027358</v>
      </c>
      <c r="P87" s="54" t="n">
        <f aca="true">RAND()</f>
        <v>0.935001311014492</v>
      </c>
      <c r="Q87" s="54" t="n">
        <f aca="true">RAND()</f>
        <v>0.700457694386023</v>
      </c>
      <c r="R87" s="54" t="n">
        <f aca="true">RAND()</f>
        <v>0.176174001074418</v>
      </c>
      <c r="S87" s="54" t="n">
        <f aca="true">RAND()</f>
        <v>0.0133518351831069</v>
      </c>
      <c r="T87" s="54" t="n">
        <f aca="true">RAND()</f>
        <v>0.011997835178966</v>
      </c>
      <c r="U87" s="54" t="n">
        <f aca="true">RAND()</f>
        <v>0.544979065277063</v>
      </c>
    </row>
    <row r="88" customFormat="false" ht="15" hidden="false" customHeight="false" outlineLevel="0" collapsed="false">
      <c r="A88" s="50" t="n">
        <v>8</v>
      </c>
      <c r="B88" s="51" t="n">
        <f aca="false">1+IF($G$6=$E$6,$F$6,IF(P88&lt;($F$6-$E$6)/($G$6-$E$6),$E$6+SQRT(P88*($G$6-$E$6)*($F$6-$E$6)),$G$6-SQRT((1-P88)*($G$6-$E$6)*($G$6-$F$6))))</f>
        <v>0.956216943671359</v>
      </c>
      <c r="C88" s="51" t="n">
        <f aca="false">1+IF($G$7=$E$7,$F$7,IF(Q88&lt;($F$7-$E$7)/($G$7-$E$7),$E$7+SQRT(Q88*($G$7-$E$7)*($F$7-$E$7)),$G$7-SQRT((1-Q88)*($G$7-$E$7)*($G$7-$F$7))))</f>
        <v>0.954036803095783</v>
      </c>
      <c r="D88" s="51" t="n">
        <f aca="false">1+IF($G$8=$E$8,$F$8,IF(R88&lt;($F$8-$E$8)/($G$8-$E$8),$E$8+SQRT(R88*($G$8-$E$8)*($F$8-$E$8)),$G$8-SQRT((1-R88)*($G$8-$E$8)*($G$8-$F$8))))</f>
        <v>0.975709395962237</v>
      </c>
      <c r="E88" s="51" t="n">
        <f aca="false">1+IF($G$9=$E$9,$F$9,IF(S88&lt;($F$9-$E$9)/($G$9-$E$9),$E$9+SQRT(S88*($G$9-$E$9)*($F$9-$E$9)),$G$9-SQRT((1-S88)*($G$9-$E$9)*($G$9-$F$9))))</f>
        <v>1.08487251072629</v>
      </c>
      <c r="F88" s="51" t="n">
        <f aca="false">1+IF($G$10=$E$10,$F$10,IF(T88&lt;($F$10-$E$10)/($G$10-$E$10),$E$10+SQRT(T88*($G$10-$E$10)*($F$10-$E$10)),$G$10-SQRT((1-T88)*($G$10-$E$10)*($G$10-$F$10))))</f>
        <v>1.19344824726226</v>
      </c>
      <c r="G88" s="52" t="n">
        <f aca="false">IF($G$11=$E$11,$F$11,IF(U88&lt;($F$11-$E$11)/($G$11-$E$11),$E$11+SQRT(U88*($G$11-$E$11)*($F$11-$E$11)),$G$11-SQRT((1-U88)*($G$11-$E$11)*($G$11-$F$11))))</f>
        <v>0.099476204899398</v>
      </c>
      <c r="H88" s="53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-2386896494.52453</v>
      </c>
      <c r="I88" s="53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-50221127.8443504</v>
      </c>
      <c r="J88" s="53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220463317.590168</v>
      </c>
      <c r="K88" s="53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550820175.387799</v>
      </c>
      <c r="L88" s="53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672576242.217548</v>
      </c>
      <c r="M88" s="53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845979793.151215</v>
      </c>
      <c r="N88" s="53" t="n">
        <f aca="false">IF(COUNT('Business Case'!B11:G11)=0,"",H88+NPV(G88,I88:M88))</f>
        <v>-848974007.859697</v>
      </c>
      <c r="P88" s="54" t="n">
        <f aca="true">RAND()</f>
        <v>0.210689650383247</v>
      </c>
      <c r="Q88" s="54" t="n">
        <f aca="true">RAND()</f>
        <v>0.478034795015744</v>
      </c>
      <c r="R88" s="54" t="n">
        <f aca="true">RAND()</f>
        <v>0.0881297387657477</v>
      </c>
      <c r="S88" s="54" t="n">
        <f aca="true">RAND()</f>
        <v>0.886890937090755</v>
      </c>
      <c r="T88" s="54" t="n">
        <f aca="true">RAND()</f>
        <v>0.957358656830533</v>
      </c>
      <c r="U88" s="54" t="n">
        <f aca="true">RAND()</f>
        <v>0.379322557283336</v>
      </c>
    </row>
    <row r="89" customFormat="false" ht="15" hidden="false" customHeight="false" outlineLevel="0" collapsed="false">
      <c r="A89" s="50" t="n">
        <v>9</v>
      </c>
      <c r="B89" s="51" t="n">
        <f aca="false">1+IF($G$6=$E$6,$F$6,IF(P89&lt;($F$6-$E$6)/($G$6-$E$6),$E$6+SQRT(P89*($G$6-$E$6)*($F$6-$E$6)),$G$6-SQRT((1-P89)*($G$6-$E$6)*($G$6-$F$6))))</f>
        <v>1.02230670474757</v>
      </c>
      <c r="C89" s="51" t="n">
        <f aca="false">1+IF($G$7=$E$7,$F$7,IF(Q89&lt;($F$7-$E$7)/($G$7-$E$7),$E$7+SQRT(Q89*($G$7-$E$7)*($F$7-$E$7)),$G$7-SQRT((1-Q89)*($G$7-$E$7)*($G$7-$F$7))))</f>
        <v>0.820830163128491</v>
      </c>
      <c r="D89" s="51" t="n">
        <f aca="false">1+IF($G$8=$E$8,$F$8,IF(R89&lt;($F$8-$E$8)/($G$8-$E$8),$E$8+SQRT(R89*($G$8-$E$8)*($F$8-$E$8)),$G$8-SQRT((1-R89)*($G$8-$E$8)*($G$8-$F$8))))</f>
        <v>1.02171683631057</v>
      </c>
      <c r="E89" s="51" t="n">
        <f aca="false">1+IF($G$9=$E$9,$F$9,IF(S89&lt;($F$9-$E$9)/($G$9-$E$9),$E$9+SQRT(S89*($G$9-$E$9)*($F$9-$E$9)),$G$9-SQRT((1-S89)*($G$9-$E$9)*($G$9-$F$9))))</f>
        <v>0.990136048390742</v>
      </c>
      <c r="F89" s="51" t="n">
        <f aca="false">1+IF($G$10=$E$10,$F$10,IF(T89&lt;($F$10-$E$10)/($G$10-$E$10),$E$10+SQRT(T89*($G$10-$E$10)*($F$10-$E$10)),$G$10-SQRT((1-T89)*($G$10-$E$10)*($G$10-$F$10))))</f>
        <v>1.03850465612507</v>
      </c>
      <c r="G89" s="52" t="n">
        <f aca="false">IF($G$11=$E$11,$F$11,IF(U89&lt;($F$11-$E$11)/($G$11-$E$11),$E$11+SQRT(U89*($G$11-$E$11)*($F$11-$E$11)),$G$11-SQRT((1-U89)*($G$11-$E$11)*($G$11-$F$11))))</f>
        <v>0.107656613740182</v>
      </c>
      <c r="H89" s="53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-2077009312.25014</v>
      </c>
      <c r="I89" s="53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-30157391.9054977</v>
      </c>
      <c r="J89" s="53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227834054.773714</v>
      </c>
      <c r="K89" s="53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537750734.25918</v>
      </c>
      <c r="L89" s="53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652748567.746277</v>
      </c>
      <c r="M89" s="53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812252333.013422</v>
      </c>
      <c r="N89" s="53" t="n">
        <f aca="false">IF(COUNT('Business Case'!B11:G11)=0,"",H89+NPV(G89,I89:M89))</f>
        <v>-602048701.593216</v>
      </c>
      <c r="P89" s="54" t="n">
        <f aca="true">RAND()</f>
        <v>0.89774418640824</v>
      </c>
      <c r="Q89" s="54" t="n">
        <f aca="true">RAND()</f>
        <v>0.108147617197465</v>
      </c>
      <c r="R89" s="54" t="n">
        <f aca="true">RAND()</f>
        <v>0.591449752184951</v>
      </c>
      <c r="S89" s="54" t="n">
        <f aca="true">RAND()</f>
        <v>0.324980288779924</v>
      </c>
      <c r="T89" s="54" t="n">
        <f aca="true">RAND()</f>
        <v>0.403596260256331</v>
      </c>
      <c r="U89" s="54" t="n">
        <f aca="true">RAND()</f>
        <v>0.667182060296391</v>
      </c>
    </row>
    <row r="90" customFormat="false" ht="15" hidden="false" customHeight="false" outlineLevel="0" collapsed="false">
      <c r="A90" s="50" t="n">
        <v>10</v>
      </c>
      <c r="B90" s="51" t="n">
        <f aca="false">1+IF($G$6=$E$6,$F$6,IF(P90&lt;($F$6-$E$6)/($G$6-$E$6),$E$6+SQRT(P90*($G$6-$E$6)*($F$6-$E$6)),$G$6-SQRT((1-P90)*($G$6-$E$6)*($G$6-$F$6))))</f>
        <v>0.971627431790954</v>
      </c>
      <c r="C90" s="51" t="n">
        <f aca="false">1+IF($G$7=$E$7,$F$7,IF(Q90&lt;($F$7-$E$7)/($G$7-$E$7),$E$7+SQRT(Q90*($G$7-$E$7)*($F$7-$E$7)),$G$7-SQRT((1-Q90)*($G$7-$E$7)*($G$7-$F$7))))</f>
        <v>1.06305246979931</v>
      </c>
      <c r="D90" s="51" t="n">
        <f aca="false">1+IF($G$8=$E$8,$F$8,IF(R90&lt;($F$8-$E$8)/($G$8-$E$8),$E$8+SQRT(R90*($G$8-$E$8)*($F$8-$E$8)),$G$8-SQRT((1-R90)*($G$8-$E$8)*($G$8-$F$8))))</f>
        <v>0.979132834375337</v>
      </c>
      <c r="E90" s="51" t="n">
        <f aca="false">1+IF($G$9=$E$9,$F$9,IF(S90&lt;($F$9-$E$9)/($G$9-$E$9),$E$9+SQRT(S90*($G$9-$E$9)*($F$9-$E$9)),$G$9-SQRT((1-S90)*($G$9-$E$9)*($G$9-$F$9))))</f>
        <v>1.00490571391364</v>
      </c>
      <c r="F90" s="51" t="n">
        <f aca="false">1+IF($G$10=$E$10,$F$10,IF(T90&lt;($F$10-$E$10)/($G$10-$E$10),$E$10+SQRT(T90*($G$10-$E$10)*($F$10-$E$10)),$G$10-SQRT((1-T90)*($G$10-$E$10)*($G$10-$F$10))))</f>
        <v>0.976466555422342</v>
      </c>
      <c r="G90" s="52" t="n">
        <f aca="false">IF($G$11=$E$11,$F$11,IF(U90&lt;($F$11-$E$11)/($G$11-$E$11),$E$11+SQRT(U90*($G$11-$E$11)*($F$11-$E$11)),$G$11-SQRT((1-U90)*($G$11-$E$11)*($G$11-$F$11))))</f>
        <v>0.0920219264345718</v>
      </c>
      <c r="H90" s="53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-1952933110.84468</v>
      </c>
      <c r="I90" s="53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19080780.1636573</v>
      </c>
      <c r="J90" s="53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332250874.774181</v>
      </c>
      <c r="K90" s="53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694244297.155822</v>
      </c>
      <c r="L90" s="53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834331039.616738</v>
      </c>
      <c r="M90" s="53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1030662949.69915</v>
      </c>
      <c r="N90" s="53" t="n">
        <f aca="false">IF(COUNT('Business Case'!B11:G11)=0,"",H90+NPV(G90,I90:M90))</f>
        <v>126643354.147518</v>
      </c>
      <c r="P90" s="54" t="n">
        <f aca="true">RAND()</f>
        <v>0.342032598997848</v>
      </c>
      <c r="Q90" s="54" t="n">
        <f aca="true">RAND()</f>
        <v>0.888001881362965</v>
      </c>
      <c r="R90" s="54" t="n">
        <f aca="true">RAND()</f>
        <v>0.113162938498778</v>
      </c>
      <c r="S90" s="54" t="n">
        <f aca="true">RAND()</f>
        <v>0.438603950535711</v>
      </c>
      <c r="T90" s="54" t="n">
        <f aca="true">RAND()</f>
        <v>0.0466985703949255</v>
      </c>
      <c r="U90" s="54" t="n">
        <f aca="true">RAND()</f>
        <v>0.144526715198256</v>
      </c>
    </row>
    <row r="91" customFormat="false" ht="15" hidden="false" customHeight="false" outlineLevel="0" collapsed="false">
      <c r="A91" s="50" t="n">
        <v>11</v>
      </c>
      <c r="B91" s="51" t="n">
        <f aca="false">1+IF($G$6=$E$6,$F$6,IF(P91&lt;($F$6-$E$6)/($G$6-$E$6),$E$6+SQRT(P91*($G$6-$E$6)*($F$6-$E$6)),$G$6-SQRT((1-P91)*($G$6-$E$6)*($G$6-$F$6))))</f>
        <v>1.0055179039122</v>
      </c>
      <c r="C91" s="51" t="n">
        <f aca="false">1+IF($G$7=$E$7,$F$7,IF(Q91&lt;($F$7-$E$7)/($G$7-$E$7),$E$7+SQRT(Q91*($G$7-$E$7)*($F$7-$E$7)),$G$7-SQRT((1-Q91)*($G$7-$E$7)*($G$7-$F$7))))</f>
        <v>0.764963999938597</v>
      </c>
      <c r="D91" s="51" t="n">
        <f aca="false">1+IF($G$8=$E$8,$F$8,IF(R91&lt;($F$8-$E$8)/($G$8-$E$8),$E$8+SQRT(R91*($G$8-$E$8)*($F$8-$E$8)),$G$8-SQRT((1-R91)*($G$8-$E$8)*($G$8-$F$8))))</f>
        <v>1.04980462327365</v>
      </c>
      <c r="E91" s="51" t="n">
        <f aca="false">1+IF($G$9=$E$9,$F$9,IF(S91&lt;($F$9-$E$9)/($G$9-$E$9),$E$9+SQRT(S91*($G$9-$E$9)*($F$9-$E$9)),$G$9-SQRT((1-S91)*($G$9-$E$9)*($G$9-$F$9))))</f>
        <v>1.08788480119024</v>
      </c>
      <c r="F91" s="51" t="n">
        <f aca="false">1+IF($G$10=$E$10,$F$10,IF(T91&lt;($F$10-$E$10)/($G$10-$E$10),$E$10+SQRT(T91*($G$10-$E$10)*($F$10-$E$10)),$G$10-SQRT((1-T91)*($G$10-$E$10)*($G$10-$F$10))))</f>
        <v>1.06634856849332</v>
      </c>
      <c r="G91" s="52" t="n">
        <f aca="false">IF($G$11=$E$11,$F$11,IF(U91&lt;($F$11-$E$11)/($G$11-$E$11),$E$11+SQRT(U91*($G$11-$E$11)*($F$11-$E$11)),$G$11-SQRT((1-U91)*($G$11-$E$11)*($G$11-$F$11))))</f>
        <v>0.107428612080811</v>
      </c>
      <c r="H91" s="53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-2132697136.98664</v>
      </c>
      <c r="I91" s="53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-82292611.1493135</v>
      </c>
      <c r="J91" s="53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136621403.565212</v>
      </c>
      <c r="K91" s="53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408852846.704403</v>
      </c>
      <c r="L91" s="53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508407218.466081</v>
      </c>
      <c r="M91" s="53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654613902.845348</v>
      </c>
      <c r="N91" s="53" t="n">
        <f aca="false">IF(COUNT('Business Case'!B11:G11)=0,"",H91+NPV(G91,I91:M91))</f>
        <v>-1063531696.66729</v>
      </c>
      <c r="P91" s="54" t="n">
        <f aca="true">RAND()</f>
        <v>0.736179083684784</v>
      </c>
      <c r="Q91" s="54" t="n">
        <f aca="true">RAND()</f>
        <v>0.0312616391705337</v>
      </c>
      <c r="R91" s="54" t="n">
        <f aca="true">RAND()</f>
        <v>0.832028277019995</v>
      </c>
      <c r="S91" s="54" t="n">
        <f aca="true">RAND()</f>
        <v>0.897112055381957</v>
      </c>
      <c r="T91" s="54" t="n">
        <f aca="true">RAND()</f>
        <v>0.550295356073972</v>
      </c>
      <c r="U91" s="54" t="n">
        <f aca="true">RAND()</f>
        <v>0.660354964934336</v>
      </c>
    </row>
    <row r="92" customFormat="false" ht="15" hidden="false" customHeight="false" outlineLevel="0" collapsed="false">
      <c r="A92" s="50" t="n">
        <v>12</v>
      </c>
      <c r="B92" s="51" t="n">
        <f aca="false">1+IF($G$6=$E$6,$F$6,IF(P92&lt;($F$6-$E$6)/($G$6-$E$6),$E$6+SQRT(P92*($G$6-$E$6)*($F$6-$E$6)),$G$6-SQRT((1-P92)*($G$6-$E$6)*($G$6-$F$6))))</f>
        <v>0.970034711401412</v>
      </c>
      <c r="C92" s="51" t="n">
        <f aca="false">1+IF($G$7=$E$7,$F$7,IF(Q92&lt;($F$7-$E$7)/($G$7-$E$7),$E$7+SQRT(Q92*($G$7-$E$7)*($F$7-$E$7)),$G$7-SQRT((1-Q92)*($G$7-$E$7)*($G$7-$F$7))))</f>
        <v>0.978712678904457</v>
      </c>
      <c r="D92" s="51" t="n">
        <f aca="false">1+IF($G$8=$E$8,$F$8,IF(R92&lt;($F$8-$E$8)/($G$8-$E$8),$E$8+SQRT(R92*($G$8-$E$8)*($F$8-$E$8)),$G$8-SQRT((1-R92)*($G$8-$E$8)*($G$8-$F$8))))</f>
        <v>1.06685024139312</v>
      </c>
      <c r="E92" s="51" t="n">
        <f aca="false">1+IF($G$9=$E$9,$F$9,IF(S92&lt;($F$9-$E$9)/($G$9-$E$9),$E$9+SQRT(S92*($G$9-$E$9)*($F$9-$E$9)),$G$9-SQRT((1-S92)*($G$9-$E$9)*($G$9-$F$9))))</f>
        <v>1.04754483676336</v>
      </c>
      <c r="F92" s="51" t="n">
        <f aca="false">1+IF($G$10=$E$10,$F$10,IF(T92&lt;($F$10-$E$10)/($G$10-$E$10),$E$10+SQRT(T92*($G$10-$E$10)*($F$10-$E$10)),$G$10-SQRT((1-T92)*($G$10-$E$10)*($G$10-$F$10))))</f>
        <v>1.01170305545733</v>
      </c>
      <c r="G92" s="52" t="n">
        <f aca="false">IF($G$11=$E$11,$F$11,IF(U92&lt;($F$11-$E$11)/($G$11-$E$11),$E$11+SQRT(U92*($G$11-$E$11)*($F$11-$E$11)),$G$11-SQRT((1-U92)*($G$11-$E$11)*($G$11-$F$11))))</f>
        <v>0.106076980894407</v>
      </c>
      <c r="H92" s="53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-2023406110.91465</v>
      </c>
      <c r="I92" s="53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-56248497.049841</v>
      </c>
      <c r="J92" s="53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186850319.683788</v>
      </c>
      <c r="K92" s="53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480534289.190283</v>
      </c>
      <c r="L92" s="53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594377983.06815</v>
      </c>
      <c r="M92" s="53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774837135.38477</v>
      </c>
      <c r="N92" s="53" t="n">
        <f aca="false">IF(COUNT('Business Case'!B11:G11)=0,"",H92+NPV(G92,I92:M92))</f>
        <v>-701255844.324021</v>
      </c>
      <c r="P92" s="54" t="n">
        <f aca="true">RAND()</f>
        <v>0.326990720071935</v>
      </c>
      <c r="Q92" s="54" t="n">
        <f aca="true">RAND()</f>
        <v>0.575413017645175</v>
      </c>
      <c r="R92" s="54" t="n">
        <f aca="true">RAND()</f>
        <v>0.926739566953707</v>
      </c>
      <c r="S92" s="54" t="n">
        <f aca="true">RAND()</f>
        <v>0.72007838736409</v>
      </c>
      <c r="T92" s="54" t="n">
        <f aca="true">RAND()</f>
        <v>0.242860882955014</v>
      </c>
      <c r="U92" s="54" t="n">
        <f aca="true">RAND()</f>
        <v>0.618459437915632</v>
      </c>
    </row>
    <row r="93" customFormat="false" ht="15" hidden="false" customHeight="false" outlineLevel="0" collapsed="false">
      <c r="A93" s="50" t="n">
        <v>13</v>
      </c>
      <c r="B93" s="51" t="n">
        <f aca="false">1+IF($G$6=$E$6,$F$6,IF(P93&lt;($F$6-$E$6)/($G$6-$E$6),$E$6+SQRT(P93*($G$6-$E$6)*($F$6-$E$6)),$G$6-SQRT((1-P93)*($G$6-$E$6)*($G$6-$F$6))))</f>
        <v>0.949513163565932</v>
      </c>
      <c r="C93" s="51" t="n">
        <f aca="false">1+IF($G$7=$E$7,$F$7,IF(Q93&lt;($F$7-$E$7)/($G$7-$E$7),$E$7+SQRT(Q93*($G$7-$E$7)*($F$7-$E$7)),$G$7-SQRT((1-Q93)*($G$7-$E$7)*($G$7-$F$7))))</f>
        <v>0.880255482997662</v>
      </c>
      <c r="D93" s="51" t="n">
        <f aca="false">1+IF($G$8=$E$8,$F$8,IF(R93&lt;($F$8-$E$8)/($G$8-$E$8),$E$8+SQRT(R93*($G$8-$E$8)*($F$8-$E$8)),$G$8-SQRT((1-R93)*($G$8-$E$8)*($G$8-$F$8))))</f>
        <v>1.00029960905173</v>
      </c>
      <c r="E93" s="51" t="n">
        <f aca="false">1+IF($G$9=$E$9,$F$9,IF(S93&lt;($F$9-$E$9)/($G$9-$E$9),$E$9+SQRT(S93*($G$9-$E$9)*($F$9-$E$9)),$G$9-SQRT((1-S93)*($G$9-$E$9)*($G$9-$F$9))))</f>
        <v>0.948306076968856</v>
      </c>
      <c r="F93" s="51" t="n">
        <f aca="false">1+IF($G$10=$E$10,$F$10,IF(T93&lt;($F$10-$E$10)/($G$10-$E$10),$E$10+SQRT(T93*($G$10-$E$10)*($F$10-$E$10)),$G$10-SQRT((1-T93)*($G$10-$E$10)*($G$10-$F$10))))</f>
        <v>1.10706613999553</v>
      </c>
      <c r="G93" s="52" t="n">
        <f aca="false">IF($G$11=$E$11,$F$11,IF(U93&lt;($F$11-$E$11)/($G$11-$E$11),$E$11+SQRT(U93*($G$11-$E$11)*($F$11-$E$11)),$G$11-SQRT((1-U93)*($G$11-$E$11)*($G$11-$F$11))))</f>
        <v>0.107327927382886</v>
      </c>
      <c r="H93" s="53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-2214132279.99107</v>
      </c>
      <c r="I93" s="53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-55047758.8919649</v>
      </c>
      <c r="J93" s="53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178788826.850833</v>
      </c>
      <c r="K93" s="53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467978719.593407</v>
      </c>
      <c r="L93" s="53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574809985.834499</v>
      </c>
      <c r="M93" s="53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733681542.965372</v>
      </c>
      <c r="N93" s="53" t="n">
        <f aca="false">IF(COUNT('Business Case'!B11:G11)=0,"",H93+NPV(G93,I93:M93))</f>
        <v>-950372981.287607</v>
      </c>
      <c r="P93" s="54" t="n">
        <f aca="true">RAND()</f>
        <v>0.163436891087113</v>
      </c>
      <c r="Q93" s="54" t="n">
        <f aca="true">RAND()</f>
        <v>0.240681771486817</v>
      </c>
      <c r="R93" s="54" t="n">
        <f aca="true">RAND()</f>
        <v>0.337322136317532</v>
      </c>
      <c r="S93" s="54" t="n">
        <f aca="true">RAND()</f>
        <v>0.0933390828848417</v>
      </c>
      <c r="T93" s="54" t="n">
        <f aca="true">RAND()</f>
        <v>0.727598822189646</v>
      </c>
      <c r="U93" s="54" t="n">
        <f aca="true">RAND()</f>
        <v>0.657318082162871</v>
      </c>
    </row>
    <row r="94" customFormat="false" ht="15" hidden="false" customHeight="false" outlineLevel="0" collapsed="false">
      <c r="A94" s="50" t="n">
        <v>14</v>
      </c>
      <c r="B94" s="51" t="n">
        <f aca="false">1+IF($G$6=$E$6,$F$6,IF(P94&lt;($F$6-$E$6)/($G$6-$E$6),$E$6+SQRT(P94*($G$6-$E$6)*($F$6-$E$6)),$G$6-SQRT((1-P94)*($G$6-$E$6)*($G$6-$F$6))))</f>
        <v>0.958064915446013</v>
      </c>
      <c r="C94" s="51" t="n">
        <f aca="false">1+IF($G$7=$E$7,$F$7,IF(Q94&lt;($F$7-$E$7)/($G$7-$E$7),$E$7+SQRT(Q94*($G$7-$E$7)*($F$7-$E$7)),$G$7-SQRT((1-Q94)*($G$7-$E$7)*($G$7-$F$7))))</f>
        <v>1.03904448536447</v>
      </c>
      <c r="D94" s="51" t="n">
        <f aca="false">1+IF($G$8=$E$8,$F$8,IF(R94&lt;($F$8-$E$8)/($G$8-$E$8),$E$8+SQRT(R94*($G$8-$E$8)*($F$8-$E$8)),$G$8-SQRT((1-R94)*($G$8-$E$8)*($G$8-$F$8))))</f>
        <v>0.967948623277734</v>
      </c>
      <c r="E94" s="51" t="n">
        <f aca="false">1+IF($G$9=$E$9,$F$9,IF(S94&lt;($F$9-$E$9)/($G$9-$E$9),$E$9+SQRT(S94*($G$9-$E$9)*($F$9-$E$9)),$G$9-SQRT((1-S94)*($G$9-$E$9)*($G$9-$F$9))))</f>
        <v>1.02208928786132</v>
      </c>
      <c r="F94" s="51" t="n">
        <f aca="false">1+IF($G$10=$E$10,$F$10,IF(T94&lt;($F$10-$E$10)/($G$10-$E$10),$E$10+SQRT(T94*($G$10-$E$10)*($F$10-$E$10)),$G$10-SQRT((1-T94)*($G$10-$E$10)*($G$10-$F$10))))</f>
        <v>1.02111920183567</v>
      </c>
      <c r="G94" s="52" t="n">
        <f aca="false">IF($G$11=$E$11,$F$11,IF(U94&lt;($F$11-$E$11)/($G$11-$E$11),$E$11+SQRT(U94*($G$11-$E$11)*($F$11-$E$11)),$G$11-SQRT((1-U94)*($G$11-$E$11)*($G$11-$F$11))))</f>
        <v>0.117657521829286</v>
      </c>
      <c r="H94" s="53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-2042238403.67134</v>
      </c>
      <c r="I94" s="53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1445727.62118651</v>
      </c>
      <c r="J94" s="53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301949744.113896</v>
      </c>
      <c r="K94" s="53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653509720.698389</v>
      </c>
      <c r="L94" s="53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788081240.832011</v>
      </c>
      <c r="M94" s="53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977300571.33029</v>
      </c>
      <c r="N94" s="53" t="n">
        <f aca="false">IF(COUNT('Business Case'!B11:G11)=0,"",H94+NPV(G94,I94:M94))</f>
        <v>-265701917.134647</v>
      </c>
      <c r="P94" s="54" t="n">
        <f aca="true">RAND()</f>
        <v>0.224768960383508</v>
      </c>
      <c r="Q94" s="54" t="n">
        <f aca="true">RAND()</f>
        <v>0.81761294476986</v>
      </c>
      <c r="R94" s="54" t="n">
        <f aca="true">RAND()</f>
        <v>0.0429537436754674</v>
      </c>
      <c r="S94" s="54" t="n">
        <f aca="true">RAND()</f>
        <v>0.5637026592047</v>
      </c>
      <c r="T94" s="54" t="n">
        <f aca="true">RAND()</f>
        <v>0.301514403088796</v>
      </c>
      <c r="U94" s="54" t="n">
        <f aca="true">RAND()</f>
        <v>0.898442155070297</v>
      </c>
    </row>
    <row r="95" customFormat="false" ht="15" hidden="false" customHeight="false" outlineLevel="0" collapsed="false">
      <c r="A95" s="50" t="n">
        <v>15</v>
      </c>
      <c r="B95" s="51" t="n">
        <f aca="false">1+IF($G$6=$E$6,$F$6,IF(P95&lt;($F$6-$E$6)/($G$6-$E$6),$E$6+SQRT(P95*($G$6-$E$6)*($F$6-$E$6)),$G$6-SQRT((1-P95)*($G$6-$E$6)*($G$6-$F$6))))</f>
        <v>0.969935989630862</v>
      </c>
      <c r="C95" s="51" t="n">
        <f aca="false">1+IF($G$7=$E$7,$F$7,IF(Q95&lt;($F$7-$E$7)/($G$7-$E$7),$E$7+SQRT(Q95*($G$7-$E$7)*($F$7-$E$7)),$G$7-SQRT((1-Q95)*($G$7-$E$7)*($G$7-$F$7))))</f>
        <v>0.750297870781261</v>
      </c>
      <c r="D95" s="51" t="n">
        <f aca="false">1+IF($G$8=$E$8,$F$8,IF(R95&lt;($F$8-$E$8)/($G$8-$E$8),$E$8+SQRT(R95*($G$8-$E$8)*($F$8-$E$8)),$G$8-SQRT((1-R95)*($G$8-$E$8)*($G$8-$F$8))))</f>
        <v>1.02314543354237</v>
      </c>
      <c r="E95" s="51" t="n">
        <f aca="false">1+IF($G$9=$E$9,$F$9,IF(S95&lt;($F$9-$E$9)/($G$9-$E$9),$E$9+SQRT(S95*($G$9-$E$9)*($F$9-$E$9)),$G$9-SQRT((1-S95)*($G$9-$E$9)*($G$9-$F$9))))</f>
        <v>0.969599795519549</v>
      </c>
      <c r="F95" s="51" t="n">
        <f aca="false">1+IF($G$10=$E$10,$F$10,IF(T95&lt;($F$10-$E$10)/($G$10-$E$10),$E$10+SQRT(T95*($G$10-$E$10)*($F$10-$E$10)),$G$10-SQRT((1-T95)*($G$10-$E$10)*($G$10-$F$10))))</f>
        <v>0.981805944423237</v>
      </c>
      <c r="G95" s="52" t="n">
        <f aca="false">IF($G$11=$E$11,$F$11,IF(U95&lt;($F$11-$E$11)/($G$11-$E$11),$E$11+SQRT(U95*($G$11-$E$11)*($F$11-$E$11)),$G$11-SQRT((1-U95)*($G$11-$E$11)*($G$11-$F$11))))</f>
        <v>0.109686642757001</v>
      </c>
      <c r="H95" s="53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-1963611888.84648</v>
      </c>
      <c r="I95" s="53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-70694046.3005561</v>
      </c>
      <c r="J95" s="53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132395681.425177</v>
      </c>
      <c r="K95" s="53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384575706.372072</v>
      </c>
      <c r="L95" s="53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477423008.054706</v>
      </c>
      <c r="M95" s="53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615751999.81202</v>
      </c>
      <c r="N95" s="53" t="n">
        <f aca="false">IF(COUNT('Business Case'!B11:G11)=0,"",H95+NPV(G95,I95:M95))</f>
        <v>-957581696.352689</v>
      </c>
      <c r="P95" s="54" t="n">
        <f aca="true">RAND()</f>
        <v>0.32606950970987</v>
      </c>
      <c r="Q95" s="54" t="n">
        <f aca="true">RAND()</f>
        <v>0.018739820778729</v>
      </c>
      <c r="R95" s="54" t="n">
        <f aca="true">RAND()</f>
        <v>0.606225040973981</v>
      </c>
      <c r="S95" s="54" t="n">
        <f aca="true">RAND()</f>
        <v>0.193765261454522</v>
      </c>
      <c r="T95" s="54" t="n">
        <f aca="true">RAND()</f>
        <v>0.0674412067102712</v>
      </c>
      <c r="U95" s="54" t="n">
        <f aca="true">RAND()</f>
        <v>0.724911678345521</v>
      </c>
    </row>
    <row r="96" customFormat="false" ht="15" hidden="false" customHeight="false" outlineLevel="0" collapsed="false">
      <c r="A96" s="50" t="n">
        <v>16</v>
      </c>
      <c r="B96" s="51" t="n">
        <f aca="false">1+IF($G$6=$E$6,$F$6,IF(P96&lt;($F$6-$E$6)/($G$6-$E$6),$E$6+SQRT(P96*($G$6-$E$6)*($F$6-$E$6)),$G$6-SQRT((1-P96)*($G$6-$E$6)*($G$6-$F$6))))</f>
        <v>0.990012961023308</v>
      </c>
      <c r="C96" s="51" t="n">
        <f aca="false">1+IF($G$7=$E$7,$F$7,IF(Q96&lt;($F$7-$E$7)/($G$7-$E$7),$E$7+SQRT(Q96*($G$7-$E$7)*($F$7-$E$7)),$G$7-SQRT((1-Q96)*($G$7-$E$7)*($G$7-$F$7))))</f>
        <v>0.997219571190737</v>
      </c>
      <c r="D96" s="51" t="n">
        <f aca="false">1+IF($G$8=$E$8,$F$8,IF(R96&lt;($F$8-$E$8)/($G$8-$E$8),$E$8+SQRT(R96*($G$8-$E$8)*($F$8-$E$8)),$G$8-SQRT((1-R96)*($G$8-$E$8)*($G$8-$F$8))))</f>
        <v>1.04016949697569</v>
      </c>
      <c r="E96" s="51" t="n">
        <f aca="false">1+IF($G$9=$E$9,$F$9,IF(S96&lt;($F$9-$E$9)/($G$9-$E$9),$E$9+SQRT(S96*($G$9-$E$9)*($F$9-$E$9)),$G$9-SQRT((1-S96)*($G$9-$E$9)*($G$9-$F$9))))</f>
        <v>0.912574840863227</v>
      </c>
      <c r="F96" s="51" t="n">
        <f aca="false">1+IF($G$10=$E$10,$F$10,IF(T96&lt;($F$10-$E$10)/($G$10-$E$10),$E$10+SQRT(T96*($G$10-$E$10)*($F$10-$E$10)),$G$10-SQRT((1-T96)*($G$10-$E$10)*($G$10-$F$10))))</f>
        <v>1.16601994601749</v>
      </c>
      <c r="G96" s="52" t="n">
        <f aca="false">IF($G$11=$E$11,$F$11,IF(U96&lt;($F$11-$E$11)/($G$11-$E$11),$E$11+SQRT(U96*($G$11-$E$11)*($F$11-$E$11)),$G$11-SQRT((1-U96)*($G$11-$E$11)*($G$11-$F$11))))</f>
        <v>0.0965842355135227</v>
      </c>
      <c r="H96" s="53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-2332039892.03499</v>
      </c>
      <c r="I96" s="53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-19915478.3625773</v>
      </c>
      <c r="J96" s="53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257718754.223448</v>
      </c>
      <c r="K96" s="53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593653984.110347</v>
      </c>
      <c r="L96" s="53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720318444.289757</v>
      </c>
      <c r="M96" s="53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907976882.202132</v>
      </c>
      <c r="N96" s="53" t="n">
        <f aca="false">IF(COUNT('Business Case'!B11:G11)=0,"",H96+NPV(G96,I96:M96))</f>
        <v>-614916006.858816</v>
      </c>
      <c r="P96" s="54" t="n">
        <f aca="true">RAND()</f>
        <v>0.5401555434789</v>
      </c>
      <c r="Q96" s="54" t="n">
        <f aca="true">RAND()</f>
        <v>0.654366470361523</v>
      </c>
      <c r="R96" s="54" t="n">
        <f aca="true">RAND()</f>
        <v>0.761354060523878</v>
      </c>
      <c r="S96" s="54" t="n">
        <f aca="true">RAND()</f>
        <v>0.0063250649094192</v>
      </c>
      <c r="T96" s="54" t="n">
        <f aca="true">RAND()</f>
        <v>0.905964673774604</v>
      </c>
      <c r="U96" s="54" t="n">
        <f aca="true">RAND()</f>
        <v>0.275036867567987</v>
      </c>
    </row>
    <row r="97" customFormat="false" ht="15" hidden="false" customHeight="false" outlineLevel="0" collapsed="false">
      <c r="A97" s="50" t="n">
        <v>17</v>
      </c>
      <c r="B97" s="51" t="n">
        <f aca="false">1+IF($G$6=$E$6,$F$6,IF(P97&lt;($F$6-$E$6)/($G$6-$E$6),$E$6+SQRT(P97*($G$6-$E$6)*($F$6-$E$6)),$G$6-SQRT((1-P97)*($G$6-$E$6)*($G$6-$F$6))))</f>
        <v>0.984170933085741</v>
      </c>
      <c r="C97" s="51" t="n">
        <f aca="false">1+IF($G$7=$E$7,$F$7,IF(Q97&lt;($F$7-$E$7)/($G$7-$E$7),$E$7+SQRT(Q97*($G$7-$E$7)*($F$7-$E$7)),$G$7-SQRT((1-Q97)*($G$7-$E$7)*($G$7-$F$7))))</f>
        <v>0.824346652547168</v>
      </c>
      <c r="D97" s="51" t="n">
        <f aca="false">1+IF($G$8=$E$8,$F$8,IF(R97&lt;($F$8-$E$8)/($G$8-$E$8),$E$8+SQRT(R97*($G$8-$E$8)*($F$8-$E$8)),$G$8-SQRT((1-R97)*($G$8-$E$8)*($G$8-$F$8))))</f>
        <v>0.998144911626121</v>
      </c>
      <c r="E97" s="51" t="n">
        <f aca="false">1+IF($G$9=$E$9,$F$9,IF(S97&lt;($F$9-$E$9)/($G$9-$E$9),$E$9+SQRT(S97*($G$9-$E$9)*($F$9-$E$9)),$G$9-SQRT((1-S97)*($G$9-$E$9)*($G$9-$F$9))))</f>
        <v>0.978672747498838</v>
      </c>
      <c r="F97" s="51" t="n">
        <f aca="false">1+IF($G$10=$E$10,$F$10,IF(T97&lt;($F$10-$E$10)/($G$10-$E$10),$E$10+SQRT(T97*($G$10-$E$10)*($F$10-$E$10)),$G$10-SQRT((1-T97)*($G$10-$E$10)*($G$10-$F$10))))</f>
        <v>0.97139341359023</v>
      </c>
      <c r="G97" s="52" t="n">
        <f aca="false">IF($G$11=$E$11,$F$11,IF(U97&lt;($F$11-$E$11)/($G$11-$E$11),$E$11+SQRT(U97*($G$11-$E$11)*($F$11-$E$11)),$G$11-SQRT((1-U97)*($G$11-$E$11)*($G$11-$F$11))))</f>
        <v>0.109018650572876</v>
      </c>
      <c r="H97" s="53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-1942786827.18046</v>
      </c>
      <c r="I97" s="53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-35069499.9391993</v>
      </c>
      <c r="J97" s="53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208225295.232303</v>
      </c>
      <c r="K97" s="53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500089761.083317</v>
      </c>
      <c r="L97" s="53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609226485.512047</v>
      </c>
      <c r="M97" s="53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763438012.055641</v>
      </c>
      <c r="N97" s="53" t="n">
        <f aca="false">IF(COUNT('Business Case'!B11:G11)=0,"",H97+NPV(G97,I97:M97))</f>
        <v>-580666402.65723</v>
      </c>
      <c r="P97" s="54" t="n">
        <f aca="true">RAND()</f>
        <v>0.472316398434953</v>
      </c>
      <c r="Q97" s="54" t="n">
        <f aca="true">RAND()</f>
        <v>0.114533999997675</v>
      </c>
      <c r="R97" s="54" t="n">
        <f aca="true">RAND()</f>
        <v>0.309057668731605</v>
      </c>
      <c r="S97" s="54" t="n">
        <f aca="true">RAND()</f>
        <v>0.247576047960634</v>
      </c>
      <c r="T97" s="54" t="n">
        <f aca="true">RAND()</f>
        <v>0.0305118763361768</v>
      </c>
      <c r="U97" s="54" t="n">
        <f aca="true">RAND()</f>
        <v>0.706521984144619</v>
      </c>
    </row>
    <row r="98" customFormat="false" ht="15" hidden="false" customHeight="false" outlineLevel="0" collapsed="false">
      <c r="A98" s="50" t="n">
        <v>18</v>
      </c>
      <c r="B98" s="51" t="n">
        <f aca="false">1+IF($G$6=$E$6,$F$6,IF(P98&lt;($F$6-$E$6)/($G$6-$E$6),$E$6+SQRT(P98*($G$6-$E$6)*($F$6-$E$6)),$G$6-SQRT((1-P98)*($G$6-$E$6)*($G$6-$F$6))))</f>
        <v>0.993955057440286</v>
      </c>
      <c r="C98" s="51" t="n">
        <f aca="false">1+IF($G$7=$E$7,$F$7,IF(Q98&lt;($F$7-$E$7)/($G$7-$E$7),$E$7+SQRT(Q98*($G$7-$E$7)*($F$7-$E$7)),$G$7-SQRT((1-Q98)*($G$7-$E$7)*($G$7-$F$7))))</f>
        <v>1.008967069096</v>
      </c>
      <c r="D98" s="51" t="n">
        <f aca="false">1+IF($G$8=$E$8,$F$8,IF(R98&lt;($F$8-$E$8)/($G$8-$E$8),$E$8+SQRT(R98*($G$8-$E$8)*($F$8-$E$8)),$G$8-SQRT((1-R98)*($G$8-$E$8)*($G$8-$F$8))))</f>
        <v>1.00299457983099</v>
      </c>
      <c r="E98" s="51" t="n">
        <f aca="false">1+IF($G$9=$E$9,$F$9,IF(S98&lt;($F$9-$E$9)/($G$9-$E$9),$E$9+SQRT(S98*($G$9-$E$9)*($F$9-$E$9)),$G$9-SQRT((1-S98)*($G$9-$E$9)*($G$9-$F$9))))</f>
        <v>0.95398733731197</v>
      </c>
      <c r="F98" s="51" t="n">
        <f aca="false">1+IF($G$10=$E$10,$F$10,IF(T98&lt;($F$10-$E$10)/($G$10-$E$10),$E$10+SQRT(T98*($G$10-$E$10)*($F$10-$E$10)),$G$10-SQRT((1-T98)*($G$10-$E$10)*($G$10-$F$10))))</f>
        <v>1.08365796878257</v>
      </c>
      <c r="G98" s="52" t="n">
        <f aca="false">IF($G$11=$E$11,$F$11,IF(U98&lt;($F$11-$E$11)/($G$11-$E$11),$E$11+SQRT(U98*($G$11-$E$11)*($F$11-$E$11)),$G$11-SQRT((1-U98)*($G$11-$E$11)*($G$11-$F$11))))</f>
        <v>0.0892610829254627</v>
      </c>
      <c r="H98" s="53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-2167315937.56514</v>
      </c>
      <c r="I98" s="53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7352410.90782376</v>
      </c>
      <c r="J98" s="53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310716291.090459</v>
      </c>
      <c r="K98" s="53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668263069.712223</v>
      </c>
      <c r="L98" s="53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804043478.460295</v>
      </c>
      <c r="M98" s="53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994668612.906533</v>
      </c>
      <c r="N98" s="53" t="n">
        <f aca="false">IF(COUNT('Business Case'!B11:G11)=0,"",H98+NPV(G98,I98:M98))</f>
        <v>-161800963.63528</v>
      </c>
      <c r="P98" s="54" t="n">
        <f aca="true">RAND()</f>
        <v>0.588503521240496</v>
      </c>
      <c r="Q98" s="54" t="n">
        <f aca="true">RAND()</f>
        <v>0.70532907260189</v>
      </c>
      <c r="R98" s="54" t="n">
        <f aca="true">RAND()</f>
        <v>0.372663230522287</v>
      </c>
      <c r="S98" s="54" t="n">
        <f aca="true">RAND()</f>
        <v>0.116585303601456</v>
      </c>
      <c r="T98" s="54" t="n">
        <f aca="true">RAND()</f>
        <v>0.6310710486728</v>
      </c>
      <c r="U98" s="54" t="n">
        <f aca="true">RAND()</f>
        <v>0.0857676569522969</v>
      </c>
    </row>
    <row r="99" customFormat="false" ht="15" hidden="false" customHeight="false" outlineLevel="0" collapsed="false">
      <c r="A99" s="50" t="n">
        <v>19</v>
      </c>
      <c r="B99" s="51" t="n">
        <f aca="false">1+IF($G$6=$E$6,$F$6,IF(P99&lt;($F$6-$E$6)/($G$6-$E$6),$E$6+SQRT(P99*($G$6-$E$6)*($F$6-$E$6)),$G$6-SQRT((1-P99)*($G$6-$E$6)*($G$6-$F$6))))</f>
        <v>0.982643715650262</v>
      </c>
      <c r="C99" s="51" t="n">
        <f aca="false">1+IF($G$7=$E$7,$F$7,IF(Q99&lt;($F$7-$E$7)/($G$7-$E$7),$E$7+SQRT(Q99*($G$7-$E$7)*($F$7-$E$7)),$G$7-SQRT((1-Q99)*($G$7-$E$7)*($G$7-$F$7))))</f>
        <v>0.790374939874222</v>
      </c>
      <c r="D99" s="51" t="n">
        <f aca="false">1+IF($G$8=$E$8,$F$8,IF(R99&lt;($F$8-$E$8)/($G$8-$E$8),$E$8+SQRT(R99*($G$8-$E$8)*($F$8-$E$8)),$G$8-SQRT((1-R99)*($G$8-$E$8)*($G$8-$F$8))))</f>
        <v>1.02132538842214</v>
      </c>
      <c r="E99" s="51" t="n">
        <f aca="false">1+IF($G$9=$E$9,$F$9,IF(S99&lt;($F$9-$E$9)/($G$9-$E$9),$E$9+SQRT(S99*($G$9-$E$9)*($F$9-$E$9)),$G$9-SQRT((1-S99)*($G$9-$E$9)*($G$9-$F$9))))</f>
        <v>1.01069330876676</v>
      </c>
      <c r="F99" s="51" t="n">
        <f aca="false">1+IF($G$10=$E$10,$F$10,IF(T99&lt;($F$10-$E$10)/($G$10-$E$10),$E$10+SQRT(T99*($G$10-$E$10)*($F$10-$E$10)),$G$10-SQRT((1-T99)*($G$10-$E$10)*($G$10-$F$10))))</f>
        <v>1.02768818108523</v>
      </c>
      <c r="G99" s="52" t="n">
        <f aca="false">IF($G$11=$E$11,$F$11,IF(U99&lt;($F$11-$E$11)/($G$11-$E$11),$E$11+SQRT(U99*($G$11-$E$11)*($F$11-$E$11)),$G$11-SQRT((1-U99)*($G$11-$E$11)*($G$11-$F$11))))</f>
        <v>0.106112366374446</v>
      </c>
      <c r="H99" s="53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-2055376362.17046</v>
      </c>
      <c r="I99" s="53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-63850505.7353169</v>
      </c>
      <c r="J99" s="53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159050292.348786</v>
      </c>
      <c r="K99" s="53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433335499.487151</v>
      </c>
      <c r="L99" s="53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534477030.318029</v>
      </c>
      <c r="M99" s="53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682103986.733666</v>
      </c>
      <c r="N99" s="53" t="n">
        <f aca="false">IF(COUNT('Business Case'!B11:G11)=0,"",H99+NPV(G99,I99:M99))</f>
        <v>-893888074.994774</v>
      </c>
      <c r="P99" s="54" t="n">
        <f aca="true">RAND()</f>
        <v>0.455332249098762</v>
      </c>
      <c r="Q99" s="54" t="n">
        <f aca="true">RAND()</f>
        <v>0.0605009611649574</v>
      </c>
      <c r="R99" s="54" t="n">
        <f aca="true">RAND()</f>
        <v>0.587353699538162</v>
      </c>
      <c r="S99" s="54" t="n">
        <f aca="true">RAND()</f>
        <v>0.482497220737211</v>
      </c>
      <c r="T99" s="54" t="n">
        <f aca="true">RAND()</f>
        <v>0.341032735610744</v>
      </c>
      <c r="U99" s="54" t="n">
        <f aca="true">RAND()</f>
        <v>0.619587306514197</v>
      </c>
    </row>
    <row r="100" customFormat="false" ht="15" hidden="false" customHeight="false" outlineLevel="0" collapsed="false">
      <c r="A100" s="50" t="n">
        <v>20</v>
      </c>
      <c r="B100" s="51" t="n">
        <f aca="false">1+IF($G$6=$E$6,$F$6,IF(P100&lt;($F$6-$E$6)/($G$6-$E$6),$E$6+SQRT(P100*($G$6-$E$6)*($F$6-$E$6)),$G$6-SQRT((1-P100)*($G$6-$E$6)*($G$6-$F$6))))</f>
        <v>0.923745887084068</v>
      </c>
      <c r="C100" s="51" t="n">
        <f aca="false">1+IF($G$7=$E$7,$F$7,IF(Q100&lt;($F$7-$E$7)/($G$7-$E$7),$E$7+SQRT(Q100*($G$7-$E$7)*($F$7-$E$7)),$G$7-SQRT((1-Q100)*($G$7-$E$7)*($G$7-$F$7))))</f>
        <v>1.01162936282685</v>
      </c>
      <c r="D100" s="51" t="n">
        <f aca="false">1+IF($G$8=$E$8,$F$8,IF(R100&lt;($F$8-$E$8)/($G$8-$E$8),$E$8+SQRT(R100*($G$8-$E$8)*($F$8-$E$8)),$G$8-SQRT((1-R100)*($G$8-$E$8)*($G$8-$F$8))))</f>
        <v>1.01178658827632</v>
      </c>
      <c r="E100" s="51" t="n">
        <f aca="false">1+IF($G$9=$E$9,$F$9,IF(S100&lt;($F$9-$E$9)/($G$9-$E$9),$E$9+SQRT(S100*($G$9-$E$9)*($F$9-$E$9)),$G$9-SQRT((1-S100)*($G$9-$E$9)*($G$9-$F$9))))</f>
        <v>1.00924240279121</v>
      </c>
      <c r="F100" s="51" t="n">
        <f aca="false">1+IF($G$10=$E$10,$F$10,IF(T100&lt;($F$10-$E$10)/($G$10-$E$10),$E$10+SQRT(T100*($G$10-$E$10)*($F$10-$E$10)),$G$10-SQRT((1-T100)*($G$10-$E$10)*($G$10-$F$10))))</f>
        <v>1.01519821835506</v>
      </c>
      <c r="G100" s="52" t="n">
        <f aca="false">IF($G$11=$E$11,$F$11,IF(U100&lt;($F$11-$E$11)/($G$11-$E$11),$E$11+SQRT(U100*($G$11-$E$11)*($F$11-$E$11)),$G$11-SQRT((1-U100)*($G$11-$E$11)*($G$11-$F$11))))</f>
        <v>0.0963395092639219</v>
      </c>
      <c r="H100" s="53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-2030396436.71011</v>
      </c>
      <c r="I100" s="53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-52041901.7665857</v>
      </c>
      <c r="J100" s="53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189394169.909706</v>
      </c>
      <c r="K100" s="53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481590152.503751</v>
      </c>
      <c r="L100" s="53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594364764.34949</v>
      </c>
      <c r="M100" s="53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771992331.42785</v>
      </c>
      <c r="N100" s="53" t="n">
        <f aca="false">IF(COUNT('Business Case'!B11:G11)=0,"",H100+NPV(G100,I100:M100))</f>
        <v>-656021549.737608</v>
      </c>
      <c r="P100" s="54" t="n">
        <f aca="true">RAND()</f>
        <v>0.0375911435606201</v>
      </c>
      <c r="Q100" s="54" t="n">
        <f aca="true">RAND()</f>
        <v>0.716349137308081</v>
      </c>
      <c r="R100" s="54" t="n">
        <f aca="true">RAND()</f>
        <v>0.481226266137867</v>
      </c>
      <c r="S100" s="54" t="n">
        <f aca="true">RAND()</f>
        <v>0.471661302080213</v>
      </c>
      <c r="T100" s="54" t="n">
        <f aca="true">RAND()</f>
        <v>0.264908311151468</v>
      </c>
      <c r="U100" s="54" t="n">
        <f aca="true">RAND()</f>
        <v>0.26697956298579</v>
      </c>
    </row>
    <row r="101" customFormat="false" ht="15" hidden="false" customHeight="false" outlineLevel="0" collapsed="false">
      <c r="A101" s="50" t="n">
        <v>21</v>
      </c>
      <c r="B101" s="51" t="n">
        <f aca="false">1+IF($G$6=$E$6,$F$6,IF(P101&lt;($F$6-$E$6)/($G$6-$E$6),$E$6+SQRT(P101*($G$6-$E$6)*($F$6-$E$6)),$G$6-SQRT((1-P101)*($G$6-$E$6)*($G$6-$F$6))))</f>
        <v>1.02323363196688</v>
      </c>
      <c r="C101" s="51" t="n">
        <f aca="false">1+IF($G$7=$E$7,$F$7,IF(Q101&lt;($F$7-$E$7)/($G$7-$E$7),$E$7+SQRT(Q101*($G$7-$E$7)*($F$7-$E$7)),$G$7-SQRT((1-Q101)*($G$7-$E$7)*($G$7-$F$7))))</f>
        <v>0.932847426685726</v>
      </c>
      <c r="D101" s="51" t="n">
        <f aca="false">1+IF($G$8=$E$8,$F$8,IF(R101&lt;($F$8-$E$8)/($G$8-$E$8),$E$8+SQRT(R101*($G$8-$E$8)*($F$8-$E$8)),$G$8-SQRT((1-R101)*($G$8-$E$8)*($G$8-$F$8))))</f>
        <v>0.985422186797438</v>
      </c>
      <c r="E101" s="51" t="n">
        <f aca="false">1+IF($G$9=$E$9,$F$9,IF(S101&lt;($F$9-$E$9)/($G$9-$E$9),$E$9+SQRT(S101*($G$9-$E$9)*($F$9-$E$9)),$G$9-SQRT((1-S101)*($G$9-$E$9)*($G$9-$F$9))))</f>
        <v>1.00932345503902</v>
      </c>
      <c r="F101" s="51" t="n">
        <f aca="false">1+IF($G$10=$E$10,$F$10,IF(T101&lt;($F$10-$E$10)/($G$10-$E$10),$E$10+SQRT(T101*($G$10-$E$10)*($F$10-$E$10)),$G$10-SQRT((1-T101)*($G$10-$E$10)*($G$10-$F$10))))</f>
        <v>1.08946747296802</v>
      </c>
      <c r="G101" s="52" t="n">
        <f aca="false">IF($G$11=$E$11,$F$11,IF(U101&lt;($F$11-$E$11)/($G$11-$E$11),$E$11+SQRT(U101*($G$11-$E$11)*($F$11-$E$11)),$G$11-SQRT((1-U101)*($G$11-$E$11)*($G$11-$F$11))))</f>
        <v>0.0829901597128389</v>
      </c>
      <c r="H101" s="53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-2178934945.93604</v>
      </c>
      <c r="I101" s="53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9284687.91711073</v>
      </c>
      <c r="J101" s="53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320524279.844782</v>
      </c>
      <c r="K101" s="53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686237245.420855</v>
      </c>
      <c r="L101" s="53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822972017.001553</v>
      </c>
      <c r="M101" s="53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1004407342.16132</v>
      </c>
      <c r="N101" s="53" t="n">
        <f aca="false">IF(COUNT('Business Case'!B11:G11)=0,"",H101+NPV(G101,I101:M101))</f>
        <v>-84368013.6736686</v>
      </c>
      <c r="P101" s="54" t="n">
        <f aca="true">RAND()</f>
        <v>0.904474872308731</v>
      </c>
      <c r="Q101" s="54" t="n">
        <f aca="true">RAND()</f>
        <v>0.401614252697514</v>
      </c>
      <c r="R101" s="54" t="n">
        <f aca="true">RAND()</f>
        <v>0.167297509001678</v>
      </c>
      <c r="S101" s="54" t="n">
        <f aca="true">RAND()</f>
        <v>0.472269591942439</v>
      </c>
      <c r="T101" s="54" t="n">
        <f aca="true">RAND()</f>
        <v>0.656390770196355</v>
      </c>
      <c r="U101" s="54" t="n">
        <f aca="true">RAND()</f>
        <v>0.00894105510828463</v>
      </c>
    </row>
    <row r="102" customFormat="false" ht="15" hidden="false" customHeight="false" outlineLevel="0" collapsed="false">
      <c r="A102" s="50" t="n">
        <v>22</v>
      </c>
      <c r="B102" s="51" t="n">
        <f aca="false">1+IF($G$6=$E$6,$F$6,IF(P102&lt;($F$6-$E$6)/($G$6-$E$6),$E$6+SQRT(P102*($G$6-$E$6)*($F$6-$E$6)),$G$6-SQRT((1-P102)*($G$6-$E$6)*($G$6-$F$6))))</f>
        <v>0.996678934005961</v>
      </c>
      <c r="C102" s="51" t="n">
        <f aca="false">1+IF($G$7=$E$7,$F$7,IF(Q102&lt;($F$7-$E$7)/($G$7-$E$7),$E$7+SQRT(Q102*($G$7-$E$7)*($F$7-$E$7)),$G$7-SQRT((1-Q102)*($G$7-$E$7)*($G$7-$F$7))))</f>
        <v>0.94280494899938</v>
      </c>
      <c r="D102" s="51" t="n">
        <f aca="false">1+IF($G$8=$E$8,$F$8,IF(R102&lt;($F$8-$E$8)/($G$8-$E$8),$E$8+SQRT(R102*($G$8-$E$8)*($F$8-$E$8)),$G$8-SQRT((1-R102)*($G$8-$E$8)*($G$8-$F$8))))</f>
        <v>1.01775841515738</v>
      </c>
      <c r="E102" s="51" t="n">
        <f aca="false">1+IF($G$9=$E$9,$F$9,IF(S102&lt;($F$9-$E$9)/($G$9-$E$9),$E$9+SQRT(S102*($G$9-$E$9)*($F$9-$E$9)),$G$9-SQRT((1-S102)*($G$9-$E$9)*($G$9-$F$9))))</f>
        <v>1.03439305333828</v>
      </c>
      <c r="F102" s="51" t="n">
        <f aca="false">1+IF($G$10=$E$10,$F$10,IF(T102&lt;($F$10-$E$10)/($G$10-$E$10),$E$10+SQRT(T102*($G$10-$E$10)*($F$10-$E$10)),$G$10-SQRT((1-T102)*($G$10-$E$10)*($G$10-$F$10))))</f>
        <v>1.08727926163328</v>
      </c>
      <c r="G102" s="52" t="n">
        <f aca="false">IF($G$11=$E$11,$F$11,IF(U102&lt;($F$11-$E$11)/($G$11-$E$11),$E$11+SQRT(U102*($G$11-$E$11)*($F$11-$E$11)),$G$11-SQRT((1-U102)*($G$11-$E$11)*($G$11-$F$11))))</f>
        <v>0.0897796132435927</v>
      </c>
      <c r="H102" s="53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-2174558523.26656</v>
      </c>
      <c r="I102" s="53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-26082428.8074458</v>
      </c>
      <c r="J102" s="53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252366452.160393</v>
      </c>
      <c r="K102" s="53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585179296.209896</v>
      </c>
      <c r="L102" s="53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710470717.484012</v>
      </c>
      <c r="M102" s="53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889083919.383942</v>
      </c>
      <c r="N102" s="53" t="n">
        <f aca="false">IF(COUNT('Business Case'!B11:G11)=0,"",H102+NPV(G102,I102:M102))</f>
        <v>-451703794.013347</v>
      </c>
      <c r="P102" s="54" t="n">
        <f aca="true">RAND()</f>
        <v>0.623121085368598</v>
      </c>
      <c r="Q102" s="54" t="n">
        <f aca="true">RAND()</f>
        <v>0.436698098211787</v>
      </c>
      <c r="R102" s="54" t="n">
        <f aca="true">RAND()</f>
        <v>0.549088114838278</v>
      </c>
      <c r="S102" s="54" t="n">
        <f aca="true">RAND()</f>
        <v>0.643600903561438</v>
      </c>
      <c r="T102" s="54" t="n">
        <f aca="true">RAND()</f>
        <v>0.646959484071856</v>
      </c>
      <c r="U102" s="54" t="n">
        <f aca="true">RAND()</f>
        <v>0.0956408351942536</v>
      </c>
    </row>
    <row r="103" customFormat="false" ht="15" hidden="false" customHeight="false" outlineLevel="0" collapsed="false">
      <c r="A103" s="50" t="n">
        <v>23</v>
      </c>
      <c r="B103" s="51" t="n">
        <f aca="false">1+IF($G$6=$E$6,$F$6,IF(P103&lt;($F$6-$E$6)/($G$6-$E$6),$E$6+SQRT(P103*($G$6-$E$6)*($F$6-$E$6)),$G$6-SQRT((1-P103)*($G$6-$E$6)*($G$6-$F$6))))</f>
        <v>0.987515193846724</v>
      </c>
      <c r="C103" s="51" t="n">
        <f aca="false">1+IF($G$7=$E$7,$F$7,IF(Q103&lt;($F$7-$E$7)/($G$7-$E$7),$E$7+SQRT(Q103*($G$7-$E$7)*($F$7-$E$7)),$G$7-SQRT((1-Q103)*($G$7-$E$7)*($G$7-$F$7))))</f>
        <v>1.06134810371642</v>
      </c>
      <c r="D103" s="51" t="n">
        <f aca="false">1+IF($G$8=$E$8,$F$8,IF(R103&lt;($F$8-$E$8)/($G$8-$E$8),$E$8+SQRT(R103*($G$8-$E$8)*($F$8-$E$8)),$G$8-SQRT((1-R103)*($G$8-$E$8)*($G$8-$F$8))))</f>
        <v>1.00162916635607</v>
      </c>
      <c r="E103" s="51" t="n">
        <f aca="false">1+IF($G$9=$E$9,$F$9,IF(S103&lt;($F$9-$E$9)/($G$9-$E$9),$E$9+SQRT(S103*($G$9-$E$9)*($F$9-$E$9)),$G$9-SQRT((1-S103)*($G$9-$E$9)*($G$9-$F$9))))</f>
        <v>1.01967059058712</v>
      </c>
      <c r="F103" s="51" t="n">
        <f aca="false">1+IF($G$10=$E$10,$F$10,IF(T103&lt;($F$10-$E$10)/($G$10-$E$10),$E$10+SQRT(T103*($G$10-$E$10)*($F$10-$E$10)),$G$10-SQRT((1-T103)*($G$10-$E$10)*($G$10-$F$10))))</f>
        <v>1.0905087268723</v>
      </c>
      <c r="G103" s="52" t="n">
        <f aca="false">IF($G$11=$E$11,$F$11,IF(U103&lt;($F$11-$E$11)/($G$11-$E$11),$E$11+SQRT(U103*($G$11-$E$11)*($F$11-$E$11)),$G$11-SQRT((1-U103)*($G$11-$E$11)*($G$11-$F$11))))</f>
        <v>0.100349149782084</v>
      </c>
      <c r="H103" s="53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-2181017453.74459</v>
      </c>
      <c r="I103" s="53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5875328.55250987</v>
      </c>
      <c r="J103" s="53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320132055.868977</v>
      </c>
      <c r="K103" s="53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688914219.529058</v>
      </c>
      <c r="L103" s="53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829888707.364706</v>
      </c>
      <c r="M103" s="53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1029111057.04725</v>
      </c>
      <c r="N103" s="53" t="n">
        <f aca="false">IF(COUNT('Business Case'!B11:G11)=0,"",H103+NPV(G103,I103:M103))</f>
        <v>-190085060.480856</v>
      </c>
      <c r="P103" s="54" t="n">
        <f aca="true">RAND()</f>
        <v>0.510593943601973</v>
      </c>
      <c r="Q103" s="54" t="n">
        <f aca="true">RAND()</f>
        <v>0.883568019041845</v>
      </c>
      <c r="R103" s="54" t="n">
        <f aca="true">RAND()</f>
        <v>0.354878605879935</v>
      </c>
      <c r="S103" s="54" t="n">
        <f aca="true">RAND()</f>
        <v>0.547046534455761</v>
      </c>
      <c r="T103" s="54" t="n">
        <f aca="true">RAND()</f>
        <v>0.660833783948051</v>
      </c>
      <c r="U103" s="54" t="n">
        <f aca="true">RAND()</f>
        <v>0.413884720903133</v>
      </c>
    </row>
    <row r="104" customFormat="false" ht="15" hidden="false" customHeight="false" outlineLevel="0" collapsed="false">
      <c r="A104" s="50" t="n">
        <v>24</v>
      </c>
      <c r="B104" s="51" t="n">
        <f aca="false">1+IF($G$6=$E$6,$F$6,IF(P104&lt;($F$6-$E$6)/($G$6-$E$6),$E$6+SQRT(P104*($G$6-$E$6)*($F$6-$E$6)),$G$6-SQRT((1-P104)*($G$6-$E$6)*($G$6-$F$6))))</f>
        <v>0.985455731983034</v>
      </c>
      <c r="C104" s="51" t="n">
        <f aca="false">1+IF($G$7=$E$7,$F$7,IF(Q104&lt;($F$7-$E$7)/($G$7-$E$7),$E$7+SQRT(Q104*($G$7-$E$7)*($F$7-$E$7)),$G$7-SQRT((1-Q104)*($G$7-$E$7)*($G$7-$F$7))))</f>
        <v>1.02014276982517</v>
      </c>
      <c r="D104" s="51" t="n">
        <f aca="false">1+IF($G$8=$E$8,$F$8,IF(R104&lt;($F$8-$E$8)/($G$8-$E$8),$E$8+SQRT(R104*($G$8-$E$8)*($F$8-$E$8)),$G$8-SQRT((1-R104)*($G$8-$E$8)*($G$8-$F$8))))</f>
        <v>1.09195027889339</v>
      </c>
      <c r="E104" s="51" t="n">
        <f aca="false">1+IF($G$9=$E$9,$F$9,IF(S104&lt;($F$9-$E$9)/($G$9-$E$9),$E$9+SQRT(S104*($G$9-$E$9)*($F$9-$E$9)),$G$9-SQRT((1-S104)*($G$9-$E$9)*($G$9-$F$9))))</f>
        <v>1.00656042702707</v>
      </c>
      <c r="F104" s="51" t="n">
        <f aca="false">1+IF($G$10=$E$10,$F$10,IF(T104&lt;($F$10-$E$10)/($G$10-$E$10),$E$10+SQRT(T104*($G$10-$E$10)*($F$10-$E$10)),$G$10-SQRT((1-T104)*($G$10-$E$10)*($G$10-$F$10))))</f>
        <v>1.00648473748407</v>
      </c>
      <c r="G104" s="52" t="n">
        <f aca="false">IF($G$11=$E$11,$F$11,IF(U104&lt;($F$11-$E$11)/($G$11-$E$11),$E$11+SQRT(U104*($G$11-$E$11)*($F$11-$E$11)),$G$11-SQRT((1-U104)*($G$11-$E$11)*($G$11-$F$11))))</f>
        <v>0.101125164365543</v>
      </c>
      <c r="H104" s="53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-2012969474.96815</v>
      </c>
      <c r="I104" s="53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-42729604.0135605</v>
      </c>
      <c r="J104" s="53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210437197.636334</v>
      </c>
      <c r="K104" s="53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513928236.160433</v>
      </c>
      <c r="L104" s="53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633060529.504931</v>
      </c>
      <c r="M104" s="53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824149006.541528</v>
      </c>
      <c r="N104" s="53" t="n">
        <f aca="false">IF(COUNT('Business Case'!B11:G11)=0,"",H104+NPV(G104,I104:M104))</f>
        <v>-553528870.156481</v>
      </c>
      <c r="P104" s="54" t="n">
        <f aca="true">RAND()</f>
        <v>0.486845475250411</v>
      </c>
      <c r="Q104" s="54" t="n">
        <f aca="true">RAND()</f>
        <v>0.750179255871434</v>
      </c>
      <c r="R104" s="54" t="n">
        <f aca="true">RAND()</f>
        <v>0.99568013267372</v>
      </c>
      <c r="S104" s="54" t="n">
        <f aca="true">RAND()</f>
        <v>0.451335704142465</v>
      </c>
      <c r="T104" s="54" t="n">
        <f aca="true">RAND()</f>
        <v>0.209337558957322</v>
      </c>
      <c r="U104" s="54" t="n">
        <f aca="true">RAND()</f>
        <v>0.444162578055383</v>
      </c>
    </row>
    <row r="105" customFormat="false" ht="15" hidden="false" customHeight="false" outlineLevel="0" collapsed="false">
      <c r="A105" s="50" t="n">
        <v>25</v>
      </c>
      <c r="B105" s="51" t="n">
        <f aca="false">1+IF($G$6=$E$6,$F$6,IF(P105&lt;($F$6-$E$6)/($G$6-$E$6),$E$6+SQRT(P105*($G$6-$E$6)*($F$6-$E$6)),$G$6-SQRT((1-P105)*($G$6-$E$6)*($G$6-$F$6))))</f>
        <v>0.943118028280487</v>
      </c>
      <c r="C105" s="51" t="n">
        <f aca="false">1+IF($G$7=$E$7,$F$7,IF(Q105&lt;($F$7-$E$7)/($G$7-$E$7),$E$7+SQRT(Q105*($G$7-$E$7)*($F$7-$E$7)),$G$7-SQRT((1-Q105)*($G$7-$E$7)*($G$7-$F$7))))</f>
        <v>0.910694325583779</v>
      </c>
      <c r="D105" s="51" t="n">
        <f aca="false">1+IF($G$8=$E$8,$F$8,IF(R105&lt;($F$8-$E$8)/($G$8-$E$8),$E$8+SQRT(R105*($G$8-$E$8)*($F$8-$E$8)),$G$8-SQRT((1-R105)*($G$8-$E$8)*($G$8-$F$8))))</f>
        <v>1.01591705146557</v>
      </c>
      <c r="E105" s="51" t="n">
        <f aca="false">1+IF($G$9=$E$9,$F$9,IF(S105&lt;($F$9-$E$9)/($G$9-$E$9),$E$9+SQRT(S105*($G$9-$E$9)*($F$9-$E$9)),$G$9-SQRT((1-S105)*($G$9-$E$9)*($G$9-$F$9))))</f>
        <v>1.00206648363692</v>
      </c>
      <c r="F105" s="51" t="n">
        <f aca="false">1+IF($G$10=$E$10,$F$10,IF(T105&lt;($F$10-$E$10)/($G$10-$E$10),$E$10+SQRT(T105*($G$10-$E$10)*($F$10-$E$10)),$G$10-SQRT((1-T105)*($G$10-$E$10)*($G$10-$F$10))))</f>
        <v>1.07229916866737</v>
      </c>
      <c r="G105" s="52" t="n">
        <f aca="false">IF($G$11=$E$11,$F$11,IF(U105&lt;($F$11-$E$11)/($G$11-$E$11),$E$11+SQRT(U105*($G$11-$E$11)*($F$11-$E$11)),$G$11-SQRT((1-U105)*($G$11-$E$11)*($G$11-$F$11))))</f>
        <v>0.100619737068487</v>
      </c>
      <c r="H105" s="53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-2144598337.33473</v>
      </c>
      <c r="I105" s="53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-64377372.8374339</v>
      </c>
      <c r="J105" s="53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165493998.716126</v>
      </c>
      <c r="K105" s="53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448980328.703055</v>
      </c>
      <c r="L105" s="53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555287434.921634</v>
      </c>
      <c r="M105" s="53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718545671.275623</v>
      </c>
      <c r="N105" s="53" t="n">
        <f aca="false">IF(COUNT('Business Case'!B11:G11)=0,"",H105+NPV(G105,I105:M105))</f>
        <v>-906395389.618863</v>
      </c>
      <c r="P105" s="54" t="n">
        <f aca="true">RAND()</f>
        <v>0.123944290853122</v>
      </c>
      <c r="Q105" s="54" t="n">
        <f aca="true">RAND()</f>
        <v>0.328830361727432</v>
      </c>
      <c r="R105" s="54" t="n">
        <f aca="true">RAND()</f>
        <v>0.528670517717102</v>
      </c>
      <c r="S105" s="54" t="n">
        <f aca="true">RAND()</f>
        <v>0.416417992972086</v>
      </c>
      <c r="T105" s="54" t="n">
        <f aca="true">RAND()</f>
        <v>0.578965527249213</v>
      </c>
      <c r="U105" s="54" t="n">
        <f aca="true">RAND()</f>
        <v>0.424533433383424</v>
      </c>
    </row>
    <row r="106" customFormat="false" ht="15" hidden="false" customHeight="false" outlineLevel="0" collapsed="false">
      <c r="A106" s="50" t="n">
        <v>26</v>
      </c>
      <c r="B106" s="51" t="n">
        <f aca="false">1+IF($G$6=$E$6,$F$6,IF(P106&lt;($F$6-$E$6)/($G$6-$E$6),$E$6+SQRT(P106*($G$6-$E$6)*($F$6-$E$6)),$G$6-SQRT((1-P106)*($G$6-$E$6)*($G$6-$F$6))))</f>
        <v>0.941946410084783</v>
      </c>
      <c r="C106" s="51" t="n">
        <f aca="false">1+IF($G$7=$E$7,$F$7,IF(Q106&lt;($F$7-$E$7)/($G$7-$E$7),$E$7+SQRT(Q106*($G$7-$E$7)*($F$7-$E$7)),$G$7-SQRT((1-Q106)*($G$7-$E$7)*($G$7-$F$7))))</f>
        <v>0.979426089703442</v>
      </c>
      <c r="D106" s="51" t="n">
        <f aca="false">1+IF($G$8=$E$8,$F$8,IF(R106&lt;($F$8-$E$8)/($G$8-$E$8),$E$8+SQRT(R106*($G$8-$E$8)*($F$8-$E$8)),$G$8-SQRT((1-R106)*($G$8-$E$8)*($G$8-$F$8))))</f>
        <v>0.986025779611199</v>
      </c>
      <c r="E106" s="51" t="n">
        <f aca="false">1+IF($G$9=$E$9,$F$9,IF(S106&lt;($F$9-$E$9)/($G$9-$E$9),$E$9+SQRT(S106*($G$9-$E$9)*($F$9-$E$9)),$G$9-SQRT((1-S106)*($G$9-$E$9)*($G$9-$F$9))))</f>
        <v>0.988943218381861</v>
      </c>
      <c r="F106" s="51" t="n">
        <f aca="false">1+IF($G$10=$E$10,$F$10,IF(T106&lt;($F$10-$E$10)/($G$10-$E$10),$E$10+SQRT(T106*($G$10-$E$10)*($F$10-$E$10)),$G$10-SQRT((1-T106)*($G$10-$E$10)*($G$10-$F$10))))</f>
        <v>1.00459591985412</v>
      </c>
      <c r="G106" s="52" t="n">
        <f aca="false">IF($G$11=$E$11,$F$11,IF(U106&lt;($F$11-$E$11)/($G$11-$E$11),$E$11+SQRT(U106*($G$11-$E$11)*($F$11-$E$11)),$G$11-SQRT((1-U106)*($G$11-$E$11)*($G$11-$F$11))))</f>
        <v>0.102703664998892</v>
      </c>
      <c r="H106" s="53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-2009191839.70823</v>
      </c>
      <c r="I106" s="53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-27645778.3208649</v>
      </c>
      <c r="J106" s="53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233621628.530576</v>
      </c>
      <c r="K106" s="53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545118831.374722</v>
      </c>
      <c r="L106" s="53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664091878.680532</v>
      </c>
      <c r="M106" s="53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839453392.968175</v>
      </c>
      <c r="N106" s="53" t="n">
        <f aca="false">IF(COUNT('Business Case'!B11:G11)=0,"",H106+NPV(G106,I106:M106))</f>
        <v>-471554559.829547</v>
      </c>
      <c r="P106" s="54" t="n">
        <f aca="true">RAND()</f>
        <v>0.117300087933383</v>
      </c>
      <c r="Q106" s="54" t="n">
        <f aca="true">RAND()</f>
        <v>0.578362515607083</v>
      </c>
      <c r="R106" s="54" t="n">
        <f aca="true">RAND()</f>
        <v>0.173047572879292</v>
      </c>
      <c r="S106" s="54" t="n">
        <f aca="true">RAND()</f>
        <v>0.316435843844938</v>
      </c>
      <c r="T106" s="54" t="n">
        <f aca="true">RAND()</f>
        <v>0.197024499303366</v>
      </c>
      <c r="U106" s="54" t="n">
        <f aca="true">RAND()</f>
        <v>0.503273397004862</v>
      </c>
    </row>
    <row r="107" customFormat="false" ht="15" hidden="false" customHeight="false" outlineLevel="0" collapsed="false">
      <c r="A107" s="50" t="n">
        <v>27</v>
      </c>
      <c r="B107" s="51" t="n">
        <f aca="false">1+IF($G$6=$E$6,$F$6,IF(P107&lt;($F$6-$E$6)/($G$6-$E$6),$E$6+SQRT(P107*($G$6-$E$6)*($F$6-$E$6)),$G$6-SQRT((1-P107)*($G$6-$E$6)*($G$6-$F$6))))</f>
        <v>0.932611636128417</v>
      </c>
      <c r="C107" s="51" t="n">
        <f aca="false">1+IF($G$7=$E$7,$F$7,IF(Q107&lt;($F$7-$E$7)/($G$7-$E$7),$E$7+SQRT(Q107*($G$7-$E$7)*($F$7-$E$7)),$G$7-SQRT((1-Q107)*($G$7-$E$7)*($G$7-$F$7))))</f>
        <v>0.933226975894486</v>
      </c>
      <c r="D107" s="51" t="n">
        <f aca="false">1+IF($G$8=$E$8,$F$8,IF(R107&lt;($F$8-$E$8)/($G$8-$E$8),$E$8+SQRT(R107*($G$8-$E$8)*($F$8-$E$8)),$G$8-SQRT((1-R107)*($G$8-$E$8)*($G$8-$F$8))))</f>
        <v>1.00447183983685</v>
      </c>
      <c r="E107" s="51" t="n">
        <f aca="false">1+IF($G$9=$E$9,$F$9,IF(S107&lt;($F$9-$E$9)/($G$9-$E$9),$E$9+SQRT(S107*($G$9-$E$9)*($F$9-$E$9)),$G$9-SQRT((1-S107)*($G$9-$E$9)*($G$9-$F$9))))</f>
        <v>1.08564895260105</v>
      </c>
      <c r="F107" s="51" t="n">
        <f aca="false">1+IF($G$10=$E$10,$F$10,IF(T107&lt;($F$10-$E$10)/($G$10-$E$10),$E$10+SQRT(T107*($G$10-$E$10)*($F$10-$E$10)),$G$10-SQRT((1-T107)*($G$10-$E$10)*($G$10-$F$10))))</f>
        <v>0.981301917678362</v>
      </c>
      <c r="G107" s="52" t="n">
        <f aca="false">IF($G$11=$E$11,$F$11,IF(U107&lt;($F$11-$E$11)/($G$11-$E$11),$E$11+SQRT(U107*($G$11-$E$11)*($F$11-$E$11)),$G$11-SQRT((1-U107)*($G$11-$E$11)*($G$11-$F$11))))</f>
        <v>0.089647944750605</v>
      </c>
      <c r="H107" s="53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-1962603835.35672</v>
      </c>
      <c r="I107" s="53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-64631969.2789021</v>
      </c>
      <c r="J107" s="53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168363873.653145</v>
      </c>
      <c r="K107" s="53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450424812.46911</v>
      </c>
      <c r="L107" s="53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558168986.368622</v>
      </c>
      <c r="M107" s="53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723602897.440517</v>
      </c>
      <c r="N107" s="53" t="n">
        <f aca="false">IF(COUNT('Business Case'!B11:G11)=0,"",H107+NPV(G107,I107:M107))</f>
        <v>-664985740.050441</v>
      </c>
      <c r="P107" s="54" t="n">
        <f aca="true">RAND()</f>
        <v>0.0709012540648159</v>
      </c>
      <c r="Q107" s="54" t="n">
        <f aca="true">RAND()</f>
        <v>0.402924609517684</v>
      </c>
      <c r="R107" s="54" t="n">
        <f aca="true">RAND()</f>
        <v>0.391624707722931</v>
      </c>
      <c r="S107" s="54" t="n">
        <f aca="true">RAND()</f>
        <v>0.889571805297551</v>
      </c>
      <c r="T107" s="54" t="n">
        <f aca="true">RAND()</f>
        <v>0.0653206700228625</v>
      </c>
      <c r="U107" s="54" t="n">
        <f aca="true">RAND()</f>
        <v>0.0930828379107256</v>
      </c>
    </row>
    <row r="108" customFormat="false" ht="15" hidden="false" customHeight="false" outlineLevel="0" collapsed="false">
      <c r="A108" s="50" t="n">
        <v>28</v>
      </c>
      <c r="B108" s="51" t="n">
        <f aca="false">1+IF($G$6=$E$6,$F$6,IF(P108&lt;($F$6-$E$6)/($G$6-$E$6),$E$6+SQRT(P108*($G$6-$E$6)*($F$6-$E$6)),$G$6-SQRT((1-P108)*($G$6-$E$6)*($G$6-$F$6))))</f>
        <v>1.02575086167465</v>
      </c>
      <c r="C108" s="51" t="n">
        <f aca="false">1+IF($G$7=$E$7,$F$7,IF(Q108&lt;($F$7-$E$7)/($G$7-$E$7),$E$7+SQRT(Q108*($G$7-$E$7)*($F$7-$E$7)),$G$7-SQRT((1-Q108)*($G$7-$E$7)*($G$7-$F$7))))</f>
        <v>0.996797607379779</v>
      </c>
      <c r="D108" s="51" t="n">
        <f aca="false">1+IF($G$8=$E$8,$F$8,IF(R108&lt;($F$8-$E$8)/($G$8-$E$8),$E$8+SQRT(R108*($G$8-$E$8)*($F$8-$E$8)),$G$8-SQRT((1-R108)*($G$8-$E$8)*($G$8-$F$8))))</f>
        <v>0.971875713153964</v>
      </c>
      <c r="E108" s="51" t="n">
        <f aca="false">1+IF($G$9=$E$9,$F$9,IF(S108&lt;($F$9-$E$9)/($G$9-$E$9),$E$9+SQRT(S108*($G$9-$E$9)*($F$9-$E$9)),$G$9-SQRT((1-S108)*($G$9-$E$9)*($G$9-$F$9))))</f>
        <v>1.12886265257455</v>
      </c>
      <c r="F108" s="51" t="n">
        <f aca="false">1+IF($G$10=$E$10,$F$10,IF(T108&lt;($F$10-$E$10)/($G$10-$E$10),$E$10+SQRT(T108*($G$10-$E$10)*($F$10-$E$10)),$G$10-SQRT((1-T108)*($G$10-$E$10)*($G$10-$F$10))))</f>
        <v>1.14786060286339</v>
      </c>
      <c r="G108" s="52" t="n">
        <f aca="false">IF($G$11=$E$11,$F$11,IF(U108&lt;($F$11-$E$11)/($G$11-$E$11),$E$11+SQRT(U108*($G$11-$E$11)*($F$11-$E$11)),$G$11-SQRT((1-U108)*($G$11-$E$11)*($G$11-$F$11))))</f>
        <v>0.0913070736304648</v>
      </c>
      <c r="H108" s="53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-2295721205.72677</v>
      </c>
      <c r="I108" s="53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13228955.8972137</v>
      </c>
      <c r="J108" s="53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354772878.95974</v>
      </c>
      <c r="K108" s="53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753709832.165435</v>
      </c>
      <c r="L108" s="53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902894231.641525</v>
      </c>
      <c r="M108" s="53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1097244569.81206</v>
      </c>
      <c r="N108" s="53" t="n">
        <f aca="false">IF(COUNT('Business Case'!B11:G11)=0,"",H108+NPV(G108,I108:M108))</f>
        <v>-60347741.7740631</v>
      </c>
      <c r="P108" s="54" t="n">
        <f aca="true">RAND()</f>
        <v>0.921597238730421</v>
      </c>
      <c r="Q108" s="54" t="n">
        <f aca="true">RAND()</f>
        <v>0.652509775898973</v>
      </c>
      <c r="R108" s="54" t="n">
        <f aca="true">RAND()</f>
        <v>0.0638062434659355</v>
      </c>
      <c r="S108" s="54" t="n">
        <f aca="true">RAND()</f>
        <v>0.988085667835091</v>
      </c>
      <c r="T108" s="54" t="n">
        <f aca="true">RAND()</f>
        <v>0.86090058070092</v>
      </c>
      <c r="U108" s="54" t="n">
        <f aca="true">RAND()</f>
        <v>0.127849914084753</v>
      </c>
    </row>
    <row r="109" customFormat="false" ht="15" hidden="false" customHeight="false" outlineLevel="0" collapsed="false">
      <c r="A109" s="50" t="n">
        <v>29</v>
      </c>
      <c r="B109" s="51" t="n">
        <f aca="false">1+IF($G$6=$E$6,$F$6,IF(P109&lt;($F$6-$E$6)/($G$6-$E$6),$E$6+SQRT(P109*($G$6-$E$6)*($F$6-$E$6)),$G$6-SQRT((1-P109)*($G$6-$E$6)*($G$6-$F$6))))</f>
        <v>0.934438554690212</v>
      </c>
      <c r="C109" s="51" t="n">
        <f aca="false">1+IF($G$7=$E$7,$F$7,IF(Q109&lt;($F$7-$E$7)/($G$7-$E$7),$E$7+SQRT(Q109*($G$7-$E$7)*($F$7-$E$7)),$G$7-SQRT((1-Q109)*($G$7-$E$7)*($G$7-$F$7))))</f>
        <v>1.1312530860148</v>
      </c>
      <c r="D109" s="51" t="n">
        <f aca="false">1+IF($G$8=$E$8,$F$8,IF(R109&lt;($F$8-$E$8)/($G$8-$E$8),$E$8+SQRT(R109*($G$8-$E$8)*($F$8-$E$8)),$G$8-SQRT((1-R109)*($G$8-$E$8)*($G$8-$F$8))))</f>
        <v>1.00287441668414</v>
      </c>
      <c r="E109" s="51" t="n">
        <f aca="false">1+IF($G$9=$E$9,$F$9,IF(S109&lt;($F$9-$E$9)/($G$9-$E$9),$E$9+SQRT(S109*($G$9-$E$9)*($F$9-$E$9)),$G$9-SQRT((1-S109)*($G$9-$E$9)*($G$9-$F$9))))</f>
        <v>1.08029762315142</v>
      </c>
      <c r="F109" s="51" t="n">
        <f aca="false">1+IF($G$10=$E$10,$F$10,IF(T109&lt;($F$10-$E$10)/($G$10-$E$10),$E$10+SQRT(T109*($G$10-$E$10)*($F$10-$E$10)),$G$10-SQRT((1-T109)*($G$10-$E$10)*($G$10-$F$10))))</f>
        <v>1.12975794326526</v>
      </c>
      <c r="G109" s="52" t="n">
        <f aca="false">IF($G$11=$E$11,$F$11,IF(U109&lt;($F$11-$E$11)/($G$11-$E$11),$E$11+SQRT(U109*($G$11-$E$11)*($F$11-$E$11)),$G$11-SQRT((1-U109)*($G$11-$E$11)*($G$11-$F$11))))</f>
        <v>0.11683592782404</v>
      </c>
      <c r="H109" s="53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-2259515886.53053</v>
      </c>
      <c r="I109" s="53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-36339214.1223681</v>
      </c>
      <c r="J109" s="53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248715052.185727</v>
      </c>
      <c r="K109" s="53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590257215.657086</v>
      </c>
      <c r="L109" s="53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721808213.820988</v>
      </c>
      <c r="M109" s="53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922739215.49094</v>
      </c>
      <c r="N109" s="53" t="n">
        <f aca="false">IF(COUNT('Business Case'!B11:G11)=0,"",H109+NPV(G109,I109:M109))</f>
        <v>-673951415.292395</v>
      </c>
      <c r="P109" s="54" t="n">
        <f aca="true">RAND()</f>
        <v>0.0790676032767143</v>
      </c>
      <c r="Q109" s="54" t="n">
        <f aca="true">RAND()</f>
        <v>0.994793380978243</v>
      </c>
      <c r="R109" s="54" t="n">
        <f aca="true">RAND()</f>
        <v>0.371108071036957</v>
      </c>
      <c r="S109" s="54" t="n">
        <f aca="true">RAND()</f>
        <v>0.870442097644233</v>
      </c>
      <c r="T109" s="54" t="n">
        <f aca="true">RAND()</f>
        <v>0.80722463722934</v>
      </c>
      <c r="U109" s="54" t="n">
        <f aca="true">RAND()</f>
        <v>0.884471469164068</v>
      </c>
    </row>
    <row r="110" customFormat="false" ht="15" hidden="false" customHeight="false" outlineLevel="0" collapsed="false">
      <c r="A110" s="50" t="n">
        <v>30</v>
      </c>
      <c r="B110" s="51" t="n">
        <f aca="false">1+IF($G$6=$E$6,$F$6,IF(P110&lt;($F$6-$E$6)/($G$6-$E$6),$E$6+SQRT(P110*($G$6-$E$6)*($F$6-$E$6)),$G$6-SQRT((1-P110)*($G$6-$E$6)*($G$6-$F$6))))</f>
        <v>1.00737373361932</v>
      </c>
      <c r="C110" s="51" t="n">
        <f aca="false">1+IF($G$7=$E$7,$F$7,IF(Q110&lt;($F$7-$E$7)/($G$7-$E$7),$E$7+SQRT(Q110*($G$7-$E$7)*($F$7-$E$7)),$G$7-SQRT((1-Q110)*($G$7-$E$7)*($G$7-$F$7))))</f>
        <v>0.973623407384328</v>
      </c>
      <c r="D110" s="51" t="n">
        <f aca="false">1+IF($G$8=$E$8,$F$8,IF(R110&lt;($F$8-$E$8)/($G$8-$E$8),$E$8+SQRT(R110*($G$8-$E$8)*($F$8-$E$8)),$G$8-SQRT((1-R110)*($G$8-$E$8)*($G$8-$F$8))))</f>
        <v>1.04028088178705</v>
      </c>
      <c r="E110" s="51" t="n">
        <f aca="false">1+IF($G$9=$E$9,$F$9,IF(S110&lt;($F$9-$E$9)/($G$9-$E$9),$E$9+SQRT(S110*($G$9-$E$9)*($F$9-$E$9)),$G$9-SQRT((1-S110)*($G$9-$E$9)*($G$9-$F$9))))</f>
        <v>1.08374041807193</v>
      </c>
      <c r="F110" s="51" t="n">
        <f aca="false">1+IF($G$10=$E$10,$F$10,IF(T110&lt;($F$10-$E$10)/($G$10-$E$10),$E$10+SQRT(T110*($G$10-$E$10)*($F$10-$E$10)),$G$10-SQRT((1-T110)*($G$10-$E$10)*($G$10-$F$10))))</f>
        <v>1.09567624836472</v>
      </c>
      <c r="G110" s="52" t="n">
        <f aca="false">IF($G$11=$E$11,$F$11,IF(U110&lt;($F$11-$E$11)/($G$11-$E$11),$E$11+SQRT(U110*($G$11-$E$11)*($F$11-$E$11)),$G$11-SQRT((1-U110)*($G$11-$E$11)*($G$11-$F$11))))</f>
        <v>0.0919532912981793</v>
      </c>
      <c r="H110" s="53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-2191352496.72944</v>
      </c>
      <c r="I110" s="53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-29666318.6325908</v>
      </c>
      <c r="J110" s="53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255187684.243461</v>
      </c>
      <c r="K110" s="53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594825499.537748</v>
      </c>
      <c r="L110" s="53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723673373.311326</v>
      </c>
      <c r="M110" s="53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910104340.459913</v>
      </c>
      <c r="N110" s="53" t="n">
        <f aca="false">IF(COUNT('Business Case'!B11:G11)=0,"",H110+NPV(G110,I110:M110))</f>
        <v>-452404155.53773</v>
      </c>
      <c r="P110" s="54" t="n">
        <f aca="true">RAND()</f>
        <v>0.757733521925763</v>
      </c>
      <c r="Q110" s="54" t="n">
        <f aca="true">RAND()</f>
        <v>0.554590881989701</v>
      </c>
      <c r="R110" s="54" t="n">
        <f aca="true">RAND()</f>
        <v>0.762241794657868</v>
      </c>
      <c r="S110" s="54" t="n">
        <f aca="true">RAND()</f>
        <v>0.882924474739142</v>
      </c>
      <c r="T110" s="54" t="n">
        <f aca="true">RAND()</f>
        <v>0.682455729082823</v>
      </c>
      <c r="U110" s="54" t="n">
        <f aca="true">RAND()</f>
        <v>0.142881172859129</v>
      </c>
    </row>
    <row r="111" customFormat="false" ht="15" hidden="false" customHeight="false" outlineLevel="0" collapsed="false">
      <c r="A111" s="50" t="n">
        <v>31</v>
      </c>
      <c r="B111" s="51" t="n">
        <f aca="false">1+IF($G$6=$E$6,$F$6,IF(P111&lt;($F$6-$E$6)/($G$6-$E$6),$E$6+SQRT(P111*($G$6-$E$6)*($F$6-$E$6)),$G$6-SQRT((1-P111)*($G$6-$E$6)*($G$6-$F$6))))</f>
        <v>1.02258463534944</v>
      </c>
      <c r="C111" s="51" t="n">
        <f aca="false">1+IF($G$7=$E$7,$F$7,IF(Q111&lt;($F$7-$E$7)/($G$7-$E$7),$E$7+SQRT(Q111*($G$7-$E$7)*($F$7-$E$7)),$G$7-SQRT((1-Q111)*($G$7-$E$7)*($G$7-$F$7))))</f>
        <v>0.986922739580599</v>
      </c>
      <c r="D111" s="51" t="n">
        <f aca="false">1+IF($G$8=$E$8,$F$8,IF(R111&lt;($F$8-$E$8)/($G$8-$E$8),$E$8+SQRT(R111*($G$8-$E$8)*($F$8-$E$8)),$G$8-SQRT((1-R111)*($G$8-$E$8)*($G$8-$F$8))))</f>
        <v>1.01073402444925</v>
      </c>
      <c r="E111" s="51" t="n">
        <f aca="false">1+IF($G$9=$E$9,$F$9,IF(S111&lt;($F$9-$E$9)/($G$9-$E$9),$E$9+SQRT(S111*($G$9-$E$9)*($F$9-$E$9)),$G$9-SQRT((1-S111)*($G$9-$E$9)*($G$9-$F$9))))</f>
        <v>0.981364912281285</v>
      </c>
      <c r="F111" s="51" t="n">
        <f aca="false">1+IF($G$10=$E$10,$F$10,IF(T111&lt;($F$10-$E$10)/($G$10-$E$10),$E$10+SQRT(T111*($G$10-$E$10)*($F$10-$E$10)),$G$10-SQRT((1-T111)*($G$10-$E$10)*($G$10-$F$10))))</f>
        <v>1.00455597906053</v>
      </c>
      <c r="G111" s="52" t="n">
        <f aca="false">IF($G$11=$E$11,$F$11,IF(U111&lt;($F$11-$E$11)/($G$11-$E$11),$E$11+SQRT(U111*($G$11-$E$11)*($F$11-$E$11)),$G$11-SQRT((1-U111)*($G$11-$E$11)*($G$11-$F$11))))</f>
        <v>0.106626506776777</v>
      </c>
      <c r="H111" s="53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-2009111958.12107</v>
      </c>
      <c r="I111" s="53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23645483.997894</v>
      </c>
      <c r="J111" s="53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339614208.051625</v>
      </c>
      <c r="K111" s="53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705810731.058384</v>
      </c>
      <c r="L111" s="53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846012006.825218</v>
      </c>
      <c r="M111" s="53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1037843029.4443</v>
      </c>
      <c r="N111" s="53" t="n">
        <f aca="false">IF(COUNT('Business Case'!B11:G11)=0,"",H111+NPV(G111,I111:M111))</f>
        <v>-130737.180043459</v>
      </c>
      <c r="P111" s="54" t="n">
        <f aca="true">RAND()</f>
        <v>0.899786370810238</v>
      </c>
      <c r="Q111" s="54" t="n">
        <f aca="true">RAND()</f>
        <v>0.609812285099526</v>
      </c>
      <c r="R111" s="54" t="n">
        <f aca="true">RAND()</f>
        <v>0.468772373931536</v>
      </c>
      <c r="S111" s="54" t="n">
        <f aca="true">RAND()</f>
        <v>0.264809958021648</v>
      </c>
      <c r="T111" s="54" t="n">
        <f aca="true">RAND()</f>
        <v>0.196763101134219</v>
      </c>
      <c r="U111" s="54" t="n">
        <f aca="true">RAND()</f>
        <v>0.63578654302929</v>
      </c>
    </row>
    <row r="112" customFormat="false" ht="15" hidden="false" customHeight="false" outlineLevel="0" collapsed="false">
      <c r="A112" s="50" t="n">
        <v>32</v>
      </c>
      <c r="B112" s="51" t="n">
        <f aca="false">1+IF($G$6=$E$6,$F$6,IF(P112&lt;($F$6-$E$6)/($G$6-$E$6),$E$6+SQRT(P112*($G$6-$E$6)*($F$6-$E$6)),$G$6-SQRT((1-P112)*($G$6-$E$6)*($G$6-$F$6))))</f>
        <v>0.975960450227124</v>
      </c>
      <c r="C112" s="51" t="n">
        <f aca="false">1+IF($G$7=$E$7,$F$7,IF(Q112&lt;($F$7-$E$7)/($G$7-$E$7),$E$7+SQRT(Q112*($G$7-$E$7)*($F$7-$E$7)),$G$7-SQRT((1-Q112)*($G$7-$E$7)*($G$7-$F$7))))</f>
        <v>0.8326169378456</v>
      </c>
      <c r="D112" s="51" t="n">
        <f aca="false">1+IF($G$8=$E$8,$F$8,IF(R112&lt;($F$8-$E$8)/($G$8-$E$8),$E$8+SQRT(R112*($G$8-$E$8)*($F$8-$E$8)),$G$8-SQRT((1-R112)*($G$8-$E$8)*($G$8-$F$8))))</f>
        <v>0.965416908654618</v>
      </c>
      <c r="E112" s="51" t="n">
        <f aca="false">1+IF($G$9=$E$9,$F$9,IF(S112&lt;($F$9-$E$9)/($G$9-$E$9),$E$9+SQRT(S112*($G$9-$E$9)*($F$9-$E$9)),$G$9-SQRT((1-S112)*($G$9-$E$9)*($G$9-$F$9))))</f>
        <v>0.956916031922048</v>
      </c>
      <c r="F112" s="51" t="n">
        <f aca="false">1+IF($G$10=$E$10,$F$10,IF(T112&lt;($F$10-$E$10)/($G$10-$E$10),$E$10+SQRT(T112*($G$10-$E$10)*($F$10-$E$10)),$G$10-SQRT((1-T112)*($G$10-$E$10)*($G$10-$F$10))))</f>
        <v>1.0473169672306</v>
      </c>
      <c r="G112" s="52" t="n">
        <f aca="false">IF($G$11=$E$11,$F$11,IF(U112&lt;($F$11-$E$11)/($G$11-$E$11),$E$11+SQRT(U112*($G$11-$E$11)*($F$11-$E$11)),$G$11-SQRT((1-U112)*($G$11-$E$11)*($G$11-$F$11))))</f>
        <v>0.108871266940344</v>
      </c>
      <c r="H112" s="53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-2094633934.46119</v>
      </c>
      <c r="I112" s="53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-28844310.3720878</v>
      </c>
      <c r="J112" s="53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225241782.005334</v>
      </c>
      <c r="K112" s="53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531693722.744286</v>
      </c>
      <c r="L112" s="53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644472584.39485</v>
      </c>
      <c r="M112" s="53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798931820.781011</v>
      </c>
      <c r="N112" s="53" t="n">
        <f aca="false">IF(COUNT('Business Case'!B11:G11)=0,"",H112+NPV(G112,I112:M112))</f>
        <v>-644693917.453928</v>
      </c>
      <c r="P112" s="54" t="n">
        <f aca="true">RAND()</f>
        <v>0.384665999913826</v>
      </c>
      <c r="Q112" s="54" t="n">
        <f aca="true">RAND()</f>
        <v>0.130275942248473</v>
      </c>
      <c r="R112" s="54" t="n">
        <f aca="true">RAND()</f>
        <v>0.0316908096619772</v>
      </c>
      <c r="S112" s="54" t="n">
        <f aca="true">RAND()</f>
        <v>0.129577387590063</v>
      </c>
      <c r="T112" s="54" t="n">
        <f aca="true">RAND()</f>
        <v>0.452261176365296</v>
      </c>
      <c r="U112" s="54" t="n">
        <f aca="true">RAND()</f>
        <v>0.702384426195863</v>
      </c>
    </row>
    <row r="113" customFormat="false" ht="15" hidden="false" customHeight="false" outlineLevel="0" collapsed="false">
      <c r="A113" s="50" t="n">
        <v>33</v>
      </c>
      <c r="B113" s="51" t="n">
        <f aca="false">1+IF($G$6=$E$6,$F$6,IF(P113&lt;($F$6-$E$6)/($G$6-$E$6),$E$6+SQRT(P113*($G$6-$E$6)*($F$6-$E$6)),$G$6-SQRT((1-P113)*($G$6-$E$6)*($G$6-$F$6))))</f>
        <v>0.991190761891582</v>
      </c>
      <c r="C113" s="51" t="n">
        <f aca="false">1+IF($G$7=$E$7,$F$7,IF(Q113&lt;($F$7-$E$7)/($G$7-$E$7),$E$7+SQRT(Q113*($G$7-$E$7)*($F$7-$E$7)),$G$7-SQRT((1-Q113)*($G$7-$E$7)*($G$7-$F$7))))</f>
        <v>0.941647768136076</v>
      </c>
      <c r="D113" s="51" t="n">
        <f aca="false">1+IF($G$8=$E$8,$F$8,IF(R113&lt;($F$8-$E$8)/($G$8-$E$8),$E$8+SQRT(R113*($G$8-$E$8)*($F$8-$E$8)),$G$8-SQRT((1-R113)*($G$8-$E$8)*($G$8-$F$8))))</f>
        <v>1.00597919982856</v>
      </c>
      <c r="E113" s="51" t="n">
        <f aca="false">1+IF($G$9=$E$9,$F$9,IF(S113&lt;($F$9-$E$9)/($G$9-$E$9),$E$9+SQRT(S113*($G$9-$E$9)*($F$9-$E$9)),$G$9-SQRT((1-S113)*($G$9-$E$9)*($G$9-$F$9))))</f>
        <v>1.02483784519586</v>
      </c>
      <c r="F113" s="51" t="n">
        <f aca="false">1+IF($G$10=$E$10,$F$10,IF(T113&lt;($F$10-$E$10)/($G$10-$E$10),$E$10+SQRT(T113*($G$10-$E$10)*($F$10-$E$10)),$G$10-SQRT((1-T113)*($G$10-$E$10)*($G$10-$F$10))))</f>
        <v>1.02116647486318</v>
      </c>
      <c r="G113" s="52" t="n">
        <f aca="false">IF($G$11=$E$11,$F$11,IF(U113&lt;($F$11-$E$11)/($G$11-$E$11),$E$11+SQRT(U113*($G$11-$E$11)*($F$11-$E$11)),$G$11-SQRT((1-U113)*($G$11-$E$11)*($G$11-$F$11))))</f>
        <v>0.0972882657891896</v>
      </c>
      <c r="H113" s="53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-2042332949.72636</v>
      </c>
      <c r="I113" s="53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-16681219.7887401</v>
      </c>
      <c r="J113" s="53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262871146.658772</v>
      </c>
      <c r="K113" s="53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593481836.849444</v>
      </c>
      <c r="L113" s="53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718922623.774003</v>
      </c>
      <c r="M113" s="53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896334280.038639</v>
      </c>
      <c r="N113" s="53" t="n">
        <f aca="false">IF(COUNT('Business Case'!B11:G11)=0,"",H113+NPV(G113,I113:M113))</f>
        <v>-330635488.280062</v>
      </c>
      <c r="P113" s="54" t="n">
        <f aca="true">RAND()</f>
        <v>0.554383670291142</v>
      </c>
      <c r="Q113" s="54" t="n">
        <f aca="true">RAND()</f>
        <v>0.43254550996405</v>
      </c>
      <c r="R113" s="54" t="n">
        <f aca="true">RAND()</f>
        <v>0.410672609008159</v>
      </c>
      <c r="S113" s="54" t="n">
        <f aca="true">RAND()</f>
        <v>0.582251600127599</v>
      </c>
      <c r="T113" s="54" t="n">
        <f aca="true">RAND()</f>
        <v>0.30180290364609</v>
      </c>
      <c r="U113" s="54" t="n">
        <f aca="true">RAND()</f>
        <v>0.298884133997663</v>
      </c>
    </row>
    <row r="114" customFormat="false" ht="15" hidden="false" customHeight="false" outlineLevel="0" collapsed="false">
      <c r="A114" s="50" t="n">
        <v>34</v>
      </c>
      <c r="B114" s="51" t="n">
        <f aca="false">1+IF($G$6=$E$6,$F$6,IF(P114&lt;($F$6-$E$6)/($G$6-$E$6),$E$6+SQRT(P114*($G$6-$E$6)*($F$6-$E$6)),$G$6-SQRT((1-P114)*($G$6-$E$6)*($G$6-$F$6))))</f>
        <v>0.941041987643795</v>
      </c>
      <c r="C114" s="51" t="n">
        <f aca="false">1+IF($G$7=$E$7,$F$7,IF(Q114&lt;($F$7-$E$7)/($G$7-$E$7),$E$7+SQRT(Q114*($G$7-$E$7)*($F$7-$E$7)),$G$7-SQRT((1-Q114)*($G$7-$E$7)*($G$7-$F$7))))</f>
        <v>0.999429640924844</v>
      </c>
      <c r="D114" s="51" t="n">
        <f aca="false">1+IF($G$8=$E$8,$F$8,IF(R114&lt;($F$8-$E$8)/($G$8-$E$8),$E$8+SQRT(R114*($G$8-$E$8)*($F$8-$E$8)),$G$8-SQRT((1-R114)*($G$8-$E$8)*($G$8-$F$8))))</f>
        <v>1.05138749799052</v>
      </c>
      <c r="E114" s="51" t="n">
        <f aca="false">1+IF($G$9=$E$9,$F$9,IF(S114&lt;($F$9-$E$9)/($G$9-$E$9),$E$9+SQRT(S114*($G$9-$E$9)*($F$9-$E$9)),$G$9-SQRT((1-S114)*($G$9-$E$9)*($G$9-$F$9))))</f>
        <v>1.01368720802403</v>
      </c>
      <c r="F114" s="51" t="n">
        <f aca="false">1+IF($G$10=$E$10,$F$10,IF(T114&lt;($F$10-$E$10)/($G$10-$E$10),$E$10+SQRT(T114*($G$10-$E$10)*($F$10-$E$10)),$G$10-SQRT((1-T114)*($G$10-$E$10)*($G$10-$F$10))))</f>
        <v>1.09589024708798</v>
      </c>
      <c r="G114" s="52" t="n">
        <f aca="false">IF($G$11=$E$11,$F$11,IF(U114&lt;($F$11-$E$11)/($G$11-$E$11),$E$11+SQRT(U114*($G$11-$E$11)*($F$11-$E$11)),$G$11-SQRT((1-U114)*($G$11-$E$11)*($G$11-$F$11))))</f>
        <v>0.0960264918402594</v>
      </c>
      <c r="H114" s="53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-2191780494.17597</v>
      </c>
      <c r="I114" s="53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-70068922.9907109</v>
      </c>
      <c r="J114" s="53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162353292.169379</v>
      </c>
      <c r="K114" s="53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449570019.683868</v>
      </c>
      <c r="L114" s="53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559547953.044555</v>
      </c>
      <c r="M114" s="53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738319192.068167</v>
      </c>
      <c r="N114" s="53" t="n">
        <f aca="false">IF(COUNT('Business Case'!B11:G11)=0,"",H114+NPV(G114,I114:M114))</f>
        <v>-924544157.097143</v>
      </c>
      <c r="P114" s="54" t="n">
        <f aca="true">RAND()</f>
        <v>0.112296316650229</v>
      </c>
      <c r="Q114" s="54" t="n">
        <f aca="true">RAND()</f>
        <v>0.664134147143561</v>
      </c>
      <c r="R114" s="54" t="n">
        <f aca="true">RAND()</f>
        <v>0.842454976558546</v>
      </c>
      <c r="S114" s="54" t="n">
        <f aca="true">RAND()</f>
        <v>0.504501939832448</v>
      </c>
      <c r="T114" s="54" t="n">
        <f aca="true">RAND()</f>
        <v>0.683335787431959</v>
      </c>
      <c r="U114" s="54" t="n">
        <f aca="true">RAND()</f>
        <v>0.256848440705899</v>
      </c>
    </row>
    <row r="115" customFormat="false" ht="15" hidden="false" customHeight="false" outlineLevel="0" collapsed="false">
      <c r="A115" s="50" t="n">
        <v>35</v>
      </c>
      <c r="B115" s="51" t="n">
        <f aca="false">1+IF($G$6=$E$6,$F$6,IF(P115&lt;($F$6-$E$6)/($G$6-$E$6),$E$6+SQRT(P115*($G$6-$E$6)*($F$6-$E$6)),$G$6-SQRT((1-P115)*($G$6-$E$6)*($G$6-$F$6))))</f>
        <v>0.925262764951068</v>
      </c>
      <c r="C115" s="51" t="n">
        <f aca="false">1+IF($G$7=$E$7,$F$7,IF(Q115&lt;($F$7-$E$7)/($G$7-$E$7),$E$7+SQRT(Q115*($G$7-$E$7)*($F$7-$E$7)),$G$7-SQRT((1-Q115)*($G$7-$E$7)*($G$7-$F$7))))</f>
        <v>1.08303079424844</v>
      </c>
      <c r="D115" s="51" t="n">
        <f aca="false">1+IF($G$8=$E$8,$F$8,IF(R115&lt;($F$8-$E$8)/($G$8-$E$8),$E$8+SQRT(R115*($G$8-$E$8)*($F$8-$E$8)),$G$8-SQRT((1-R115)*($G$8-$E$8)*($G$8-$F$8))))</f>
        <v>1.04597679283215</v>
      </c>
      <c r="E115" s="51" t="n">
        <f aca="false">1+IF($G$9=$E$9,$F$9,IF(S115&lt;($F$9-$E$9)/($G$9-$E$9),$E$9+SQRT(S115*($G$9-$E$9)*($F$9-$E$9)),$G$9-SQRT((1-S115)*($G$9-$E$9)*($G$9-$F$9))))</f>
        <v>0.963951489874368</v>
      </c>
      <c r="F115" s="51" t="n">
        <f aca="false">1+IF($G$10=$E$10,$F$10,IF(T115&lt;($F$10-$E$10)/($G$10-$E$10),$E$10+SQRT(T115*($G$10-$E$10)*($F$10-$E$10)),$G$10-SQRT((1-T115)*($G$10-$E$10)*($G$10-$F$10))))</f>
        <v>1.22435182906645</v>
      </c>
      <c r="G115" s="52" t="n">
        <f aca="false">IF($G$11=$E$11,$F$11,IF(U115&lt;($F$11-$E$11)/($G$11-$E$11),$E$11+SQRT(U115*($G$11-$E$11)*($F$11-$E$11)),$G$11-SQRT((1-U115)*($G$11-$E$11)*($G$11-$F$11))))</f>
        <v>0.0945997831285833</v>
      </c>
      <c r="H115" s="53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-2448703658.1329</v>
      </c>
      <c r="I115" s="53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-70590866.0500231</v>
      </c>
      <c r="J115" s="53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170275598.07108</v>
      </c>
      <c r="K115" s="53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472359653.645505</v>
      </c>
      <c r="L115" s="53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587280638.622103</v>
      </c>
      <c r="M115" s="53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777757538.438037</v>
      </c>
      <c r="N115" s="53" t="n">
        <f aca="false">IF(COUNT('Business Case'!B11:G11)=0,"",H115+NPV(G115,I115:M115))</f>
        <v>-1106856824.23538</v>
      </c>
      <c r="P115" s="54" t="n">
        <f aca="true">RAND()</f>
        <v>0.0425471528648589</v>
      </c>
      <c r="Q115" s="54" t="n">
        <f aca="true">RAND()</f>
        <v>0.933557414533404</v>
      </c>
      <c r="R115" s="54" t="n">
        <f aca="true">RAND()</f>
        <v>0.805432872486651</v>
      </c>
      <c r="S115" s="54" t="n">
        <f aca="true">RAND()</f>
        <v>0.163591722286054</v>
      </c>
      <c r="T115" s="54" t="n">
        <f aca="true">RAND()</f>
        <v>0.991228951036846</v>
      </c>
      <c r="U115" s="54" t="n">
        <f aca="true">RAND()</f>
        <v>0.213153667401665</v>
      </c>
    </row>
    <row r="116" customFormat="false" ht="15" hidden="false" customHeight="false" outlineLevel="0" collapsed="false">
      <c r="A116" s="50" t="n">
        <v>36</v>
      </c>
      <c r="B116" s="51" t="n">
        <f aca="false">1+IF($G$6=$E$6,$F$6,IF(P116&lt;($F$6-$E$6)/($G$6-$E$6),$E$6+SQRT(P116*($G$6-$E$6)*($F$6-$E$6)),$G$6-SQRT((1-P116)*($G$6-$E$6)*($G$6-$F$6))))</f>
        <v>0.95301594865787</v>
      </c>
      <c r="C116" s="51" t="n">
        <f aca="false">1+IF($G$7=$E$7,$F$7,IF(Q116&lt;($F$7-$E$7)/($G$7-$E$7),$E$7+SQRT(Q116*($G$7-$E$7)*($F$7-$E$7)),$G$7-SQRT((1-Q116)*($G$7-$E$7)*($G$7-$F$7))))</f>
        <v>0.923148190787154</v>
      </c>
      <c r="D116" s="51" t="n">
        <f aca="false">1+IF($G$8=$E$8,$F$8,IF(R116&lt;($F$8-$E$8)/($G$8-$E$8),$E$8+SQRT(R116*($G$8-$E$8)*($F$8-$E$8)),$G$8-SQRT((1-R116)*($G$8-$E$8)*($G$8-$F$8))))</f>
        <v>1.04318638355587</v>
      </c>
      <c r="E116" s="51" t="n">
        <f aca="false">1+IF($G$9=$E$9,$F$9,IF(S116&lt;($F$9-$E$9)/($G$9-$E$9),$E$9+SQRT(S116*($G$9-$E$9)*($F$9-$E$9)),$G$9-SQRT((1-S116)*($G$9-$E$9)*($G$9-$F$9))))</f>
        <v>1.04001057005077</v>
      </c>
      <c r="F116" s="51" t="n">
        <f aca="false">1+IF($G$10=$E$10,$F$10,IF(T116&lt;($F$10-$E$10)/($G$10-$E$10),$E$10+SQRT(T116*($G$10-$E$10)*($F$10-$E$10)),$G$10-SQRT((1-T116)*($G$10-$E$10)*($G$10-$F$10))))</f>
        <v>1.07339931175845</v>
      </c>
      <c r="G116" s="52" t="n">
        <f aca="false">IF($G$11=$E$11,$F$11,IF(U116&lt;($F$11-$E$11)/($G$11-$E$11),$E$11+SQRT(U116*($G$11-$E$11)*($F$11-$E$11)),$G$11-SQRT((1-U116)*($G$11-$E$11)*($G$11-$F$11))))</f>
        <v>0.112699941828172</v>
      </c>
      <c r="H116" s="53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-2146798623.5169</v>
      </c>
      <c r="I116" s="53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-73224898.2618067</v>
      </c>
      <c r="J116" s="53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154387171.058975</v>
      </c>
      <c r="K116" s="53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435669205.967679</v>
      </c>
      <c r="L116" s="53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541944917.971621</v>
      </c>
      <c r="M116" s="53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709172540.23854</v>
      </c>
      <c r="N116" s="53" t="n">
        <f aca="false">IF(COUNT('Business Case'!B11:G11)=0,"",H116+NPV(G116,I116:M116))</f>
        <v>-1002344324.21591</v>
      </c>
      <c r="P116" s="54" t="n">
        <f aca="true">RAND()</f>
        <v>0.187379387472924</v>
      </c>
      <c r="Q116" s="54" t="n">
        <f aca="true">RAND()</f>
        <v>0.368852704085779</v>
      </c>
      <c r="R116" s="54" t="n">
        <f aca="true">RAND()</f>
        <v>0.784814199102586</v>
      </c>
      <c r="S116" s="54" t="n">
        <f aca="true">RAND()</f>
        <v>0.677395341318519</v>
      </c>
      <c r="T116" s="54" t="n">
        <f aca="true">RAND()</f>
        <v>0.584162625501472</v>
      </c>
      <c r="U116" s="54" t="n">
        <f aca="true">RAND()</f>
        <v>0.800471991500921</v>
      </c>
    </row>
    <row r="117" customFormat="false" ht="15" hidden="false" customHeight="false" outlineLevel="0" collapsed="false">
      <c r="A117" s="50" t="n">
        <v>37</v>
      </c>
      <c r="B117" s="51" t="n">
        <f aca="false">1+IF($G$6=$E$6,$F$6,IF(P117&lt;($F$6-$E$6)/($G$6-$E$6),$E$6+SQRT(P117*($G$6-$E$6)*($F$6-$E$6)),$G$6-SQRT((1-P117)*($G$6-$E$6)*($G$6-$F$6))))</f>
        <v>0.954562387926033</v>
      </c>
      <c r="C117" s="51" t="n">
        <f aca="false">1+IF($G$7=$E$7,$F$7,IF(Q117&lt;($F$7-$E$7)/($G$7-$E$7),$E$7+SQRT(Q117*($G$7-$E$7)*($F$7-$E$7)),$G$7-SQRT((1-Q117)*($G$7-$E$7)*($G$7-$F$7))))</f>
        <v>0.918031308331051</v>
      </c>
      <c r="D117" s="51" t="n">
        <f aca="false">1+IF($G$8=$E$8,$F$8,IF(R117&lt;($F$8-$E$8)/($G$8-$E$8),$E$8+SQRT(R117*($G$8-$E$8)*($F$8-$E$8)),$G$8-SQRT((1-R117)*($G$8-$E$8)*($G$8-$F$8))))</f>
        <v>0.986768026741424</v>
      </c>
      <c r="E117" s="51" t="n">
        <f aca="false">1+IF($G$9=$E$9,$F$9,IF(S117&lt;($F$9-$E$9)/($G$9-$E$9),$E$9+SQRT(S117*($G$9-$E$9)*($F$9-$E$9)),$G$9-SQRT((1-S117)*($G$9-$E$9)*($G$9-$F$9))))</f>
        <v>1.02476993251116</v>
      </c>
      <c r="F117" s="51" t="n">
        <f aca="false">1+IF($G$10=$E$10,$F$10,IF(T117&lt;($F$10-$E$10)/($G$10-$E$10),$E$10+SQRT(T117*($G$10-$E$10)*($F$10-$E$10)),$G$10-SQRT((1-T117)*($G$10-$E$10)*($G$10-$F$10))))</f>
        <v>1.04995310504066</v>
      </c>
      <c r="G117" s="52" t="n">
        <f aca="false">IF($G$11=$E$11,$F$11,IF(U117&lt;($F$11-$E$11)/($G$11-$E$11),$E$11+SQRT(U117*($G$11-$E$11)*($F$11-$E$11)),$G$11-SQRT((1-U117)*($G$11-$E$11)*($G$11-$F$11))))</f>
        <v>0.108397719484886</v>
      </c>
      <c r="H117" s="53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-2099906210.08132</v>
      </c>
      <c r="I117" s="53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-42118369.9074372</v>
      </c>
      <c r="J117" s="53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211909188.396329</v>
      </c>
      <c r="K117" s="53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518434401.952128</v>
      </c>
      <c r="L117" s="53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633395810.256084</v>
      </c>
      <c r="M117" s="53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799966365.70427</v>
      </c>
      <c r="N117" s="53" t="n">
        <f aca="false">IF(COUNT('Business Case'!B11:G11)=0,"",H117+NPV(G117,I117:M117))</f>
        <v>-686858875.679771</v>
      </c>
      <c r="P117" s="54" t="n">
        <f aca="true">RAND()</f>
        <v>0.198470278412729</v>
      </c>
      <c r="Q117" s="54" t="n">
        <f aca="true">RAND()</f>
        <v>0.352130751204072</v>
      </c>
      <c r="R117" s="54" t="n">
        <f aca="true">RAND()</f>
        <v>0.18025170539441</v>
      </c>
      <c r="S117" s="54" t="n">
        <f aca="true">RAND()</f>
        <v>0.581798138579738</v>
      </c>
      <c r="T117" s="54" t="n">
        <f aca="true">RAND()</f>
        <v>0.466416530895022</v>
      </c>
      <c r="U117" s="54" t="n">
        <f aca="true">RAND()</f>
        <v>0.688894317697555</v>
      </c>
    </row>
    <row r="118" customFormat="false" ht="15" hidden="false" customHeight="false" outlineLevel="0" collapsed="false">
      <c r="A118" s="50" t="n">
        <v>38</v>
      </c>
      <c r="B118" s="51" t="n">
        <f aca="false">1+IF($G$6=$E$6,$F$6,IF(P118&lt;($F$6-$E$6)/($G$6-$E$6),$E$6+SQRT(P118*($G$6-$E$6)*($F$6-$E$6)),$G$6-SQRT((1-P118)*($G$6-$E$6)*($G$6-$F$6))))</f>
        <v>0.971853626643841</v>
      </c>
      <c r="C118" s="51" t="n">
        <f aca="false">1+IF($G$7=$E$7,$F$7,IF(Q118&lt;($F$7-$E$7)/($G$7-$E$7),$E$7+SQRT(Q118*($G$7-$E$7)*($F$7-$E$7)),$G$7-SQRT((1-Q118)*($G$7-$E$7)*($G$7-$F$7))))</f>
        <v>0.983425126304235</v>
      </c>
      <c r="D118" s="51" t="n">
        <f aca="false">1+IF($G$8=$E$8,$F$8,IF(R118&lt;($F$8-$E$8)/($G$8-$E$8),$E$8+SQRT(R118*($G$8-$E$8)*($F$8-$E$8)),$G$8-SQRT((1-R118)*($G$8-$E$8)*($G$8-$F$8))))</f>
        <v>1.05517818718907</v>
      </c>
      <c r="E118" s="51" t="n">
        <f aca="false">1+IF($G$9=$E$9,$F$9,IF(S118&lt;($F$9-$E$9)/($G$9-$E$9),$E$9+SQRT(S118*($G$9-$E$9)*($F$9-$E$9)),$G$9-SQRT((1-S118)*($G$9-$E$9)*($G$9-$F$9))))</f>
        <v>1.00963578962965</v>
      </c>
      <c r="F118" s="51" t="n">
        <f aca="false">1+IF($G$10=$E$10,$F$10,IF(T118&lt;($F$10-$E$10)/($G$10-$E$10),$E$10+SQRT(T118*($G$10-$E$10)*($F$10-$E$10)),$G$10-SQRT((1-T118)*($G$10-$E$10)*($G$10-$F$10))))</f>
        <v>1.12759650609062</v>
      </c>
      <c r="G118" s="52" t="n">
        <f aca="false">IF($G$11=$E$11,$F$11,IF(U118&lt;($F$11-$E$11)/($G$11-$E$11),$E$11+SQRT(U118*($G$11-$E$11)*($F$11-$E$11)),$G$11-SQRT((1-U118)*($G$11-$E$11)*($G$11-$F$11))))</f>
        <v>0.117668175097041</v>
      </c>
      <c r="H118" s="53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-2255193012.18124</v>
      </c>
      <c r="I118" s="53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-54265121.4675562</v>
      </c>
      <c r="J118" s="53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197345452.042837</v>
      </c>
      <c r="K118" s="53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505335850.85776</v>
      </c>
      <c r="L118" s="53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622236598.750258</v>
      </c>
      <c r="M118" s="53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803904660.723276</v>
      </c>
      <c r="N118" s="53" t="n">
        <f aca="false">IF(COUNT('Business Case'!B11:G11)=0,"",H118+NPV(G118,I118:M118))</f>
        <v>-924132804.365136</v>
      </c>
      <c r="P118" s="54" t="n">
        <f aca="true">RAND()</f>
        <v>0.344196244124832</v>
      </c>
      <c r="Q118" s="54" t="n">
        <f aca="true">RAND()</f>
        <v>0.595035572004235</v>
      </c>
      <c r="R118" s="54" t="n">
        <f aca="true">RAND()</f>
        <v>0.866067006422812</v>
      </c>
      <c r="S118" s="54" t="n">
        <f aca="true">RAND()</f>
        <v>0.474610358589582</v>
      </c>
      <c r="T118" s="54" t="n">
        <f aca="true">RAND()</f>
        <v>0.800231795717014</v>
      </c>
      <c r="U118" s="54" t="n">
        <f aca="true">RAND()</f>
        <v>0.898617396375173</v>
      </c>
    </row>
    <row r="119" customFormat="false" ht="15" hidden="false" customHeight="false" outlineLevel="0" collapsed="false">
      <c r="A119" s="50" t="n">
        <v>39</v>
      </c>
      <c r="B119" s="51" t="n">
        <f aca="false">1+IF($G$6=$E$6,$F$6,IF(P119&lt;($F$6-$E$6)/($G$6-$E$6),$E$6+SQRT(P119*($G$6-$E$6)*($F$6-$E$6)),$G$6-SQRT((1-P119)*($G$6-$E$6)*($G$6-$F$6))))</f>
        <v>0.996035210713816</v>
      </c>
      <c r="C119" s="51" t="n">
        <f aca="false">1+IF($G$7=$E$7,$F$7,IF(Q119&lt;($F$7-$E$7)/($G$7-$E$7),$E$7+SQRT(Q119*($G$7-$E$7)*($F$7-$E$7)),$G$7-SQRT((1-Q119)*($G$7-$E$7)*($G$7-$F$7))))</f>
        <v>0.782029790353814</v>
      </c>
      <c r="D119" s="51" t="n">
        <f aca="false">1+IF($G$8=$E$8,$F$8,IF(R119&lt;($F$8-$E$8)/($G$8-$E$8),$E$8+SQRT(R119*($G$8-$E$8)*($F$8-$E$8)),$G$8-SQRT((1-R119)*($G$8-$E$8)*($G$8-$F$8))))</f>
        <v>0.982239035527761</v>
      </c>
      <c r="E119" s="51" t="n">
        <f aca="false">1+IF($G$9=$E$9,$F$9,IF(S119&lt;($F$9-$E$9)/($G$9-$E$9),$E$9+SQRT(S119*($G$9-$E$9)*($F$9-$E$9)),$G$9-SQRT((1-S119)*($G$9-$E$9)*($G$9-$F$9))))</f>
        <v>1.00080217555945</v>
      </c>
      <c r="F119" s="51" t="n">
        <f aca="false">1+IF($G$10=$E$10,$F$10,IF(T119&lt;($F$10-$E$10)/($G$10-$E$10),$E$10+SQRT(T119*($G$10-$E$10)*($F$10-$E$10)),$G$10-SQRT((1-T119)*($G$10-$E$10)*($G$10-$F$10))))</f>
        <v>1.13879297970577</v>
      </c>
      <c r="G119" s="52" t="n">
        <f aca="false">IF($G$11=$E$11,$F$11,IF(U119&lt;($F$11-$E$11)/($G$11-$E$11),$E$11+SQRT(U119*($G$11-$E$11)*($F$11-$E$11)),$G$11-SQRT((1-U119)*($G$11-$E$11)*($G$11-$F$11))))</f>
        <v>0.103910322661362</v>
      </c>
      <c r="H119" s="53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-2277585959.41155</v>
      </c>
      <c r="I119" s="53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-51800278.5200776</v>
      </c>
      <c r="J119" s="53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192972500.386869</v>
      </c>
      <c r="K119" s="53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494684928.279103</v>
      </c>
      <c r="L119" s="53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603195647.976015</v>
      </c>
      <c r="M119" s="53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751254511.646289</v>
      </c>
      <c r="N119" s="53" t="n">
        <f aca="false">IF(COUNT('Business Case'!B11:G11)=0,"",H119+NPV(G119,I119:M119))</f>
        <v>-933977540.67182</v>
      </c>
      <c r="P119" s="54" t="n">
        <f aca="true">RAND()</f>
        <v>0.614850779789805</v>
      </c>
      <c r="Q119" s="54" t="n">
        <f aca="true">RAND()</f>
        <v>0.049843603744375</v>
      </c>
      <c r="R119" s="54" t="n">
        <f aca="true">RAND()</f>
        <v>0.138580721568031</v>
      </c>
      <c r="S119" s="54" t="n">
        <f aca="true">RAND()</f>
        <v>0.406400244858826</v>
      </c>
      <c r="T119" s="54" t="n">
        <f aca="true">RAND()</f>
        <v>0.835106648497059</v>
      </c>
      <c r="U119" s="54" t="n">
        <f aca="true">RAND()</f>
        <v>0.546219157577157</v>
      </c>
    </row>
    <row r="120" customFormat="false" ht="15" hidden="false" customHeight="false" outlineLevel="0" collapsed="false">
      <c r="A120" s="50" t="n">
        <v>40</v>
      </c>
      <c r="B120" s="51" t="n">
        <f aca="false">1+IF($G$6=$E$6,$F$6,IF(P120&lt;($F$6-$E$6)/($G$6-$E$6),$E$6+SQRT(P120*($G$6-$E$6)*($F$6-$E$6)),$G$6-SQRT((1-P120)*($G$6-$E$6)*($G$6-$F$6))))</f>
        <v>0.973194213020061</v>
      </c>
      <c r="C120" s="51" t="n">
        <f aca="false">1+IF($G$7=$E$7,$F$7,IF(Q120&lt;($F$7-$E$7)/($G$7-$E$7),$E$7+SQRT(Q120*($G$7-$E$7)*($F$7-$E$7)),$G$7-SQRT((1-Q120)*($G$7-$E$7)*($G$7-$F$7))))</f>
        <v>0.941689122723965</v>
      </c>
      <c r="D120" s="51" t="n">
        <f aca="false">1+IF($G$8=$E$8,$F$8,IF(R120&lt;($F$8-$E$8)/($G$8-$E$8),$E$8+SQRT(R120*($G$8-$E$8)*($F$8-$E$8)),$G$8-SQRT((1-R120)*($G$8-$E$8)*($G$8-$F$8))))</f>
        <v>1.05749246551419</v>
      </c>
      <c r="E120" s="51" t="n">
        <f aca="false">1+IF($G$9=$E$9,$F$9,IF(S120&lt;($F$9-$E$9)/($G$9-$E$9),$E$9+SQRT(S120*($G$9-$E$9)*($F$9-$E$9)),$G$9-SQRT((1-S120)*($G$9-$E$9)*($G$9-$F$9))))</f>
        <v>0.918784936242276</v>
      </c>
      <c r="F120" s="51" t="n">
        <f aca="false">1+IF($G$10=$E$10,$F$10,IF(T120&lt;($F$10-$E$10)/($G$10-$E$10),$E$10+SQRT(T120*($G$10-$E$10)*($F$10-$E$10)),$G$10-SQRT((1-T120)*($G$10-$E$10)*($G$10-$F$10))))</f>
        <v>1.12717993397748</v>
      </c>
      <c r="G120" s="52" t="n">
        <f aca="false">IF($G$11=$E$11,$F$11,IF(U120&lt;($F$11-$E$11)/($G$11-$E$11),$E$11+SQRT(U120*($G$11-$E$11)*($F$11-$E$11)),$G$11-SQRT((1-U120)*($G$11-$E$11)*($G$11-$F$11))))</f>
        <v>0.0919149408383065</v>
      </c>
      <c r="H120" s="53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-2254359867.95496</v>
      </c>
      <c r="I120" s="53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-50027062.9235583</v>
      </c>
      <c r="J120" s="53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190823667.103874</v>
      </c>
      <c r="K120" s="53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488033393.83018</v>
      </c>
      <c r="L120" s="53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599989358.252385</v>
      </c>
      <c r="M120" s="53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774187490.857552</v>
      </c>
      <c r="N120" s="53" t="n">
        <f aca="false">IF(COUNT('Business Case'!B11:G11)=0,"",H120+NPV(G120,I120:M120))</f>
        <v>-844408290.183674</v>
      </c>
      <c r="P120" s="54" t="n">
        <f aca="true">RAND()</f>
        <v>0.357159521308402</v>
      </c>
      <c r="Q120" s="54" t="n">
        <f aca="true">RAND()</f>
        <v>0.432693570689479</v>
      </c>
      <c r="R120" s="54" t="n">
        <f aca="true">RAND()</f>
        <v>0.879540634129169</v>
      </c>
      <c r="S120" s="54" t="n">
        <f aca="true">RAND()</f>
        <v>0.0141149531850544</v>
      </c>
      <c r="T120" s="54" t="n">
        <f aca="true">RAND()</f>
        <v>0.79886975176298</v>
      </c>
      <c r="U120" s="54" t="n">
        <f aca="true">RAND()</f>
        <v>0.141965815180344</v>
      </c>
    </row>
    <row r="121" customFormat="false" ht="15" hidden="false" customHeight="false" outlineLevel="0" collapsed="false">
      <c r="A121" s="50" t="n">
        <v>41</v>
      </c>
      <c r="B121" s="51" t="n">
        <f aca="false">1+IF($G$6=$E$6,$F$6,IF(P121&lt;($F$6-$E$6)/($G$6-$E$6),$E$6+SQRT(P121*($G$6-$E$6)*($F$6-$E$6)),$G$6-SQRT((1-P121)*($G$6-$E$6)*($G$6-$F$6))))</f>
        <v>1.01881774025157</v>
      </c>
      <c r="C121" s="51" t="n">
        <f aca="false">1+IF($G$7=$E$7,$F$7,IF(Q121&lt;($F$7-$E$7)/($G$7-$E$7),$E$7+SQRT(Q121*($G$7-$E$7)*($F$7-$E$7)),$G$7-SQRT((1-Q121)*($G$7-$E$7)*($G$7-$F$7))))</f>
        <v>1.00878404066511</v>
      </c>
      <c r="D121" s="51" t="n">
        <f aca="false">1+IF($G$8=$E$8,$F$8,IF(R121&lt;($F$8-$E$8)/($G$8-$E$8),$E$8+SQRT(R121*($G$8-$E$8)*($F$8-$E$8)),$G$8-SQRT((1-R121)*($G$8-$E$8)*($G$8-$F$8))))</f>
        <v>0.981037324763441</v>
      </c>
      <c r="E121" s="51" t="n">
        <f aca="false">1+IF($G$9=$E$9,$F$9,IF(S121&lt;($F$9-$E$9)/($G$9-$E$9),$E$9+SQRT(S121*($G$9-$E$9)*($F$9-$E$9)),$G$9-SQRT((1-S121)*($G$9-$E$9)*($G$9-$F$9))))</f>
        <v>1.04724183533994</v>
      </c>
      <c r="F121" s="51" t="n">
        <f aca="false">1+IF($G$10=$E$10,$F$10,IF(T121&lt;($F$10-$E$10)/($G$10-$E$10),$E$10+SQRT(T121*($G$10-$E$10)*($F$10-$E$10)),$G$10-SQRT((1-T121)*($G$10-$E$10)*($G$10-$F$10))))</f>
        <v>1.04862314557464</v>
      </c>
      <c r="G121" s="52" t="n">
        <f aca="false">IF($G$11=$E$11,$F$11,IF(U121&lt;($F$11-$E$11)/($G$11-$E$11),$E$11+SQRT(U121*($G$11-$E$11)*($F$11-$E$11)),$G$11-SQRT((1-U121)*($G$11-$E$11)*($G$11-$F$11))))</f>
        <v>0.122097409163517</v>
      </c>
      <c r="H121" s="53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-2097246291.14929</v>
      </c>
      <c r="I121" s="53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28131602.8237336</v>
      </c>
      <c r="J121" s="53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363322754.447035</v>
      </c>
      <c r="K121" s="53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750945063.349069</v>
      </c>
      <c r="L121" s="53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898195077.39468</v>
      </c>
      <c r="M121" s="53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1093553043.33615</v>
      </c>
      <c r="N121" s="53" t="n">
        <f aca="false">IF(COUNT('Business Case'!B11:G11)=0,"",H121+NPV(G121,I121:M121))</f>
        <v>-70805611.6567173</v>
      </c>
      <c r="P121" s="54" t="n">
        <f aca="true">RAND()</f>
        <v>0.870355556930834</v>
      </c>
      <c r="Q121" s="54" t="n">
        <f aca="true">RAND()</f>
        <v>0.704563745616703</v>
      </c>
      <c r="R121" s="54" t="n">
        <f aca="true">RAND()</f>
        <v>0.128442070462843</v>
      </c>
      <c r="S121" s="54" t="n">
        <f aca="true">RAND()</f>
        <v>0.718420255885227</v>
      </c>
      <c r="T121" s="54" t="n">
        <f aca="true">RAND()</f>
        <v>0.459298166689985</v>
      </c>
      <c r="U121" s="54" t="n">
        <f aca="true">RAND()</f>
        <v>0.958366038714092</v>
      </c>
    </row>
    <row r="122" customFormat="false" ht="15" hidden="false" customHeight="false" outlineLevel="0" collapsed="false">
      <c r="A122" s="50" t="n">
        <v>42</v>
      </c>
      <c r="B122" s="51" t="n">
        <f aca="false">1+IF($G$6=$E$6,$F$6,IF(P122&lt;($F$6-$E$6)/($G$6-$E$6),$E$6+SQRT(P122*($G$6-$E$6)*($F$6-$E$6)),$G$6-SQRT((1-P122)*($G$6-$E$6)*($G$6-$F$6))))</f>
        <v>0.957940442047018</v>
      </c>
      <c r="C122" s="51" t="n">
        <f aca="false">1+IF($G$7=$E$7,$F$7,IF(Q122&lt;($F$7-$E$7)/($G$7-$E$7),$E$7+SQRT(Q122*($G$7-$E$7)*($F$7-$E$7)),$G$7-SQRT((1-Q122)*($G$7-$E$7)*($G$7-$F$7))))</f>
        <v>0.833878697361814</v>
      </c>
      <c r="D122" s="51" t="n">
        <f aca="false">1+IF($G$8=$E$8,$F$8,IF(R122&lt;($F$8-$E$8)/($G$8-$E$8),$E$8+SQRT(R122*($G$8-$E$8)*($F$8-$E$8)),$G$8-SQRT((1-R122)*($G$8-$E$8)*($G$8-$F$8))))</f>
        <v>1.05515635915171</v>
      </c>
      <c r="E122" s="51" t="n">
        <f aca="false">1+IF($G$9=$E$9,$F$9,IF(S122&lt;($F$9-$E$9)/($G$9-$E$9),$E$9+SQRT(S122*($G$9-$E$9)*($F$9-$E$9)),$G$9-SQRT((1-S122)*($G$9-$E$9)*($G$9-$F$9))))</f>
        <v>1.00366740901608</v>
      </c>
      <c r="F122" s="51" t="n">
        <f aca="false">1+IF($G$10=$E$10,$F$10,IF(T122&lt;($F$10-$E$10)/($G$10-$E$10),$E$10+SQRT(T122*($G$10-$E$10)*($F$10-$E$10)),$G$10-SQRT((1-T122)*($G$10-$E$10)*($G$10-$F$10))))</f>
        <v>1.00605828549866</v>
      </c>
      <c r="G122" s="52" t="n">
        <f aca="false">IF($G$11=$E$11,$F$11,IF(U122&lt;($F$11-$E$11)/($G$11-$E$11),$E$11+SQRT(U122*($G$11-$E$11)*($F$11-$E$11)),$G$11-SQRT((1-U122)*($G$11-$E$11)*($G$11-$F$11))))</f>
        <v>0.102323756075628</v>
      </c>
      <c r="H122" s="53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-2012116570.99732</v>
      </c>
      <c r="I122" s="53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-80881995.2133923</v>
      </c>
      <c r="J122" s="53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122973453.358841</v>
      </c>
      <c r="K122" s="53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377131816.206007</v>
      </c>
      <c r="L122" s="53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472690372.1792</v>
      </c>
      <c r="M122" s="53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624527440.982667</v>
      </c>
      <c r="N122" s="53" t="n">
        <f aca="false">IF(COUNT('Business Case'!B11:G11)=0,"",H122+NPV(G122,I122:M122))</f>
        <v>-998878779.838482</v>
      </c>
      <c r="P122" s="54" t="n">
        <f aca="true">RAND()</f>
        <v>0.223806321640256</v>
      </c>
      <c r="Q122" s="54" t="n">
        <f aca="true">RAND()</f>
        <v>0.132766708202195</v>
      </c>
      <c r="R122" s="54" t="n">
        <f aca="true">RAND()</f>
        <v>0.865936525031293</v>
      </c>
      <c r="S122" s="54" t="n">
        <f aca="true">RAND()</f>
        <v>0.428980608424889</v>
      </c>
      <c r="T122" s="54" t="n">
        <f aca="true">RAND()</f>
        <v>0.206565865681946</v>
      </c>
      <c r="U122" s="54" t="n">
        <f aca="true">RAND()</f>
        <v>0.48935034815912</v>
      </c>
    </row>
    <row r="123" customFormat="false" ht="15" hidden="false" customHeight="false" outlineLevel="0" collapsed="false">
      <c r="A123" s="50" t="n">
        <v>43</v>
      </c>
      <c r="B123" s="51" t="n">
        <f aca="false">1+IF($G$6=$E$6,$F$6,IF(P123&lt;($F$6-$E$6)/($G$6-$E$6),$E$6+SQRT(P123*($G$6-$E$6)*($F$6-$E$6)),$G$6-SQRT((1-P123)*($G$6-$E$6)*($G$6-$F$6))))</f>
        <v>0.982246328040781</v>
      </c>
      <c r="C123" s="51" t="n">
        <f aca="false">1+IF($G$7=$E$7,$F$7,IF(Q123&lt;($F$7-$E$7)/($G$7-$E$7),$E$7+SQRT(Q123*($G$7-$E$7)*($F$7-$E$7)),$G$7-SQRT((1-Q123)*($G$7-$E$7)*($G$7-$F$7))))</f>
        <v>1.0337761400344</v>
      </c>
      <c r="D123" s="51" t="n">
        <f aca="false">1+IF($G$8=$E$8,$F$8,IF(R123&lt;($F$8-$E$8)/($G$8-$E$8),$E$8+SQRT(R123*($G$8-$E$8)*($F$8-$E$8)),$G$8-SQRT((1-R123)*($G$8-$E$8)*($G$8-$F$8))))</f>
        <v>1.02025480167987</v>
      </c>
      <c r="E123" s="51" t="n">
        <f aca="false">1+IF($G$9=$E$9,$F$9,IF(S123&lt;($F$9-$E$9)/($G$9-$E$9),$E$9+SQRT(S123*($G$9-$E$9)*($F$9-$E$9)),$G$9-SQRT((1-S123)*($G$9-$E$9)*($G$9-$F$9))))</f>
        <v>0.979904933843133</v>
      </c>
      <c r="F123" s="51" t="n">
        <f aca="false">1+IF($G$10=$E$10,$F$10,IF(T123&lt;($F$10-$E$10)/($G$10-$E$10),$E$10+SQRT(T123*($G$10-$E$10)*($F$10-$E$10)),$G$10-SQRT((1-T123)*($G$10-$E$10)*($G$10-$F$10))))</f>
        <v>0.995006691867838</v>
      </c>
      <c r="G123" s="52" t="n">
        <f aca="false">IF($G$11=$E$11,$F$11,IF(U123&lt;($F$11-$E$11)/($G$11-$E$11),$E$11+SQRT(U123*($G$11-$E$11)*($F$11-$E$11)),$G$11-SQRT((1-U123)*($G$11-$E$11)*($G$11-$F$11))))</f>
        <v>0.101397988538697</v>
      </c>
      <c r="H123" s="53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-1990013383.73568</v>
      </c>
      <c r="I123" s="53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291989.377505541</v>
      </c>
      <c r="J123" s="53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292066648.396856</v>
      </c>
      <c r="K123" s="53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633591642.009599</v>
      </c>
      <c r="L123" s="53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765942874.257761</v>
      </c>
      <c r="M123" s="53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958954443.420508</v>
      </c>
      <c r="N123" s="53" t="n">
        <f aca="false">IF(COUNT('Business Case'!B11:G11)=0,"",H123+NPV(G123,I123:M123))</f>
        <v>-162602614.422702</v>
      </c>
      <c r="P123" s="54" t="n">
        <f aca="true">RAND()</f>
        <v>0.450963898412781</v>
      </c>
      <c r="Q123" s="54" t="n">
        <f aca="true">RAND()</f>
        <v>0.799881694439949</v>
      </c>
      <c r="R123" s="54" t="n">
        <f aca="true">RAND()</f>
        <v>0.576046889658891</v>
      </c>
      <c r="S123" s="54" t="n">
        <f aca="true">RAND()</f>
        <v>0.25539193809902</v>
      </c>
      <c r="T123" s="54" t="n">
        <f aca="true">RAND()</f>
        <v>0.135040154192435</v>
      </c>
      <c r="U123" s="54" t="n">
        <f aca="true">RAND()</f>
        <v>0.454616626911661</v>
      </c>
    </row>
    <row r="124" customFormat="false" ht="15" hidden="false" customHeight="false" outlineLevel="0" collapsed="false">
      <c r="A124" s="50" t="n">
        <v>44</v>
      </c>
      <c r="B124" s="51" t="n">
        <f aca="false">1+IF($G$6=$E$6,$F$6,IF(P124&lt;($F$6-$E$6)/($G$6-$E$6),$E$6+SQRT(P124*($G$6-$E$6)*($F$6-$E$6)),$G$6-SQRT((1-P124)*($G$6-$E$6)*($G$6-$F$6))))</f>
        <v>0.991014528142007</v>
      </c>
      <c r="C124" s="51" t="n">
        <f aca="false">1+IF($G$7=$E$7,$F$7,IF(Q124&lt;($F$7-$E$7)/($G$7-$E$7),$E$7+SQRT(Q124*($G$7-$E$7)*($F$7-$E$7)),$G$7-SQRT((1-Q124)*($G$7-$E$7)*($G$7-$F$7))))</f>
        <v>1.02615440426745</v>
      </c>
      <c r="D124" s="51" t="n">
        <f aca="false">1+IF($G$8=$E$8,$F$8,IF(R124&lt;($F$8-$E$8)/($G$8-$E$8),$E$8+SQRT(R124*($G$8-$E$8)*($F$8-$E$8)),$G$8-SQRT((1-R124)*($G$8-$E$8)*($G$8-$F$8))))</f>
        <v>1.0252807779436</v>
      </c>
      <c r="E124" s="51" t="n">
        <f aca="false">1+IF($G$9=$E$9,$F$9,IF(S124&lt;($F$9-$E$9)/($G$9-$E$9),$E$9+SQRT(S124*($G$9-$E$9)*($F$9-$E$9)),$G$9-SQRT((1-S124)*($G$9-$E$9)*($G$9-$F$9))))</f>
        <v>0.955056447138821</v>
      </c>
      <c r="F124" s="51" t="n">
        <f aca="false">1+IF($G$10=$E$10,$F$10,IF(T124&lt;($F$10-$E$10)/($G$10-$E$10),$E$10+SQRT(T124*($G$10-$E$10)*($F$10-$E$10)),$G$10-SQRT((1-T124)*($G$10-$E$10)*($G$10-$F$10))))</f>
        <v>1.04670859073738</v>
      </c>
      <c r="G124" s="52" t="n">
        <f aca="false">IF($G$11=$E$11,$F$11,IF(U124&lt;($F$11-$E$11)/($G$11-$E$11),$E$11+SQRT(U124*($G$11-$E$11)*($F$11-$E$11)),$G$11-SQRT((1-U124)*($G$11-$E$11)*($G$11-$F$11))))</f>
        <v>0.0973778995424813</v>
      </c>
      <c r="H124" s="53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-2093417181.47475</v>
      </c>
      <c r="I124" s="53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1155179.69065018</v>
      </c>
      <c r="J124" s="53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295508099.793328</v>
      </c>
      <c r="K124" s="53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642196449.432875</v>
      </c>
      <c r="L124" s="53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775459325.837201</v>
      </c>
      <c r="M124" s="53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968758125.87275</v>
      </c>
      <c r="N124" s="53" t="n">
        <f aca="false">IF(COUNT('Business Case'!B11:G11)=0,"",H124+NPV(G124,I124:M124))</f>
        <v>-217542834.080747</v>
      </c>
      <c r="P124" s="54" t="n">
        <f aca="true">RAND()</f>
        <v>0.552242955527476</v>
      </c>
      <c r="Q124" s="54" t="n">
        <f aca="true">RAND()</f>
        <v>0.772774346928139</v>
      </c>
      <c r="R124" s="54" t="n">
        <f aca="true">RAND()</f>
        <v>0.627802523685778</v>
      </c>
      <c r="S124" s="54" t="n">
        <f aca="true">RAND()</f>
        <v>0.12124849486199</v>
      </c>
      <c r="T124" s="54" t="n">
        <f aca="true">RAND()</f>
        <v>0.448968038933547</v>
      </c>
      <c r="U124" s="54" t="n">
        <f aca="true">RAND()</f>
        <v>0.301991392508571</v>
      </c>
    </row>
    <row r="125" customFormat="false" ht="15" hidden="false" customHeight="false" outlineLevel="0" collapsed="false">
      <c r="A125" s="50" t="n">
        <v>45</v>
      </c>
      <c r="B125" s="51" t="n">
        <f aca="false">1+IF($G$6=$E$6,$F$6,IF(P125&lt;($F$6-$E$6)/($G$6-$E$6),$E$6+SQRT(P125*($G$6-$E$6)*($F$6-$E$6)),$G$6-SQRT((1-P125)*($G$6-$E$6)*($G$6-$F$6))))</f>
        <v>0.980373078570948</v>
      </c>
      <c r="C125" s="51" t="n">
        <f aca="false">1+IF($G$7=$E$7,$F$7,IF(Q125&lt;($F$7-$E$7)/($G$7-$E$7),$E$7+SQRT(Q125*($G$7-$E$7)*($F$7-$E$7)),$G$7-SQRT((1-Q125)*($G$7-$E$7)*($G$7-$F$7))))</f>
        <v>0.856806692344943</v>
      </c>
      <c r="D125" s="51" t="n">
        <f aca="false">1+IF($G$8=$E$8,$F$8,IF(R125&lt;($F$8-$E$8)/($G$8-$E$8),$E$8+SQRT(R125*($G$8-$E$8)*($F$8-$E$8)),$G$8-SQRT((1-R125)*($G$8-$E$8)*($G$8-$F$8))))</f>
        <v>1.00799860880566</v>
      </c>
      <c r="E125" s="51" t="n">
        <f aca="false">1+IF($G$9=$E$9,$F$9,IF(S125&lt;($F$9-$E$9)/($G$9-$E$9),$E$9+SQRT(S125*($G$9-$E$9)*($F$9-$E$9)),$G$9-SQRT((1-S125)*($G$9-$E$9)*($G$9-$F$9))))</f>
        <v>0.989389784982525</v>
      </c>
      <c r="F125" s="51" t="n">
        <f aca="false">1+IF($G$10=$E$10,$F$10,IF(T125&lt;($F$10-$E$10)/($G$10-$E$10),$E$10+SQRT(T125*($G$10-$E$10)*($F$10-$E$10)),$G$10-SQRT((1-T125)*($G$10-$E$10)*($G$10-$F$10))))</f>
        <v>1.10374215967038</v>
      </c>
      <c r="G125" s="52" t="n">
        <f aca="false">IF($G$11=$E$11,$F$11,IF(U125&lt;($F$11-$E$11)/($G$11-$E$11),$E$11+SQRT(U125*($G$11-$E$11)*($F$11-$E$11)),$G$11-SQRT((1-U125)*($G$11-$E$11)*($G$11-$F$11))))</f>
        <v>0.0992922075327578</v>
      </c>
      <c r="H125" s="53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-2207484319.34076</v>
      </c>
      <c r="I125" s="53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-48722874.575809</v>
      </c>
      <c r="J125" s="53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197164786.970729</v>
      </c>
      <c r="K125" s="53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498239556.500787</v>
      </c>
      <c r="L125" s="53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609232172.170163</v>
      </c>
      <c r="M125" s="53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768897512.183076</v>
      </c>
      <c r="N125" s="53" t="n">
        <f aca="false">IF(COUNT('Business Case'!B11:G11)=0,"",H125+NPV(G125,I125:M125))</f>
        <v>-817441774.404168</v>
      </c>
      <c r="P125" s="54" t="n">
        <f aca="true">RAND()</f>
        <v>0.430655450598115</v>
      </c>
      <c r="Q125" s="54" t="n">
        <f aca="true">RAND()</f>
        <v>0.182135842697494</v>
      </c>
      <c r="R125" s="54" t="n">
        <f aca="true">RAND()</f>
        <v>0.435716267887036</v>
      </c>
      <c r="S125" s="54" t="n">
        <f aca="true">RAND()</f>
        <v>0.31962134636888</v>
      </c>
      <c r="T125" s="54" t="n">
        <f aca="true">RAND()</f>
        <v>0.714781921894865</v>
      </c>
      <c r="U125" s="54" t="n">
        <f aca="true">RAND()</f>
        <v>0.372189271486995</v>
      </c>
    </row>
    <row r="126" customFormat="false" ht="15" hidden="false" customHeight="false" outlineLevel="0" collapsed="false">
      <c r="A126" s="50" t="n">
        <v>46</v>
      </c>
      <c r="B126" s="51" t="n">
        <f aca="false">1+IF($G$6=$E$6,$F$6,IF(P126&lt;($F$6-$E$6)/($G$6-$E$6),$E$6+SQRT(P126*($G$6-$E$6)*($F$6-$E$6)),$G$6-SQRT((1-P126)*($G$6-$E$6)*($G$6-$F$6))))</f>
        <v>0.980864535541383</v>
      </c>
      <c r="C126" s="51" t="n">
        <f aca="false">1+IF($G$7=$E$7,$F$7,IF(Q126&lt;($F$7-$E$7)/($G$7-$E$7),$E$7+SQRT(Q126*($G$7-$E$7)*($F$7-$E$7)),$G$7-SQRT((1-Q126)*($G$7-$E$7)*($G$7-$F$7))))</f>
        <v>0.87847893146952</v>
      </c>
      <c r="D126" s="51" t="n">
        <f aca="false">1+IF($G$8=$E$8,$F$8,IF(R126&lt;($F$8-$E$8)/($G$8-$E$8),$E$8+SQRT(R126*($G$8-$E$8)*($F$8-$E$8)),$G$8-SQRT((1-R126)*($G$8-$E$8)*($G$8-$F$8))))</f>
        <v>1.07204041693825</v>
      </c>
      <c r="E126" s="51" t="n">
        <f aca="false">1+IF($G$9=$E$9,$F$9,IF(S126&lt;($F$9-$E$9)/($G$9-$E$9),$E$9+SQRT(S126*($G$9-$E$9)*($F$9-$E$9)),$G$9-SQRT((1-S126)*($G$9-$E$9)*($G$9-$F$9))))</f>
        <v>0.936830124514646</v>
      </c>
      <c r="F126" s="51" t="n">
        <f aca="false">1+IF($G$10=$E$10,$F$10,IF(T126&lt;($F$10-$E$10)/($G$10-$E$10),$E$10+SQRT(T126*($G$10-$E$10)*($F$10-$E$10)),$G$10-SQRT((1-T126)*($G$10-$E$10)*($G$10-$F$10))))</f>
        <v>1.06648510627215</v>
      </c>
      <c r="G126" s="52" t="n">
        <f aca="false">IF($G$11=$E$11,$F$11,IF(U126&lt;($F$11-$E$11)/($G$11-$E$11),$E$11+SQRT(U126*($G$11-$E$11)*($F$11-$E$11)),$G$11-SQRT((1-U126)*($G$11-$E$11)*($G$11-$F$11))))</f>
        <v>0.108630528858397</v>
      </c>
      <c r="H126" s="53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-2132970212.54429</v>
      </c>
      <c r="I126" s="53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-60874153.074108</v>
      </c>
      <c r="J126" s="53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162786360.28546</v>
      </c>
      <c r="K126" s="53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439771128.958635</v>
      </c>
      <c r="L126" s="53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544103908.145476</v>
      </c>
      <c r="M126" s="53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707889919.180565</v>
      </c>
      <c r="N126" s="53" t="n">
        <f aca="false">IF(COUNT('Business Case'!B11:G11)=0,"",H126+NPV(G126,I126:M126))</f>
        <v>-949790187.393744</v>
      </c>
      <c r="P126" s="54" t="n">
        <f aca="true">RAND()</f>
        <v>0.435938207221576</v>
      </c>
      <c r="Q126" s="54" t="n">
        <f aca="true">RAND()</f>
        <v>0.235960955396307</v>
      </c>
      <c r="R126" s="54" t="n">
        <f aca="true">RAND()</f>
        <v>0.947884114334195</v>
      </c>
      <c r="S126" s="54" t="n">
        <f aca="true">RAND()</f>
        <v>0.0542583228705721</v>
      </c>
      <c r="T126" s="54" t="n">
        <f aca="true">RAND()</f>
        <v>0.550963783734057</v>
      </c>
      <c r="U126" s="54" t="n">
        <f aca="true">RAND()</f>
        <v>0.695563802085476</v>
      </c>
    </row>
    <row r="127" customFormat="false" ht="15" hidden="false" customHeight="false" outlineLevel="0" collapsed="false">
      <c r="A127" s="50" t="n">
        <v>47</v>
      </c>
      <c r="B127" s="51" t="n">
        <f aca="false">1+IF($G$6=$E$6,$F$6,IF(P127&lt;($F$6-$E$6)/($G$6-$E$6),$E$6+SQRT(P127*($G$6-$E$6)*($F$6-$E$6)),$G$6-SQRT((1-P127)*($G$6-$E$6)*($G$6-$F$6))))</f>
        <v>1.01122342513141</v>
      </c>
      <c r="C127" s="51" t="n">
        <f aca="false">1+IF($G$7=$E$7,$F$7,IF(Q127&lt;($F$7-$E$7)/($G$7-$E$7),$E$7+SQRT(Q127*($G$7-$E$7)*($F$7-$E$7)),$G$7-SQRT((1-Q127)*($G$7-$E$7)*($G$7-$F$7))))</f>
        <v>1.00317588870654</v>
      </c>
      <c r="D127" s="51" t="n">
        <f aca="false">1+IF($G$8=$E$8,$F$8,IF(R127&lt;($F$8-$E$8)/($G$8-$E$8),$E$8+SQRT(R127*($G$8-$E$8)*($F$8-$E$8)),$G$8-SQRT((1-R127)*($G$8-$E$8)*($G$8-$F$8))))</f>
        <v>1.06922446518791</v>
      </c>
      <c r="E127" s="51" t="n">
        <f aca="false">1+IF($G$9=$E$9,$F$9,IF(S127&lt;($F$9-$E$9)/($G$9-$E$9),$E$9+SQRT(S127*($G$9-$E$9)*($F$9-$E$9)),$G$9-SQRT((1-S127)*($G$9-$E$9)*($G$9-$F$9))))</f>
        <v>0.920148859693271</v>
      </c>
      <c r="F127" s="51" t="n">
        <f aca="false">1+IF($G$10=$E$10,$F$10,IF(T127&lt;($F$10-$E$10)/($G$10-$E$10),$E$10+SQRT(T127*($G$10-$E$10)*($F$10-$E$10)),$G$10-SQRT((1-T127)*($G$10-$E$10)*($G$10-$F$10))))</f>
        <v>1.04728391615451</v>
      </c>
      <c r="G127" s="52" t="n">
        <f aca="false">IF($G$11=$E$11,$F$11,IF(U127&lt;($F$11-$E$11)/($G$11-$E$11),$E$11+SQRT(U127*($G$11-$E$11)*($F$11-$E$11)),$G$11-SQRT((1-U127)*($G$11-$E$11)*($G$11-$F$11))))</f>
        <v>0.101817179827553</v>
      </c>
      <c r="H127" s="53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-2094567832.30901</v>
      </c>
      <c r="I127" s="53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-6362331.99072807</v>
      </c>
      <c r="J127" s="53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275437203.714796</v>
      </c>
      <c r="K127" s="53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609600935.228045</v>
      </c>
      <c r="L127" s="53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738592985.951498</v>
      </c>
      <c r="M127" s="53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931416782.803698</v>
      </c>
      <c r="N127" s="53" t="n">
        <f aca="false">IF(COUNT('Business Case'!B11:G11)=0,"",H127+NPV(G127,I127:M127))</f>
        <v>-342986269.824129</v>
      </c>
      <c r="P127" s="54" t="n">
        <f aca="true">RAND()</f>
        <v>0.799516965528092</v>
      </c>
      <c r="Q127" s="54" t="n">
        <f aca="true">RAND()</f>
        <v>0.680632301376102</v>
      </c>
      <c r="R127" s="54" t="n">
        <f aca="true">RAND()</f>
        <v>0.936857763801988</v>
      </c>
      <c r="S127" s="54" t="n">
        <f aca="true">RAND()</f>
        <v>0.0162390618775642</v>
      </c>
      <c r="T127" s="54" t="n">
        <f aca="true">RAND()</f>
        <v>0.452082524671283</v>
      </c>
      <c r="U127" s="54" t="n">
        <f aca="true">RAND()</f>
        <v>0.470485764751687</v>
      </c>
    </row>
    <row r="128" customFormat="false" ht="15" hidden="false" customHeight="false" outlineLevel="0" collapsed="false">
      <c r="A128" s="50" t="n">
        <v>48</v>
      </c>
      <c r="B128" s="51" t="n">
        <f aca="false">1+IF($G$6=$E$6,$F$6,IF(P128&lt;($F$6-$E$6)/($G$6-$E$6),$E$6+SQRT(P128*($G$6-$E$6)*($F$6-$E$6)),$G$6-SQRT((1-P128)*($G$6-$E$6)*($G$6-$F$6))))</f>
        <v>1.02742696129072</v>
      </c>
      <c r="C128" s="51" t="n">
        <f aca="false">1+IF($G$7=$E$7,$F$7,IF(Q128&lt;($F$7-$E$7)/($G$7-$E$7),$E$7+SQRT(Q128*($G$7-$E$7)*($F$7-$E$7)),$G$7-SQRT((1-Q128)*($G$7-$E$7)*($G$7-$F$7))))</f>
        <v>0.960565529846607</v>
      </c>
      <c r="D128" s="51" t="n">
        <f aca="false">1+IF($G$8=$E$8,$F$8,IF(R128&lt;($F$8-$E$8)/($G$8-$E$8),$E$8+SQRT(R128*($G$8-$E$8)*($F$8-$E$8)),$G$8-SQRT((1-R128)*($G$8-$E$8)*($G$8-$F$8))))</f>
        <v>1.01039311519326</v>
      </c>
      <c r="E128" s="51" t="n">
        <f aca="false">1+IF($G$9=$E$9,$F$9,IF(S128&lt;($F$9-$E$9)/($G$9-$E$9),$E$9+SQRT(S128*($G$9-$E$9)*($F$9-$E$9)),$G$9-SQRT((1-S128)*($G$9-$E$9)*($G$9-$F$9))))</f>
        <v>1.04609896395081</v>
      </c>
      <c r="F128" s="51" t="n">
        <f aca="false">1+IF($G$10=$E$10,$F$10,IF(T128&lt;($F$10-$E$10)/($G$10-$E$10),$E$10+SQRT(T128*($G$10-$E$10)*($F$10-$E$10)),$G$10-SQRT((1-T128)*($G$10-$E$10)*($G$10-$F$10))))</f>
        <v>0.999775563945948</v>
      </c>
      <c r="G128" s="52" t="n">
        <f aca="false">IF($G$11=$E$11,$F$11,IF(U128&lt;($F$11-$E$11)/($G$11-$E$11),$E$11+SQRT(U128*($G$11-$E$11)*($F$11-$E$11)),$G$11-SQRT((1-U128)*($G$11-$E$11)*($G$11-$F$11))))</f>
        <v>0.0958152066342538</v>
      </c>
      <c r="H128" s="53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-1999551127.8919</v>
      </c>
      <c r="I128" s="53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11613471.8554557</v>
      </c>
      <c r="J128" s="53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323121235.051006</v>
      </c>
      <c r="K128" s="53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684617776.443854</v>
      </c>
      <c r="L128" s="53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822561339.023501</v>
      </c>
      <c r="M128" s="53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1010153367.35305</v>
      </c>
      <c r="N128" s="53" t="n">
        <f aca="false">IF(COUNT('Business Case'!B11:G11)=0,"",H128+NPV(G128,I128:M128))</f>
        <v>10157596.0657682</v>
      </c>
      <c r="P128" s="54" t="n">
        <f aca="true">RAND()</f>
        <v>0.932061056457222</v>
      </c>
      <c r="Q128" s="54" t="n">
        <f aca="true">RAND()</f>
        <v>0.502921446994393</v>
      </c>
      <c r="R128" s="54" t="n">
        <f aca="true">RAND()</f>
        <v>0.464707079682053</v>
      </c>
      <c r="S128" s="54" t="n">
        <f aca="true">RAND()</f>
        <v>0.71212199221078</v>
      </c>
      <c r="T128" s="54" t="n">
        <f aca="true">RAND()</f>
        <v>0.165173784409142</v>
      </c>
      <c r="U128" s="54" t="n">
        <f aca="true">RAND()</f>
        <v>0.250120760884145</v>
      </c>
    </row>
    <row r="129" customFormat="false" ht="15" hidden="false" customHeight="false" outlineLevel="0" collapsed="false">
      <c r="A129" s="50" t="n">
        <v>49</v>
      </c>
      <c r="B129" s="51" t="n">
        <f aca="false">1+IF($G$6=$E$6,$F$6,IF(P129&lt;($F$6-$E$6)/($G$6-$E$6),$E$6+SQRT(P129*($G$6-$E$6)*($F$6-$E$6)),$G$6-SQRT((1-P129)*($G$6-$E$6)*($G$6-$F$6))))</f>
        <v>0.995802854551138</v>
      </c>
      <c r="C129" s="51" t="n">
        <f aca="false">1+IF($G$7=$E$7,$F$7,IF(Q129&lt;($F$7-$E$7)/($G$7-$E$7),$E$7+SQRT(Q129*($G$7-$E$7)*($F$7-$E$7)),$G$7-SQRT((1-Q129)*($G$7-$E$7)*($G$7-$F$7))))</f>
        <v>1.02662187635969</v>
      </c>
      <c r="D129" s="51" t="n">
        <f aca="false">1+IF($G$8=$E$8,$F$8,IF(R129&lt;($F$8-$E$8)/($G$8-$E$8),$E$8+SQRT(R129*($G$8-$E$8)*($F$8-$E$8)),$G$8-SQRT((1-R129)*($G$8-$E$8)*($G$8-$F$8))))</f>
        <v>1.0160949431504</v>
      </c>
      <c r="E129" s="51" t="n">
        <f aca="false">1+IF($G$9=$E$9,$F$9,IF(S129&lt;($F$9-$E$9)/($G$9-$E$9),$E$9+SQRT(S129*($G$9-$E$9)*($F$9-$E$9)),$G$9-SQRT((1-S129)*($G$9-$E$9)*($G$9-$F$9))))</f>
        <v>1.05267705106581</v>
      </c>
      <c r="F129" s="51" t="n">
        <f aca="false">1+IF($G$10=$E$10,$F$10,IF(T129&lt;($F$10-$E$10)/($G$10-$E$10),$E$10+SQRT(T129*($G$10-$E$10)*($F$10-$E$10)),$G$10-SQRT((1-T129)*($G$10-$E$10)*($G$10-$F$10))))</f>
        <v>1.16184235081993</v>
      </c>
      <c r="G129" s="52" t="n">
        <f aca="false">IF($G$11=$E$11,$F$11,IF(U129&lt;($F$11-$E$11)/($G$11-$E$11),$E$11+SQRT(U129*($G$11-$E$11)*($F$11-$E$11)),$G$11-SQRT((1-U129)*($G$11-$E$11)*($G$11-$F$11))))</f>
        <v>0.106800849194686</v>
      </c>
      <c r="H129" s="53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-2323684701.63986</v>
      </c>
      <c r="I129" s="53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-15530608.4353063</v>
      </c>
      <c r="J129" s="53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287810400.534963</v>
      </c>
      <c r="K129" s="53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649243527.046229</v>
      </c>
      <c r="L129" s="53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785688333.811002</v>
      </c>
      <c r="M129" s="53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980009587.905094</v>
      </c>
      <c r="N129" s="53" t="n">
        <f aca="false">IF(COUNT('Business Case'!B11:G11)=0,"",H129+NPV(G129,I129:M129))</f>
        <v>-510312222.419723</v>
      </c>
      <c r="P129" s="54" t="n">
        <f aca="true">RAND()</f>
        <v>0.611879129343105</v>
      </c>
      <c r="Q129" s="54" t="n">
        <f aca="true">RAND()</f>
        <v>0.77448649788144</v>
      </c>
      <c r="R129" s="54" t="n">
        <f aca="true">RAND()</f>
        <v>0.530662762337733</v>
      </c>
      <c r="S129" s="54" t="n">
        <f aca="true">RAND()</f>
        <v>0.747419829620081</v>
      </c>
      <c r="T129" s="54" t="n">
        <f aca="true">RAND()</f>
        <v>0.896376385213912</v>
      </c>
      <c r="U129" s="54" t="n">
        <f aca="true">RAND()</f>
        <v>0.641199601274864</v>
      </c>
    </row>
    <row r="130" customFormat="false" ht="15" hidden="false" customHeight="false" outlineLevel="0" collapsed="false">
      <c r="A130" s="50" t="n">
        <v>50</v>
      </c>
      <c r="B130" s="51" t="n">
        <f aca="false">1+IF($G$6=$E$6,$F$6,IF(P130&lt;($F$6-$E$6)/($G$6-$E$6),$E$6+SQRT(P130*($G$6-$E$6)*($F$6-$E$6)),$G$6-SQRT((1-P130)*($G$6-$E$6)*($G$6-$F$6))))</f>
        <v>0.967615821286389</v>
      </c>
      <c r="C130" s="51" t="n">
        <f aca="false">1+IF($G$7=$E$7,$F$7,IF(Q130&lt;($F$7-$E$7)/($G$7-$E$7),$E$7+SQRT(Q130*($G$7-$E$7)*($F$7-$E$7)),$G$7-SQRT((1-Q130)*($G$7-$E$7)*($G$7-$F$7))))</f>
        <v>1.05922912659215</v>
      </c>
      <c r="D130" s="51" t="n">
        <f aca="false">1+IF($G$8=$E$8,$F$8,IF(R130&lt;($F$8-$E$8)/($G$8-$E$8),$E$8+SQRT(R130*($G$8-$E$8)*($F$8-$E$8)),$G$8-SQRT((1-R130)*($G$8-$E$8)*($G$8-$F$8))))</f>
        <v>0.956322855015434</v>
      </c>
      <c r="E130" s="51" t="n">
        <f aca="false">1+IF($G$9=$E$9,$F$9,IF(S130&lt;($F$9-$E$9)/($G$9-$E$9),$E$9+SQRT(S130*($G$9-$E$9)*($F$9-$E$9)),$G$9-SQRT((1-S130)*($G$9-$E$9)*($G$9-$F$9))))</f>
        <v>1.04563949016642</v>
      </c>
      <c r="F130" s="51" t="n">
        <f aca="false">1+IF($G$10=$E$10,$F$10,IF(T130&lt;($F$10-$E$10)/($G$10-$E$10),$E$10+SQRT(T130*($G$10-$E$10)*($F$10-$E$10)),$G$10-SQRT((1-T130)*($G$10-$E$10)*($G$10-$F$10))))</f>
        <v>1.10554495338946</v>
      </c>
      <c r="G130" s="52" t="n">
        <f aca="false">IF($G$11=$E$11,$F$11,IF(U130&lt;($F$11-$E$11)/($G$11-$E$11),$E$11+SQRT(U130*($G$11-$E$11)*($F$11-$E$11)),$G$11-SQRT((1-U130)*($G$11-$E$11)*($G$11-$F$11))))</f>
        <v>0.0931719508759728</v>
      </c>
      <c r="H130" s="53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-2211089906.77893</v>
      </c>
      <c r="I130" s="53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8555200.4792763</v>
      </c>
      <c r="J130" s="53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329487040.286775</v>
      </c>
      <c r="K130" s="53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705696127.763747</v>
      </c>
      <c r="L130" s="53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848094880.024653</v>
      </c>
      <c r="M130" s="53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1042912977.81256</v>
      </c>
      <c r="N130" s="53" t="n">
        <f aca="false">IF(COUNT('Business Case'!B11:G11)=0,"",H130+NPV(G130,I130:M130))</f>
        <v>-125437343.216312</v>
      </c>
      <c r="P130" s="54" t="n">
        <f aca="true">RAND()</f>
        <v>0.304793285882192</v>
      </c>
      <c r="Q130" s="54" t="n">
        <f aca="true">RAND()</f>
        <v>0.877935533937425</v>
      </c>
      <c r="R130" s="54" t="n">
        <f aca="true">RAND()</f>
        <v>0.00533046607282563</v>
      </c>
      <c r="S130" s="54" t="n">
        <f aca="true">RAND()</f>
        <v>0.709570239660666</v>
      </c>
      <c r="T130" s="54" t="n">
        <f aca="true">RAND()</f>
        <v>0.721769860116637</v>
      </c>
      <c r="U130" s="54" t="n">
        <f aca="true">RAND()</f>
        <v>0.173500289879041</v>
      </c>
    </row>
    <row r="131" customFormat="false" ht="15" hidden="false" customHeight="false" outlineLevel="0" collapsed="false">
      <c r="A131" s="50" t="n">
        <v>51</v>
      </c>
      <c r="B131" s="51" t="n">
        <f aca="false">1+IF($G$6=$E$6,$F$6,IF(P131&lt;($F$6-$E$6)/($G$6-$E$6),$E$6+SQRT(P131*($G$6-$E$6)*($F$6-$E$6)),$G$6-SQRT((1-P131)*($G$6-$E$6)*($G$6-$F$6))))</f>
        <v>0.971125470633929</v>
      </c>
      <c r="C131" s="51" t="n">
        <f aca="false">1+IF($G$7=$E$7,$F$7,IF(Q131&lt;($F$7-$E$7)/($G$7-$E$7),$E$7+SQRT(Q131*($G$7-$E$7)*($F$7-$E$7)),$G$7-SQRT((1-Q131)*($G$7-$E$7)*($G$7-$F$7))))</f>
        <v>0.960449137544535</v>
      </c>
      <c r="D131" s="51" t="n">
        <f aca="false">1+IF($G$8=$E$8,$F$8,IF(R131&lt;($F$8-$E$8)/($G$8-$E$8),$E$8+SQRT(R131*($G$8-$E$8)*($F$8-$E$8)),$G$8-SQRT((1-R131)*($G$8-$E$8)*($G$8-$F$8))))</f>
        <v>1.02038600076473</v>
      </c>
      <c r="E131" s="51" t="n">
        <f aca="false">1+IF($G$9=$E$9,$F$9,IF(S131&lt;($F$9-$E$9)/($G$9-$E$9),$E$9+SQRT(S131*($G$9-$E$9)*($F$9-$E$9)),$G$9-SQRT((1-S131)*($G$9-$E$9)*($G$9-$F$9))))</f>
        <v>1.03626148008271</v>
      </c>
      <c r="F131" s="51" t="n">
        <f aca="false">1+IF($G$10=$E$10,$F$10,IF(T131&lt;($F$10-$E$10)/($G$10-$E$10),$E$10+SQRT(T131*($G$10-$E$10)*($F$10-$E$10)),$G$10-SQRT((1-T131)*($G$10-$E$10)*($G$10-$F$10))))</f>
        <v>1.08968833425709</v>
      </c>
      <c r="G131" s="52" t="n">
        <f aca="false">IF($G$11=$E$11,$F$11,IF(U131&lt;($F$11-$E$11)/($G$11-$E$11),$E$11+SQRT(U131*($G$11-$E$11)*($F$11-$E$11)),$G$11-SQRT((1-U131)*($G$11-$E$11)*($G$11-$F$11))))</f>
        <v>0.0897935541955726</v>
      </c>
      <c r="H131" s="53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-2179376668.51418</v>
      </c>
      <c r="I131" s="53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-42411548.6897545</v>
      </c>
      <c r="J131" s="53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219854148.131977</v>
      </c>
      <c r="K131" s="53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536604261.666562</v>
      </c>
      <c r="L131" s="53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656260847.019149</v>
      </c>
      <c r="M131" s="53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833551622.285206</v>
      </c>
      <c r="N131" s="53" t="n">
        <f aca="false">IF(COUNT('Business Case'!B11:G11)=0,"",H131+NPV(G131,I131:M131))</f>
        <v>-611055486.977587</v>
      </c>
      <c r="P131" s="54" t="n">
        <f aca="true">RAND()</f>
        <v>0.337255504859862</v>
      </c>
      <c r="Q131" s="54" t="n">
        <f aca="true">RAND()</f>
        <v>0.502472246279203</v>
      </c>
      <c r="R131" s="54" t="n">
        <f aca="true">RAND()</f>
        <v>0.577440741717711</v>
      </c>
      <c r="S131" s="54" t="n">
        <f aca="true">RAND()</f>
        <v>0.655027975653983</v>
      </c>
      <c r="T131" s="54" t="n">
        <f aca="true">RAND()</f>
        <v>0.657335597689771</v>
      </c>
      <c r="U131" s="54" t="n">
        <f aca="true">RAND()</f>
        <v>0.0959137037816168</v>
      </c>
    </row>
    <row r="132" customFormat="false" ht="15" hidden="false" customHeight="false" outlineLevel="0" collapsed="false">
      <c r="A132" s="50" t="n">
        <v>52</v>
      </c>
      <c r="B132" s="51" t="n">
        <f aca="false">1+IF($G$6=$E$6,$F$6,IF(P132&lt;($F$6-$E$6)/($G$6-$E$6),$E$6+SQRT(P132*($G$6-$E$6)*($F$6-$E$6)),$G$6-SQRT((1-P132)*($G$6-$E$6)*($G$6-$F$6))))</f>
        <v>0.979949547121397</v>
      </c>
      <c r="C132" s="51" t="n">
        <f aca="false">1+IF($G$7=$E$7,$F$7,IF(Q132&lt;($F$7-$E$7)/($G$7-$E$7),$E$7+SQRT(Q132*($G$7-$E$7)*($F$7-$E$7)),$G$7-SQRT((1-Q132)*($G$7-$E$7)*($G$7-$F$7))))</f>
        <v>0.893782626283615</v>
      </c>
      <c r="D132" s="51" t="n">
        <f aca="false">1+IF($G$8=$E$8,$F$8,IF(R132&lt;($F$8-$E$8)/($G$8-$E$8),$E$8+SQRT(R132*($G$8-$E$8)*($F$8-$E$8)),$G$8-SQRT((1-R132)*($G$8-$E$8)*($G$8-$F$8))))</f>
        <v>1.05230564116826</v>
      </c>
      <c r="E132" s="51" t="n">
        <f aca="false">1+IF($G$9=$E$9,$F$9,IF(S132&lt;($F$9-$E$9)/($G$9-$E$9),$E$9+SQRT(S132*($G$9-$E$9)*($F$9-$E$9)),$G$9-SQRT((1-S132)*($G$9-$E$9)*($G$9-$F$9))))</f>
        <v>1.09192244391291</v>
      </c>
      <c r="F132" s="51" t="n">
        <f aca="false">1+IF($G$10=$E$10,$F$10,IF(T132&lt;($F$10-$E$10)/($G$10-$E$10),$E$10+SQRT(T132*($G$10-$E$10)*($F$10-$E$10)),$G$10-SQRT((1-T132)*($G$10-$E$10)*($G$10-$F$10))))</f>
        <v>1.1638144527487</v>
      </c>
      <c r="G132" s="52" t="n">
        <f aca="false">IF($G$11=$E$11,$F$11,IF(U132&lt;($F$11-$E$11)/($G$11-$E$11),$E$11+SQRT(U132*($G$11-$E$11)*($F$11-$E$11)),$G$11-SQRT((1-U132)*($G$11-$E$11)*($G$11-$F$11))))</f>
        <v>0.0900625692291568</v>
      </c>
      <c r="H132" s="53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-2327628905.49739</v>
      </c>
      <c r="I132" s="53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-81140952.2006256</v>
      </c>
      <c r="J132" s="53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154775592.249541</v>
      </c>
      <c r="K132" s="53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448882859.337143</v>
      </c>
      <c r="L132" s="53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557791494.05487</v>
      </c>
      <c r="M132" s="53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724275320.177063</v>
      </c>
      <c r="N132" s="53" t="n">
        <f aca="false">IF(COUNT('Business Case'!B11:G11)=0,"",H132+NPV(G132,I132:M132))</f>
        <v>-1059592046.19285</v>
      </c>
      <c r="P132" s="54" t="n">
        <f aca="true">RAND()</f>
        <v>0.426128672327759</v>
      </c>
      <c r="Q132" s="54" t="n">
        <f aca="true">RAND()</f>
        <v>0.278160787032408</v>
      </c>
      <c r="R132" s="54" t="n">
        <f aca="true">RAND()</f>
        <v>0.848349875708618</v>
      </c>
      <c r="S132" s="54" t="n">
        <f aca="true">RAND()</f>
        <v>0.910053266105364</v>
      </c>
      <c r="T132" s="54" t="n">
        <f aca="true">RAND()</f>
        <v>0.900960685933243</v>
      </c>
      <c r="U132" s="54" t="n">
        <f aca="true">RAND()</f>
        <v>0.101255299491573</v>
      </c>
    </row>
    <row r="133" customFormat="false" ht="15" hidden="false" customHeight="false" outlineLevel="0" collapsed="false">
      <c r="A133" s="50" t="n">
        <v>53</v>
      </c>
      <c r="B133" s="51" t="n">
        <f aca="false">1+IF($G$6=$E$6,$F$6,IF(P133&lt;($F$6-$E$6)/($G$6-$E$6),$E$6+SQRT(P133*($G$6-$E$6)*($F$6-$E$6)),$G$6-SQRT((1-P133)*($G$6-$E$6)*($G$6-$F$6))))</f>
        <v>1.01827151316984</v>
      </c>
      <c r="C133" s="51" t="n">
        <f aca="false">1+IF($G$7=$E$7,$F$7,IF(Q133&lt;($F$7-$E$7)/($G$7-$E$7),$E$7+SQRT(Q133*($G$7-$E$7)*($F$7-$E$7)),$G$7-SQRT((1-Q133)*($G$7-$E$7)*($G$7-$F$7))))</f>
        <v>0.942861614896275</v>
      </c>
      <c r="D133" s="51" t="n">
        <f aca="false">1+IF($G$8=$E$8,$F$8,IF(R133&lt;($F$8-$E$8)/($G$8-$E$8),$E$8+SQRT(R133*($G$8-$E$8)*($F$8-$E$8)),$G$8-SQRT((1-R133)*($G$8-$E$8)*($G$8-$F$8))))</f>
        <v>0.98874596948162</v>
      </c>
      <c r="E133" s="51" t="n">
        <f aca="false">1+IF($G$9=$E$9,$F$9,IF(S133&lt;($F$9-$E$9)/($G$9-$E$9),$E$9+SQRT(S133*($G$9-$E$9)*($F$9-$E$9)),$G$9-SQRT((1-S133)*($G$9-$E$9)*($G$9-$F$9))))</f>
        <v>1.00010187762406</v>
      </c>
      <c r="F133" s="51" t="n">
        <f aca="false">1+IF($G$10=$E$10,$F$10,IF(T133&lt;($F$10-$E$10)/($G$10-$E$10),$E$10+SQRT(T133*($G$10-$E$10)*($F$10-$E$10)),$G$10-SQRT((1-T133)*($G$10-$E$10)*($G$10-$F$10))))</f>
        <v>1.05818877503342</v>
      </c>
      <c r="G133" s="52" t="n">
        <f aca="false">IF($G$11=$E$11,$F$11,IF(U133&lt;($F$11-$E$11)/($G$11-$E$11),$E$11+SQRT(U133*($G$11-$E$11)*($F$11-$E$11)),$G$11-SQRT((1-U133)*($G$11-$E$11)*($G$11-$F$11))))</f>
        <v>0.0991048558253092</v>
      </c>
      <c r="H133" s="53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-2116377550.06683</v>
      </c>
      <c r="I133" s="53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11339995.5918597</v>
      </c>
      <c r="J133" s="53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320484375.837604</v>
      </c>
      <c r="K133" s="53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682538194.835018</v>
      </c>
      <c r="L133" s="53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818767001.6852</v>
      </c>
      <c r="M133" s="53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1001260742.244</v>
      </c>
      <c r="N133" s="53" t="n">
        <f aca="false">IF(COUNT('Business Case'!B11:G11)=0,"",H133+NPV(G133,I133:M133))</f>
        <v>-141417492.942134</v>
      </c>
      <c r="P133" s="54" t="n">
        <f aca="true">RAND()</f>
        <v>0.865773749795818</v>
      </c>
      <c r="Q133" s="54" t="n">
        <f aca="true">RAND()</f>
        <v>0.436901955481677</v>
      </c>
      <c r="R133" s="54" t="n">
        <f aca="true">RAND()</f>
        <v>0.200166686809418</v>
      </c>
      <c r="S133" s="54" t="n">
        <f aca="true">RAND()</f>
        <v>0.40081474421784</v>
      </c>
      <c r="T133" s="54" t="n">
        <f aca="true">RAND()</f>
        <v>0.50944605302425</v>
      </c>
      <c r="U133" s="54" t="n">
        <f aca="true">RAND()</f>
        <v>0.364995516105849</v>
      </c>
    </row>
    <row r="134" customFormat="false" ht="15" hidden="false" customHeight="false" outlineLevel="0" collapsed="false">
      <c r="A134" s="50" t="n">
        <v>54</v>
      </c>
      <c r="B134" s="51" t="n">
        <f aca="false">1+IF($G$6=$E$6,$F$6,IF(P134&lt;($F$6-$E$6)/($G$6-$E$6),$E$6+SQRT(P134*($G$6-$E$6)*($F$6-$E$6)),$G$6-SQRT((1-P134)*($G$6-$E$6)*($G$6-$F$6))))</f>
        <v>0.980884993289227</v>
      </c>
      <c r="C134" s="51" t="n">
        <f aca="false">1+IF($G$7=$E$7,$F$7,IF(Q134&lt;($F$7-$E$7)/($G$7-$E$7),$E$7+SQRT(Q134*($G$7-$E$7)*($F$7-$E$7)),$G$7-SQRT((1-Q134)*($G$7-$E$7)*($G$7-$F$7))))</f>
        <v>1.08116227670945</v>
      </c>
      <c r="D134" s="51" t="n">
        <f aca="false">1+IF($G$8=$E$8,$F$8,IF(R134&lt;($F$8-$E$8)/($G$8-$E$8),$E$8+SQRT(R134*($G$8-$E$8)*($F$8-$E$8)),$G$8-SQRT((1-R134)*($G$8-$E$8)*($G$8-$F$8))))</f>
        <v>1.04117666756684</v>
      </c>
      <c r="E134" s="51" t="n">
        <f aca="false">1+IF($G$9=$E$9,$F$9,IF(S134&lt;($F$9-$E$9)/($G$9-$E$9),$E$9+SQRT(S134*($G$9-$E$9)*($F$9-$E$9)),$G$9-SQRT((1-S134)*($G$9-$E$9)*($G$9-$F$9))))</f>
        <v>1.01530025659711</v>
      </c>
      <c r="F134" s="51" t="n">
        <f aca="false">1+IF($G$10=$E$10,$F$10,IF(T134&lt;($F$10-$E$10)/($G$10-$E$10),$E$10+SQRT(T134*($G$10-$E$10)*($F$10-$E$10)),$G$10-SQRT((1-T134)*($G$10-$E$10)*($G$10-$F$10))))</f>
        <v>1.19393962708944</v>
      </c>
      <c r="G134" s="52" t="n">
        <f aca="false">IF($G$11=$E$11,$F$11,IF(U134&lt;($F$11-$E$11)/($G$11-$E$11),$E$11+SQRT(U134*($G$11-$E$11)*($F$11-$E$11)),$G$11-SQRT((1-U134)*($G$11-$E$11)*($G$11-$F$11))))</f>
        <v>0.11482124091011</v>
      </c>
      <c r="H134" s="53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-2387879254.17888</v>
      </c>
      <c r="I134" s="53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-26381890.2082527</v>
      </c>
      <c r="J134" s="53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265981983.775947</v>
      </c>
      <c r="K134" s="53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618042839.114619</v>
      </c>
      <c r="L134" s="53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752148200.439618</v>
      </c>
      <c r="M134" s="53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953727252.089416</v>
      </c>
      <c r="N134" s="53" t="n">
        <f aca="false">IF(COUNT('Business Case'!B11:G11)=0,"",H134+NPV(G134,I134:M134))</f>
        <v>-710654941.781005</v>
      </c>
      <c r="P134" s="54" t="n">
        <f aca="true">RAND()</f>
        <v>0.436158809293221</v>
      </c>
      <c r="Q134" s="54" t="n">
        <f aca="true">RAND()</f>
        <v>0.929798042254415</v>
      </c>
      <c r="R134" s="54" t="n">
        <f aca="true">RAND()</f>
        <v>0.769321037430533</v>
      </c>
      <c r="S134" s="54" t="n">
        <f aca="true">RAND()</f>
        <v>0.51615944339189</v>
      </c>
      <c r="T134" s="54" t="n">
        <f aca="true">RAND()</f>
        <v>0.958096461188385</v>
      </c>
      <c r="U134" s="54" t="n">
        <f aca="true">RAND()</f>
        <v>0.846403514994052</v>
      </c>
    </row>
    <row r="135" customFormat="false" ht="15" hidden="false" customHeight="false" outlineLevel="0" collapsed="false">
      <c r="A135" s="50" t="n">
        <v>55</v>
      </c>
      <c r="B135" s="51" t="n">
        <f aca="false">1+IF($G$6=$E$6,$F$6,IF(P135&lt;($F$6-$E$6)/($G$6-$E$6),$E$6+SQRT(P135*($G$6-$E$6)*($F$6-$E$6)),$G$6-SQRT((1-P135)*($G$6-$E$6)*($G$6-$F$6))))</f>
        <v>0.94979712283419</v>
      </c>
      <c r="C135" s="51" t="n">
        <f aca="false">1+IF($G$7=$E$7,$F$7,IF(Q135&lt;($F$7-$E$7)/($G$7-$E$7),$E$7+SQRT(Q135*($G$7-$E$7)*($F$7-$E$7)),$G$7-SQRT((1-Q135)*($G$7-$E$7)*($G$7-$F$7))))</f>
        <v>0.987952765774093</v>
      </c>
      <c r="D135" s="51" t="n">
        <f aca="false">1+IF($G$8=$E$8,$F$8,IF(R135&lt;($F$8-$E$8)/($G$8-$E$8),$E$8+SQRT(R135*($G$8-$E$8)*($F$8-$E$8)),$G$8-SQRT((1-R135)*($G$8-$E$8)*($G$8-$F$8))))</f>
        <v>0.999081439692323</v>
      </c>
      <c r="E135" s="51" t="n">
        <f aca="false">1+IF($G$9=$E$9,$F$9,IF(S135&lt;($F$9-$E$9)/($G$9-$E$9),$E$9+SQRT(S135*($G$9-$E$9)*($F$9-$E$9)),$G$9-SQRT((1-S135)*($G$9-$E$9)*($G$9-$F$9))))</f>
        <v>0.972964355108089</v>
      </c>
      <c r="F135" s="51" t="n">
        <f aca="false">1+IF($G$10=$E$10,$F$10,IF(T135&lt;($F$10-$E$10)/($G$10-$E$10),$E$10+SQRT(T135*($G$10-$E$10)*($F$10-$E$10)),$G$10-SQRT((1-T135)*($G$10-$E$10)*($G$10-$F$10))))</f>
        <v>1.09401809001562</v>
      </c>
      <c r="G135" s="52" t="n">
        <f aca="false">IF($G$11=$E$11,$F$11,IF(U135&lt;($F$11-$E$11)/($G$11-$E$11),$E$11+SQRT(U135*($G$11-$E$11)*($F$11-$E$11)),$G$11-SQRT((1-U135)*($G$11-$E$11)*($G$11-$F$11))))</f>
        <v>0.10798675784452</v>
      </c>
      <c r="H135" s="53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-2188036180.03124</v>
      </c>
      <c r="I135" s="53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-33109806.8083098</v>
      </c>
      <c r="J135" s="53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230182034.040477</v>
      </c>
      <c r="K135" s="53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548174779.390044</v>
      </c>
      <c r="L135" s="53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668368264.579082</v>
      </c>
      <c r="M135" s="53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846730724.896016</v>
      </c>
      <c r="N135" s="53" t="n">
        <f aca="false">IF(COUNT('Business Case'!B11:G11)=0,"",H135+NPV(G135,I135:M135))</f>
        <v>-676850153.297264</v>
      </c>
      <c r="P135" s="54" t="n">
        <f aca="true">RAND()</f>
        <v>0.165316896170891</v>
      </c>
      <c r="Q135" s="54" t="n">
        <f aca="true">RAND()</f>
        <v>0.614198483829257</v>
      </c>
      <c r="R135" s="54" t="n">
        <f aca="true">RAND()</f>
        <v>0.321198362969479</v>
      </c>
      <c r="S135" s="54" t="n">
        <f aca="true">RAND()</f>
        <v>0.212951884653572</v>
      </c>
      <c r="T135" s="54" t="n">
        <f aca="true">RAND()</f>
        <v>0.675595250101673</v>
      </c>
      <c r="U135" s="54" t="n">
        <f aca="true">RAND()</f>
        <v>0.676944779869472</v>
      </c>
    </row>
    <row r="136" customFormat="false" ht="15" hidden="false" customHeight="false" outlineLevel="0" collapsed="false">
      <c r="A136" s="50" t="n">
        <v>56</v>
      </c>
      <c r="B136" s="51" t="n">
        <f aca="false">1+IF($G$6=$E$6,$F$6,IF(P136&lt;($F$6-$E$6)/($G$6-$E$6),$E$6+SQRT(P136*($G$6-$E$6)*($F$6-$E$6)),$G$6-SQRT((1-P136)*($G$6-$E$6)*($G$6-$F$6))))</f>
        <v>1.01071830083854</v>
      </c>
      <c r="C136" s="51" t="n">
        <f aca="false">1+IF($G$7=$E$7,$F$7,IF(Q136&lt;($F$7-$E$7)/($G$7-$E$7),$E$7+SQRT(Q136*($G$7-$E$7)*($F$7-$E$7)),$G$7-SQRT((1-Q136)*($G$7-$E$7)*($G$7-$F$7))))</f>
        <v>0.883852235288509</v>
      </c>
      <c r="D136" s="51" t="n">
        <f aca="false">1+IF($G$8=$E$8,$F$8,IF(R136&lt;($F$8-$E$8)/($G$8-$E$8),$E$8+SQRT(R136*($G$8-$E$8)*($F$8-$E$8)),$G$8-SQRT((1-R136)*($G$8-$E$8)*($G$8-$F$8))))</f>
        <v>1.00528054976035</v>
      </c>
      <c r="E136" s="51" t="n">
        <f aca="false">1+IF($G$9=$E$9,$F$9,IF(S136&lt;($F$9-$E$9)/($G$9-$E$9),$E$9+SQRT(S136*($G$9-$E$9)*($F$9-$E$9)),$G$9-SQRT((1-S136)*($G$9-$E$9)*($G$9-$F$9))))</f>
        <v>1.05845451099416</v>
      </c>
      <c r="F136" s="51" t="n">
        <f aca="false">1+IF($G$10=$E$10,$F$10,IF(T136&lt;($F$10-$E$10)/($G$10-$E$10),$E$10+SQRT(T136*($G$10-$E$10)*($F$10-$E$10)),$G$10-SQRT((1-T136)*($G$10-$E$10)*($G$10-$F$10))))</f>
        <v>1.09760458779265</v>
      </c>
      <c r="G136" s="52" t="n">
        <f aca="false">IF($G$11=$E$11,$F$11,IF(U136&lt;($F$11-$E$11)/($G$11-$E$11),$E$11+SQRT(U136*($G$11-$E$11)*($F$11-$E$11)),$G$11-SQRT((1-U136)*($G$11-$E$11)*($G$11-$F$11))))</f>
        <v>0.101590940860406</v>
      </c>
      <c r="H136" s="53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-2195209175.58531</v>
      </c>
      <c r="I136" s="53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-29735563.387679</v>
      </c>
      <c r="J136" s="53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247111564.09761</v>
      </c>
      <c r="K136" s="53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578838920.972531</v>
      </c>
      <c r="L136" s="53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701994630.554516</v>
      </c>
      <c r="M136" s="53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871797966.199069</v>
      </c>
      <c r="N136" s="53" t="n">
        <f aca="false">IF(COUNT('Business Case'!B11:G11)=0,"",H136+NPV(G136,I136:M136))</f>
        <v>-571430534.084119</v>
      </c>
      <c r="P136" s="54" t="n">
        <f aca="true">RAND()</f>
        <v>0.794259748131767</v>
      </c>
      <c r="Q136" s="54" t="n">
        <f aca="true">RAND()</f>
        <v>0.250382551263564</v>
      </c>
      <c r="R136" s="54" t="n">
        <f aca="true">RAND()</f>
        <v>0.401881716419889</v>
      </c>
      <c r="S136" s="54" t="n">
        <f aca="true">RAND()</f>
        <v>0.776517958471513</v>
      </c>
      <c r="T136" s="54" t="n">
        <f aca="true">RAND()</f>
        <v>0.690341844508709</v>
      </c>
      <c r="U136" s="54" t="n">
        <f aca="true">RAND()</f>
        <v>0.461950239202034</v>
      </c>
    </row>
    <row r="137" customFormat="false" ht="15" hidden="false" customHeight="false" outlineLevel="0" collapsed="false">
      <c r="A137" s="50" t="n">
        <v>57</v>
      </c>
      <c r="B137" s="51" t="n">
        <f aca="false">1+IF($G$6=$E$6,$F$6,IF(P137&lt;($F$6-$E$6)/($G$6-$E$6),$E$6+SQRT(P137*($G$6-$E$6)*($F$6-$E$6)),$G$6-SQRT((1-P137)*($G$6-$E$6)*($G$6-$F$6))))</f>
        <v>0.916911124536436</v>
      </c>
      <c r="C137" s="51" t="n">
        <f aca="false">1+IF($G$7=$E$7,$F$7,IF(Q137&lt;($F$7-$E$7)/($G$7-$E$7),$E$7+SQRT(Q137*($G$7-$E$7)*($F$7-$E$7)),$G$7-SQRT((1-Q137)*($G$7-$E$7)*($G$7-$F$7))))</f>
        <v>0.951438315237872</v>
      </c>
      <c r="D137" s="51" t="n">
        <f aca="false">1+IF($G$8=$E$8,$F$8,IF(R137&lt;($F$8-$E$8)/($G$8-$E$8),$E$8+SQRT(R137*($G$8-$E$8)*($F$8-$E$8)),$G$8-SQRT((1-R137)*($G$8-$E$8)*($G$8-$F$8))))</f>
        <v>1.02318687681133</v>
      </c>
      <c r="E137" s="51" t="n">
        <f aca="false">1+IF($G$9=$E$9,$F$9,IF(S137&lt;($F$9-$E$9)/($G$9-$E$9),$E$9+SQRT(S137*($G$9-$E$9)*($F$9-$E$9)),$G$9-SQRT((1-S137)*($G$9-$E$9)*($G$9-$F$9))))</f>
        <v>1.00918951613686</v>
      </c>
      <c r="F137" s="51" t="n">
        <f aca="false">1+IF($G$10=$E$10,$F$10,IF(T137&lt;($F$10-$E$10)/($G$10-$E$10),$E$10+SQRT(T137*($G$10-$E$10)*($F$10-$E$10)),$G$10-SQRT((1-T137)*($G$10-$E$10)*($G$10-$F$10))))</f>
        <v>0.989251270945854</v>
      </c>
      <c r="G137" s="52" t="n">
        <f aca="false">IF($G$11=$E$11,$F$11,IF(U137&lt;($F$11-$E$11)/($G$11-$E$11),$E$11+SQRT(U137*($G$11-$E$11)*($F$11-$E$11)),$G$11-SQRT((1-U137)*($G$11-$E$11)*($G$11-$F$11))))</f>
        <v>0.103064900208409</v>
      </c>
      <c r="H137" s="53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-1978502541.89171</v>
      </c>
      <c r="I137" s="53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-71464376.6324218</v>
      </c>
      <c r="J137" s="53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144727529.053009</v>
      </c>
      <c r="K137" s="53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410381998.285734</v>
      </c>
      <c r="L137" s="53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512595570.866615</v>
      </c>
      <c r="M137" s="53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678418392.971502</v>
      </c>
      <c r="N137" s="53" t="n">
        <f aca="false">IF(COUNT('Business Case'!B11:G11)=0,"",H137+NPV(G137,I137:M137))</f>
        <v>-856921375.599459</v>
      </c>
      <c r="P137" s="54" t="n">
        <f aca="true">RAND()</f>
        <v>0.0190657422057893</v>
      </c>
      <c r="Q137" s="54" t="n">
        <f aca="true">RAND()</f>
        <v>0.468305380515994</v>
      </c>
      <c r="R137" s="54" t="n">
        <f aca="true">RAND()</f>
        <v>0.606649607066841</v>
      </c>
      <c r="S137" s="54" t="n">
        <f aca="true">RAND()</f>
        <v>0.471264203579449</v>
      </c>
      <c r="T137" s="54" t="n">
        <f aca="true">RAND()</f>
        <v>0.102710818057655</v>
      </c>
      <c r="U137" s="54" t="n">
        <f aca="true">RAND()</f>
        <v>0.516333599478009</v>
      </c>
    </row>
    <row r="138" customFormat="false" ht="15" hidden="false" customHeight="false" outlineLevel="0" collapsed="false">
      <c r="A138" s="50" t="n">
        <v>58</v>
      </c>
      <c r="B138" s="51" t="n">
        <f aca="false">1+IF($G$6=$E$6,$F$6,IF(P138&lt;($F$6-$E$6)/($G$6-$E$6),$E$6+SQRT(P138*($G$6-$E$6)*($F$6-$E$6)),$G$6-SQRT((1-P138)*($G$6-$E$6)*($G$6-$F$6))))</f>
        <v>0.967437885655106</v>
      </c>
      <c r="C138" s="51" t="n">
        <f aca="false">1+IF($G$7=$E$7,$F$7,IF(Q138&lt;($F$7-$E$7)/($G$7-$E$7),$E$7+SQRT(Q138*($G$7-$E$7)*($F$7-$E$7)),$G$7-SQRT((1-Q138)*($G$7-$E$7)*($G$7-$F$7))))</f>
        <v>0.805381598616499</v>
      </c>
      <c r="D138" s="51" t="n">
        <f aca="false">1+IF($G$8=$E$8,$F$8,IF(R138&lt;($F$8-$E$8)/($G$8-$E$8),$E$8+SQRT(R138*($G$8-$E$8)*($F$8-$E$8)),$G$8-SQRT((1-R138)*($G$8-$E$8)*($G$8-$F$8))))</f>
        <v>1.01543503590881</v>
      </c>
      <c r="E138" s="51" t="n">
        <f aca="false">1+IF($G$9=$E$9,$F$9,IF(S138&lt;($F$9-$E$9)/($G$9-$E$9),$E$9+SQRT(S138*($G$9-$E$9)*($F$9-$E$9)),$G$9-SQRT((1-S138)*($G$9-$E$9)*($G$9-$F$9))))</f>
        <v>1.00882446869845</v>
      </c>
      <c r="F138" s="51" t="n">
        <f aca="false">1+IF($G$10=$E$10,$F$10,IF(T138&lt;($F$10-$E$10)/($G$10-$E$10),$E$10+SQRT(T138*($G$10-$E$10)*($F$10-$E$10)),$G$10-SQRT((1-T138)*($G$10-$E$10)*($G$10-$F$10))))</f>
        <v>1.06993537032269</v>
      </c>
      <c r="G138" s="52" t="n">
        <f aca="false">IF($G$11=$E$11,$F$11,IF(U138&lt;($F$11-$E$11)/($G$11-$E$11),$E$11+SQRT(U138*($G$11-$E$11)*($F$11-$E$11)),$G$11-SQRT((1-U138)*($G$11-$E$11)*($G$11-$F$11))))</f>
        <v>0.100058333384846</v>
      </c>
      <c r="H138" s="53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-2139870740.64539</v>
      </c>
      <c r="I138" s="53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-71309119.0951983</v>
      </c>
      <c r="J138" s="53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148221620.110822</v>
      </c>
      <c r="K138" s="53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421249127.832978</v>
      </c>
      <c r="L138" s="53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521353695.448338</v>
      </c>
      <c r="M138" s="53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669455795.455115</v>
      </c>
      <c r="N138" s="53" t="n">
        <f aca="false">IF(COUNT('Business Case'!B11:G11)=0,"",H138+NPV(G138,I138:M138))</f>
        <v>-994183958.231431</v>
      </c>
      <c r="P138" s="54" t="n">
        <f aca="true">RAND()</f>
        <v>0.303191228108742</v>
      </c>
      <c r="Q138" s="54" t="n">
        <f aca="true">RAND()</f>
        <v>0.0822613431627332</v>
      </c>
      <c r="R138" s="54" t="n">
        <f aca="true">RAND()</f>
        <v>0.523251123217035</v>
      </c>
      <c r="S138" s="54" t="n">
        <f aca="true">RAND()</f>
        <v>0.468519182979317</v>
      </c>
      <c r="T138" s="54" t="n">
        <f aca="true">RAND()</f>
        <v>0.567689721855666</v>
      </c>
      <c r="U138" s="54" t="n">
        <f aca="true">RAND()</f>
        <v>0.402331066871301</v>
      </c>
    </row>
    <row r="139" customFormat="false" ht="15" hidden="false" customHeight="false" outlineLevel="0" collapsed="false">
      <c r="A139" s="50" t="n">
        <v>59</v>
      </c>
      <c r="B139" s="51" t="n">
        <f aca="false">1+IF($G$6=$E$6,$F$6,IF(P139&lt;($F$6-$E$6)/($G$6-$E$6),$E$6+SQRT(P139*($G$6-$E$6)*($F$6-$E$6)),$G$6-SQRT((1-P139)*($G$6-$E$6)*($G$6-$F$6))))</f>
        <v>0.998578374948854</v>
      </c>
      <c r="C139" s="51" t="n">
        <f aca="false">1+IF($G$7=$E$7,$F$7,IF(Q139&lt;($F$7-$E$7)/($G$7-$E$7),$E$7+SQRT(Q139*($G$7-$E$7)*($F$7-$E$7)),$G$7-SQRT((1-Q139)*($G$7-$E$7)*($G$7-$F$7))))</f>
        <v>0.92940616693946</v>
      </c>
      <c r="D139" s="51" t="n">
        <f aca="false">1+IF($G$8=$E$8,$F$8,IF(R139&lt;($F$8-$E$8)/($G$8-$E$8),$E$8+SQRT(R139*($G$8-$E$8)*($F$8-$E$8)),$G$8-SQRT((1-R139)*($G$8-$E$8)*($G$8-$F$8))))</f>
        <v>1.04324156713979</v>
      </c>
      <c r="E139" s="51" t="n">
        <f aca="false">1+IF($G$9=$E$9,$F$9,IF(S139&lt;($F$9-$E$9)/($G$9-$E$9),$E$9+SQRT(S139*($G$9-$E$9)*($F$9-$E$9)),$G$9-SQRT((1-S139)*($G$9-$E$9)*($G$9-$F$9))))</f>
        <v>1.05818352757236</v>
      </c>
      <c r="F139" s="51" t="n">
        <f aca="false">1+IF($G$10=$E$10,$F$10,IF(T139&lt;($F$10-$E$10)/($G$10-$E$10),$E$10+SQRT(T139*($G$10-$E$10)*($F$10-$E$10)),$G$10-SQRT((1-T139)*($G$10-$E$10)*($G$10-$F$10))))</f>
        <v>1.04601381882945</v>
      </c>
      <c r="G139" s="52" t="n">
        <f aca="false">IF($G$11=$E$11,$F$11,IF(U139&lt;($F$11-$E$11)/($G$11-$E$11),$E$11+SQRT(U139*($G$11-$E$11)*($F$11-$E$11)),$G$11-SQRT((1-U139)*($G$11-$E$11)*($G$11-$F$11))))</f>
        <v>0.100470620229666</v>
      </c>
      <c r="H139" s="53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-2092027637.6589</v>
      </c>
      <c r="I139" s="53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-39373792.8173877</v>
      </c>
      <c r="J139" s="53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224439415.077175</v>
      </c>
      <c r="K139" s="53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540553313.91321</v>
      </c>
      <c r="L139" s="53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660565664.016874</v>
      </c>
      <c r="M139" s="53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836976041.780334</v>
      </c>
      <c r="N139" s="53" t="n">
        <f aca="false">IF(COUNT('Business Case'!B11:G11)=0,"",H139+NPV(G139,I139:M139))</f>
        <v>-567883380.870477</v>
      </c>
      <c r="P139" s="54" t="n">
        <f aca="true">RAND()</f>
        <v>0.647846400503792</v>
      </c>
      <c r="Q139" s="54" t="n">
        <f aca="true">RAND()</f>
        <v>0.389831032813744</v>
      </c>
      <c r="R139" s="54" t="n">
        <f aca="true">RAND()</f>
        <v>0.785232019950213</v>
      </c>
      <c r="S139" s="54" t="n">
        <f aca="true">RAND()</f>
        <v>0.775192943758498</v>
      </c>
      <c r="T139" s="54" t="n">
        <f aca="true">RAND()</f>
        <v>0.445195171886065</v>
      </c>
      <c r="U139" s="54" t="n">
        <f aca="true">RAND()</f>
        <v>0.418677153586255</v>
      </c>
    </row>
    <row r="140" customFormat="false" ht="15" hidden="false" customHeight="false" outlineLevel="0" collapsed="false">
      <c r="A140" s="50" t="n">
        <v>60</v>
      </c>
      <c r="B140" s="51" t="n">
        <f aca="false">1+IF($G$6=$E$6,$F$6,IF(P140&lt;($F$6-$E$6)/($G$6-$E$6),$E$6+SQRT(P140*($G$6-$E$6)*($F$6-$E$6)),$G$6-SQRT((1-P140)*($G$6-$E$6)*($G$6-$F$6))))</f>
        <v>0.922460475060938</v>
      </c>
      <c r="C140" s="51" t="n">
        <f aca="false">1+IF($G$7=$E$7,$F$7,IF(Q140&lt;($F$7-$E$7)/($G$7-$E$7),$E$7+SQRT(Q140*($G$7-$E$7)*($F$7-$E$7)),$G$7-SQRT((1-Q140)*($G$7-$E$7)*($G$7-$F$7))))</f>
        <v>0.895022870887452</v>
      </c>
      <c r="D140" s="51" t="n">
        <f aca="false">1+IF($G$8=$E$8,$F$8,IF(R140&lt;($F$8-$E$8)/($G$8-$E$8),$E$8+SQRT(R140*($G$8-$E$8)*($F$8-$E$8)),$G$8-SQRT((1-R140)*($G$8-$E$8)*($G$8-$F$8))))</f>
        <v>1.05111949904624</v>
      </c>
      <c r="E140" s="51" t="n">
        <f aca="false">1+IF($G$9=$E$9,$F$9,IF(S140&lt;($F$9-$E$9)/($G$9-$E$9),$E$9+SQRT(S140*($G$9-$E$9)*($F$9-$E$9)),$G$9-SQRT((1-S140)*($G$9-$E$9)*($G$9-$F$9))))</f>
        <v>1.0145585258351</v>
      </c>
      <c r="F140" s="51" t="n">
        <f aca="false">1+IF($G$10=$E$10,$F$10,IF(T140&lt;($F$10-$E$10)/($G$10-$E$10),$E$10+SQRT(T140*($G$10-$E$10)*($F$10-$E$10)),$G$10-SQRT((1-T140)*($G$10-$E$10)*($G$10-$F$10))))</f>
        <v>1.00924944988499</v>
      </c>
      <c r="G140" s="52" t="n">
        <f aca="false">IF($G$11=$E$11,$F$11,IF(U140&lt;($F$11-$E$11)/($G$11-$E$11),$E$11+SQRT(U140*($G$11-$E$11)*($F$11-$E$11)),$G$11-SQRT((1-U140)*($G$11-$E$11)*($G$11-$F$11))))</f>
        <v>0.108719170539768</v>
      </c>
      <c r="H140" s="53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-2018498899.76998</v>
      </c>
      <c r="I140" s="53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-93352656.6492069</v>
      </c>
      <c r="J140" s="53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101290161.92701</v>
      </c>
      <c r="K140" s="53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346395452.997476</v>
      </c>
      <c r="L140" s="53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439809931.098331</v>
      </c>
      <c r="M140" s="53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596744393.263301</v>
      </c>
      <c r="N140" s="53" t="n">
        <f aca="false">IF(COUNT('Business Case'!B11:G11)=0,"",H140+NPV(G140,I140:M140))</f>
        <v>-1118891392.72708</v>
      </c>
      <c r="P140" s="54" t="n">
        <f aca="true">RAND()</f>
        <v>0.0336315293308666</v>
      </c>
      <c r="Q140" s="54" t="n">
        <f aca="true">RAND()</f>
        <v>0.281732741993953</v>
      </c>
      <c r="R140" s="54" t="n">
        <f aca="true">RAND()</f>
        <v>0.84071310843398</v>
      </c>
      <c r="S140" s="54" t="n">
        <f aca="true">RAND()</f>
        <v>0.510816188694363</v>
      </c>
      <c r="T140" s="54" t="n">
        <f aca="true">RAND()</f>
        <v>0.227188968257611</v>
      </c>
      <c r="U140" s="54" t="n">
        <f aca="true">RAND()</f>
        <v>0.69808419832301</v>
      </c>
    </row>
    <row r="141" customFormat="false" ht="15" hidden="false" customHeight="false" outlineLevel="0" collapsed="false">
      <c r="A141" s="50" t="n">
        <v>61</v>
      </c>
      <c r="B141" s="51" t="n">
        <f aca="false">1+IF($G$6=$E$6,$F$6,IF(P141&lt;($F$6-$E$6)/($G$6-$E$6),$E$6+SQRT(P141*($G$6-$E$6)*($F$6-$E$6)),$G$6-SQRT((1-P141)*($G$6-$E$6)*($G$6-$F$6))))</f>
        <v>1.01841096426794</v>
      </c>
      <c r="C141" s="51" t="n">
        <f aca="false">1+IF($G$7=$E$7,$F$7,IF(Q141&lt;($F$7-$E$7)/($G$7-$E$7),$E$7+SQRT(Q141*($G$7-$E$7)*($F$7-$E$7)),$G$7-SQRT((1-Q141)*($G$7-$E$7)*($G$7-$F$7))))</f>
        <v>1.05006015522483</v>
      </c>
      <c r="D141" s="51" t="n">
        <f aca="false">1+IF($G$8=$E$8,$F$8,IF(R141&lt;($F$8-$E$8)/($G$8-$E$8),$E$8+SQRT(R141*($G$8-$E$8)*($F$8-$E$8)),$G$8-SQRT((1-R141)*($G$8-$E$8)*($G$8-$F$8))))</f>
        <v>1.04550628986709</v>
      </c>
      <c r="E141" s="51" t="n">
        <f aca="false">1+IF($G$9=$E$9,$F$9,IF(S141&lt;($F$9-$E$9)/($G$9-$E$9),$E$9+SQRT(S141*($G$9-$E$9)*($F$9-$E$9)),$G$9-SQRT((1-S141)*($G$9-$E$9)*($G$9-$F$9))))</f>
        <v>1.05484851731443</v>
      </c>
      <c r="F141" s="51" t="n">
        <f aca="false">1+IF($G$10=$E$10,$F$10,IF(T141&lt;($F$10-$E$10)/($G$10-$E$10),$E$10+SQRT(T141*($G$10-$E$10)*($F$10-$E$10)),$G$10-SQRT((1-T141)*($G$10-$E$10)*($G$10-$F$10))))</f>
        <v>1.14939666874233</v>
      </c>
      <c r="G141" s="52" t="n">
        <f aca="false">IF($G$11=$E$11,$F$11,IF(U141&lt;($F$11-$E$11)/($G$11-$E$11),$E$11+SQRT(U141*($G$11-$E$11)*($F$11-$E$11)),$G$11-SQRT((1-U141)*($G$11-$E$11)*($G$11-$F$11))))</f>
        <v>0.0918999265481656</v>
      </c>
      <c r="H141" s="53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-2298793337.48465</v>
      </c>
      <c r="I141" s="53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-6475323.23506899</v>
      </c>
      <c r="J141" s="53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307425801.033707</v>
      </c>
      <c r="K141" s="53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678796758.739599</v>
      </c>
      <c r="L141" s="53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820388681.140858</v>
      </c>
      <c r="M141" s="53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1023658859.85503</v>
      </c>
      <c r="N141" s="53" t="n">
        <f aca="false">IF(COUNT('Business Case'!B11:G11)=0,"",H141+NPV(G141,I141:M141))</f>
        <v>-288755556.781253</v>
      </c>
      <c r="P141" s="54" t="n">
        <f aca="true">RAND()</f>
        <v>0.866951042869121</v>
      </c>
      <c r="Q141" s="54" t="n">
        <f aca="true">RAND()</f>
        <v>0.852030035945394</v>
      </c>
      <c r="R141" s="54" t="n">
        <f aca="true">RAND()</f>
        <v>0.802029037063359</v>
      </c>
      <c r="S141" s="54" t="n">
        <f aca="true">RAND()</f>
        <v>0.758565209139648</v>
      </c>
      <c r="T141" s="54" t="n">
        <f aca="true">RAND()</f>
        <v>0.865052929864785</v>
      </c>
      <c r="U141" s="54" t="n">
        <f aca="true">RAND()</f>
        <v>0.141608251851738</v>
      </c>
    </row>
    <row r="142" customFormat="false" ht="15" hidden="false" customHeight="false" outlineLevel="0" collapsed="false">
      <c r="A142" s="50" t="n">
        <v>62</v>
      </c>
      <c r="B142" s="51" t="n">
        <f aca="false">1+IF($G$6=$E$6,$F$6,IF(P142&lt;($F$6-$E$6)/($G$6-$E$6),$E$6+SQRT(P142*($G$6-$E$6)*($F$6-$E$6)),$G$6-SQRT((1-P142)*($G$6-$E$6)*($G$6-$F$6))))</f>
        <v>1.02047570691016</v>
      </c>
      <c r="C142" s="51" t="n">
        <f aca="false">1+IF($G$7=$E$7,$F$7,IF(Q142&lt;($F$7-$E$7)/($G$7-$E$7),$E$7+SQRT(Q142*($G$7-$E$7)*($F$7-$E$7)),$G$7-SQRT((1-Q142)*($G$7-$E$7)*($G$7-$F$7))))</f>
        <v>1.00960348332364</v>
      </c>
      <c r="D142" s="51" t="n">
        <f aca="false">1+IF($G$8=$E$8,$F$8,IF(R142&lt;($F$8-$E$8)/($G$8-$E$8),$E$8+SQRT(R142*($G$8-$E$8)*($F$8-$E$8)),$G$8-SQRT((1-R142)*($G$8-$E$8)*($G$8-$F$8))))</f>
        <v>0.957165567703136</v>
      </c>
      <c r="E142" s="51" t="n">
        <f aca="false">1+IF($G$9=$E$9,$F$9,IF(S142&lt;($F$9-$E$9)/($G$9-$E$9),$E$9+SQRT(S142*($G$9-$E$9)*($F$9-$E$9)),$G$9-SQRT((1-S142)*($G$9-$E$9)*($G$9-$F$9))))</f>
        <v>0.911161527096698</v>
      </c>
      <c r="F142" s="51" t="n">
        <f aca="false">1+IF($G$10=$E$10,$F$10,IF(T142&lt;($F$10-$E$10)/($G$10-$E$10),$E$10+SQRT(T142*($G$10-$E$10)*($F$10-$E$10)),$G$10-SQRT((1-T142)*($G$10-$E$10)*($G$10-$F$10))))</f>
        <v>1.08905198553123</v>
      </c>
      <c r="G142" s="52" t="n">
        <f aca="false">IF($G$11=$E$11,$F$11,IF(U142&lt;($F$11-$E$11)/($G$11-$E$11),$E$11+SQRT(U142*($G$11-$E$11)*($F$11-$E$11)),$G$11-SQRT((1-U142)*($G$11-$E$11)*($G$11-$F$11))))</f>
        <v>0.104426070995423</v>
      </c>
      <c r="H142" s="53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-2178103971.06245</v>
      </c>
      <c r="I142" s="53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57290387.3102683</v>
      </c>
      <c r="J142" s="53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406462641.268145</v>
      </c>
      <c r="K142" s="53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810087494.502581</v>
      </c>
      <c r="L142" s="53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962084578.44943</v>
      </c>
      <c r="M142" s="53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1157919407.90099</v>
      </c>
      <c r="N142" s="53" t="n">
        <f aca="false">IF(COUNT('Business Case'!B11:G11)=0,"",H142+NPV(G142,I142:M142))</f>
        <v>159675749.812178</v>
      </c>
      <c r="P142" s="54" t="n">
        <f aca="true">RAND()</f>
        <v>0.883775482339342</v>
      </c>
      <c r="Q142" s="54" t="n">
        <f aca="true">RAND()</f>
        <v>0.707982490446576</v>
      </c>
      <c r="R142" s="54" t="n">
        <f aca="true">RAND()</f>
        <v>0.00684604806776247</v>
      </c>
      <c r="S142" s="54" t="n">
        <f aca="true">RAND()</f>
        <v>0.00498318748521302</v>
      </c>
      <c r="T142" s="54" t="n">
        <f aca="true">RAND()</f>
        <v>0.65460982184746</v>
      </c>
      <c r="U142" s="54" t="n">
        <f aca="true">RAND()</f>
        <v>0.563982770179236</v>
      </c>
    </row>
    <row r="143" customFormat="false" ht="15" hidden="false" customHeight="false" outlineLevel="0" collapsed="false">
      <c r="A143" s="50" t="n">
        <v>63</v>
      </c>
      <c r="B143" s="51" t="n">
        <f aca="false">1+IF($G$6=$E$6,$F$6,IF(P143&lt;($F$6-$E$6)/($G$6-$E$6),$E$6+SQRT(P143*($G$6-$E$6)*($F$6-$E$6)),$G$6-SQRT((1-P143)*($G$6-$E$6)*($G$6-$F$6))))</f>
        <v>0.955446246231832</v>
      </c>
      <c r="C143" s="51" t="n">
        <f aca="false">1+IF($G$7=$E$7,$F$7,IF(Q143&lt;($F$7-$E$7)/($G$7-$E$7),$E$7+SQRT(Q143*($G$7-$E$7)*($F$7-$E$7)),$G$7-SQRT((1-Q143)*($G$7-$E$7)*($G$7-$F$7))))</f>
        <v>1.05345264270072</v>
      </c>
      <c r="D143" s="51" t="n">
        <f aca="false">1+IF($G$8=$E$8,$F$8,IF(R143&lt;($F$8-$E$8)/($G$8-$E$8),$E$8+SQRT(R143*($G$8-$E$8)*($F$8-$E$8)),$G$8-SQRT((1-R143)*($G$8-$E$8)*($G$8-$F$8))))</f>
        <v>1.01196470656198</v>
      </c>
      <c r="E143" s="51" t="n">
        <f aca="false">1+IF($G$9=$E$9,$F$9,IF(S143&lt;($F$9-$E$9)/($G$9-$E$9),$E$9+SQRT(S143*($G$9-$E$9)*($F$9-$E$9)),$G$9-SQRT((1-S143)*($G$9-$E$9)*($G$9-$F$9))))</f>
        <v>0.908053702705604</v>
      </c>
      <c r="F143" s="51" t="n">
        <f aca="false">1+IF($G$10=$E$10,$F$10,IF(T143&lt;($F$10-$E$10)/($G$10-$E$10),$E$10+SQRT(T143*($G$10-$E$10)*($F$10-$E$10)),$G$10-SQRT((1-T143)*($G$10-$E$10)*($G$10-$F$10))))</f>
        <v>1.03807818021958</v>
      </c>
      <c r="G143" s="52" t="n">
        <f aca="false">IF($G$11=$E$11,$F$11,IF(U143&lt;($F$11-$E$11)/($G$11-$E$11),$E$11+SQRT(U143*($G$11-$E$11)*($F$11-$E$11)),$G$11-SQRT((1-U143)*($G$11-$E$11)*($G$11-$F$11))))</f>
        <v>0.106921963613442</v>
      </c>
      <c r="H143" s="53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-2076156360.43916</v>
      </c>
      <c r="I143" s="53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-6436562.79132029</v>
      </c>
      <c r="J143" s="53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272237789.583039</v>
      </c>
      <c r="K143" s="53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602816050.968377</v>
      </c>
      <c r="L143" s="53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730492742.172487</v>
      </c>
      <c r="M143" s="53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921811564.442097</v>
      </c>
      <c r="N143" s="53" t="n">
        <f aca="false">IF(COUNT('Business Case'!B11:G11)=0,"",H143+NPV(G143,I143:M143))</f>
        <v>-374053684.905179</v>
      </c>
      <c r="P143" s="54" t="n">
        <f aca="true">RAND()</f>
        <v>0.204952414746727</v>
      </c>
      <c r="Q143" s="54" t="n">
        <f aca="true">RAND()</f>
        <v>0.86190530071888</v>
      </c>
      <c r="R143" s="54" t="n">
        <f aca="true">RAND()</f>
        <v>0.483319140618724</v>
      </c>
      <c r="S143" s="54" t="n">
        <f aca="true">RAND()</f>
        <v>0.00259448509081009</v>
      </c>
      <c r="T143" s="54" t="n">
        <f aca="true">RAND()</f>
        <v>0.401188564012742</v>
      </c>
      <c r="U143" s="54" t="n">
        <f aca="true">RAND()</f>
        <v>0.644936157693804</v>
      </c>
    </row>
    <row r="144" customFormat="false" ht="15" hidden="false" customHeight="false" outlineLevel="0" collapsed="false">
      <c r="A144" s="50" t="n">
        <v>64</v>
      </c>
      <c r="B144" s="51" t="n">
        <f aca="false">1+IF($G$6=$E$6,$F$6,IF(P144&lt;($F$6-$E$6)/($G$6-$E$6),$E$6+SQRT(P144*($G$6-$E$6)*($F$6-$E$6)),$G$6-SQRT((1-P144)*($G$6-$E$6)*($G$6-$F$6))))</f>
        <v>1.01067725038433</v>
      </c>
      <c r="C144" s="51" t="n">
        <f aca="false">1+IF($G$7=$E$7,$F$7,IF(Q144&lt;($F$7-$E$7)/($G$7-$E$7),$E$7+SQRT(Q144*($G$7-$E$7)*($F$7-$E$7)),$G$7-SQRT((1-Q144)*($G$7-$E$7)*($G$7-$F$7))))</f>
        <v>0.871998126670222</v>
      </c>
      <c r="D144" s="51" t="n">
        <f aca="false">1+IF($G$8=$E$8,$F$8,IF(R144&lt;($F$8-$E$8)/($G$8-$E$8),$E$8+SQRT(R144*($G$8-$E$8)*($F$8-$E$8)),$G$8-SQRT((1-R144)*($G$8-$E$8)*($G$8-$F$8))))</f>
        <v>1.00277901749384</v>
      </c>
      <c r="E144" s="51" t="n">
        <f aca="false">1+IF($G$9=$E$9,$F$9,IF(S144&lt;($F$9-$E$9)/($G$9-$E$9),$E$9+SQRT(S144*($G$9-$E$9)*($F$9-$E$9)),$G$9-SQRT((1-S144)*($G$9-$E$9)*($G$9-$F$9))))</f>
        <v>1.09245176453163</v>
      </c>
      <c r="F144" s="51" t="n">
        <f aca="false">1+IF($G$10=$E$10,$F$10,IF(T144&lt;($F$10-$E$10)/($G$10-$E$10),$E$10+SQRT(T144*($G$10-$E$10)*($F$10-$E$10)),$G$10-SQRT((1-T144)*($G$10-$E$10)*($G$10-$F$10))))</f>
        <v>1.13694422947815</v>
      </c>
      <c r="G144" s="52" t="n">
        <f aca="false">IF($G$11=$E$11,$F$11,IF(U144&lt;($F$11-$E$11)/($G$11-$E$11),$E$11+SQRT(U144*($G$11-$E$11)*($F$11-$E$11)),$G$11-SQRT((1-U144)*($G$11-$E$11)*($G$11-$F$11))))</f>
        <v>0.0916318094097268</v>
      </c>
      <c r="H144" s="53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-2273888458.95629</v>
      </c>
      <c r="I144" s="53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-40506666.869506</v>
      </c>
      <c r="J144" s="53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233714771.526334</v>
      </c>
      <c r="K144" s="53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564783421.39608</v>
      </c>
      <c r="L144" s="53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686648595.128782</v>
      </c>
      <c r="M144" s="53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854167746.932938</v>
      </c>
      <c r="N144" s="53" t="n">
        <f aca="false">IF(COUNT('Business Case'!B11:G11)=0,"",H144+NPV(G144,I144:M144))</f>
        <v>-646155395.005629</v>
      </c>
      <c r="P144" s="54" t="n">
        <f aca="true">RAND()</f>
        <v>0.793829515021727</v>
      </c>
      <c r="Q144" s="54" t="n">
        <f aca="true">RAND()</f>
        <v>0.219135967244931</v>
      </c>
      <c r="R144" s="54" t="n">
        <f aca="true">RAND()</f>
        <v>0.369872037369145</v>
      </c>
      <c r="S144" s="54" t="n">
        <f aca="true">RAND()</f>
        <v>0.91168534918605</v>
      </c>
      <c r="T144" s="54" t="n">
        <f aca="true">RAND()</f>
        <v>0.829578570022798</v>
      </c>
      <c r="U144" s="54" t="n">
        <f aca="true">RAND()</f>
        <v>0.135298990144209</v>
      </c>
    </row>
    <row r="145" customFormat="false" ht="15" hidden="false" customHeight="false" outlineLevel="0" collapsed="false">
      <c r="A145" s="50" t="n">
        <v>65</v>
      </c>
      <c r="B145" s="51" t="n">
        <f aca="false">1+IF($G$6=$E$6,$F$6,IF(P145&lt;($F$6-$E$6)/($G$6-$E$6),$E$6+SQRT(P145*($G$6-$E$6)*($F$6-$E$6)),$G$6-SQRT((1-P145)*($G$6-$E$6)*($G$6-$F$6))))</f>
        <v>0.99067872068857</v>
      </c>
      <c r="C145" s="51" t="n">
        <f aca="false">1+IF($G$7=$E$7,$F$7,IF(Q145&lt;($F$7-$E$7)/($G$7-$E$7),$E$7+SQRT(Q145*($G$7-$E$7)*($F$7-$E$7)),$G$7-SQRT((1-Q145)*($G$7-$E$7)*($G$7-$F$7))))</f>
        <v>0.738371868835717</v>
      </c>
      <c r="D145" s="51" t="n">
        <f aca="false">1+IF($G$8=$E$8,$F$8,IF(R145&lt;($F$8-$E$8)/($G$8-$E$8),$E$8+SQRT(R145*($G$8-$E$8)*($F$8-$E$8)),$G$8-SQRT((1-R145)*($G$8-$E$8)*($G$8-$F$8))))</f>
        <v>0.96180137668484</v>
      </c>
      <c r="E145" s="51" t="n">
        <f aca="false">1+IF($G$9=$E$9,$F$9,IF(S145&lt;($F$9-$E$9)/($G$9-$E$9),$E$9+SQRT(S145*($G$9-$E$9)*($F$9-$E$9)),$G$9-SQRT((1-S145)*($G$9-$E$9)*($G$9-$F$9))))</f>
        <v>0.948672649223652</v>
      </c>
      <c r="F145" s="51" t="n">
        <f aca="false">1+IF($G$10=$E$10,$F$10,IF(T145&lt;($F$10-$E$10)/($G$10-$E$10),$E$10+SQRT(T145*($G$10-$E$10)*($F$10-$E$10)),$G$10-SQRT((1-T145)*($G$10-$E$10)*($G$10-$F$10))))</f>
        <v>1.1223060523913</v>
      </c>
      <c r="G145" s="52" t="n">
        <f aca="false">IF($G$11=$E$11,$F$11,IF(U145&lt;($F$11-$E$11)/($G$11-$E$11),$E$11+SQRT(U145*($G$11-$E$11)*($F$11-$E$11)),$G$11-SQRT((1-U145)*($G$11-$E$11)*($G$11-$F$11))))</f>
        <v>0.0932318938039713</v>
      </c>
      <c r="H145" s="53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-2244612104.7826</v>
      </c>
      <c r="I145" s="53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-49458590.129372</v>
      </c>
      <c r="J145" s="53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186135080.929595</v>
      </c>
      <c r="K145" s="53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477844054.608126</v>
      </c>
      <c r="L145" s="53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581655548.447518</v>
      </c>
      <c r="M145" s="53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720697034.289405</v>
      </c>
      <c r="N145" s="53" t="n">
        <f aca="false">IF(COUNT('Business Case'!B11:G11)=0,"",H145+NPV(G145,I145:M145))</f>
        <v>-899661904.456042</v>
      </c>
      <c r="P145" s="54" t="n">
        <f aca="true">RAND()</f>
        <v>0.548175359047714</v>
      </c>
      <c r="Q145" s="54" t="n">
        <f aca="true">RAND()</f>
        <v>0.0109066690218185</v>
      </c>
      <c r="R145" s="54" t="n">
        <f aca="true">RAND()</f>
        <v>0.018569665554332</v>
      </c>
      <c r="S145" s="54" t="n">
        <f aca="true">RAND()</f>
        <v>0.0947610712979477</v>
      </c>
      <c r="T145" s="54" t="n">
        <f aca="true">RAND()</f>
        <v>0.78259007658808</v>
      </c>
      <c r="U145" s="54" t="n">
        <f aca="true">RAND()</f>
        <v>0.175083013639574</v>
      </c>
    </row>
    <row r="146" customFormat="false" ht="15" hidden="false" customHeight="false" outlineLevel="0" collapsed="false">
      <c r="A146" s="50" t="n">
        <v>66</v>
      </c>
      <c r="B146" s="51" t="n">
        <f aca="false">1+IF($G$6=$E$6,$F$6,IF(P146&lt;($F$6-$E$6)/($G$6-$E$6),$E$6+SQRT(P146*($G$6-$E$6)*($F$6-$E$6)),$G$6-SQRT((1-P146)*($G$6-$E$6)*($G$6-$F$6))))</f>
        <v>0.99497387549176</v>
      </c>
      <c r="C146" s="51" t="n">
        <f aca="false">1+IF($G$7=$E$7,$F$7,IF(Q146&lt;($F$7-$E$7)/($G$7-$E$7),$E$7+SQRT(Q146*($G$7-$E$7)*($F$7-$E$7)),$G$7-SQRT((1-Q146)*($G$7-$E$7)*($G$7-$F$7))))</f>
        <v>0.862245583676326</v>
      </c>
      <c r="D146" s="51" t="n">
        <f aca="false">1+IF($G$8=$E$8,$F$8,IF(R146&lt;($F$8-$E$8)/($G$8-$E$8),$E$8+SQRT(R146*($G$8-$E$8)*($F$8-$E$8)),$G$8-SQRT((1-R146)*($G$8-$E$8)*($G$8-$F$8))))</f>
        <v>0.998043177213928</v>
      </c>
      <c r="E146" s="51" t="n">
        <f aca="false">1+IF($G$9=$E$9,$F$9,IF(S146&lt;($F$9-$E$9)/($G$9-$E$9),$E$9+SQRT(S146*($G$9-$E$9)*($F$9-$E$9)),$G$9-SQRT((1-S146)*($G$9-$E$9)*($G$9-$F$9))))</f>
        <v>1.07786330606318</v>
      </c>
      <c r="F146" s="51" t="n">
        <f aca="false">1+IF($G$10=$E$10,$F$10,IF(T146&lt;($F$10-$E$10)/($G$10-$E$10),$E$10+SQRT(T146*($G$10-$E$10)*($F$10-$E$10)),$G$10-SQRT((1-T146)*($G$10-$E$10)*($G$10-$F$10))))</f>
        <v>1.01971690238246</v>
      </c>
      <c r="G146" s="52" t="n">
        <f aca="false">IF($G$11=$E$11,$F$11,IF(U146&lt;($F$11-$E$11)/($G$11-$E$11),$E$11+SQRT(U146*($G$11-$E$11)*($F$11-$E$11)),$G$11-SQRT((1-U146)*($G$11-$E$11)*($G$11-$F$11))))</f>
        <v>0.113125999738411</v>
      </c>
      <c r="H146" s="53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-2039433804.76492</v>
      </c>
      <c r="I146" s="53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-37563459.3257281</v>
      </c>
      <c r="J146" s="53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224591082.977008</v>
      </c>
      <c r="K146" s="53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537731470.398867</v>
      </c>
      <c r="L146" s="53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654765750.678469</v>
      </c>
      <c r="M146" s="53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817837631.327927</v>
      </c>
      <c r="N146" s="53" t="n">
        <f aca="false">IF(COUNT('Business Case'!B11:G11)=0,"",H146+NPV(G146,I146:M146))</f>
        <v>-596977796.203853</v>
      </c>
      <c r="P146" s="54" t="n">
        <f aca="true">RAND()</f>
        <v>0.601335801728288</v>
      </c>
      <c r="Q146" s="54" t="n">
        <f aca="true">RAND()</f>
        <v>0.194989847573864</v>
      </c>
      <c r="R146" s="54" t="n">
        <f aca="true">RAND()</f>
        <v>0.307752916907854</v>
      </c>
      <c r="S146" s="54" t="n">
        <f aca="true">RAND()</f>
        <v>0.861234597009752</v>
      </c>
      <c r="T146" s="54" t="n">
        <f aca="true">RAND()</f>
        <v>0.292929266022283</v>
      </c>
      <c r="U146" s="54" t="n">
        <f aca="true">RAND()</f>
        <v>0.810178743447938</v>
      </c>
    </row>
    <row r="147" customFormat="false" ht="15" hidden="false" customHeight="false" outlineLevel="0" collapsed="false">
      <c r="A147" s="50" t="n">
        <v>67</v>
      </c>
      <c r="B147" s="51" t="n">
        <f aca="false">1+IF($G$6=$E$6,$F$6,IF(P147&lt;($F$6-$E$6)/($G$6-$E$6),$E$6+SQRT(P147*($G$6-$E$6)*($F$6-$E$6)),$G$6-SQRT((1-P147)*($G$6-$E$6)*($G$6-$F$6))))</f>
        <v>1.02688154688894</v>
      </c>
      <c r="C147" s="51" t="n">
        <f aca="false">1+IF($G$7=$E$7,$F$7,IF(Q147&lt;($F$7-$E$7)/($G$7-$E$7),$E$7+SQRT(Q147*($G$7-$E$7)*($F$7-$E$7)),$G$7-SQRT((1-Q147)*($G$7-$E$7)*($G$7-$F$7))))</f>
        <v>0.99735536183538</v>
      </c>
      <c r="D147" s="51" t="n">
        <f aca="false">1+IF($G$8=$E$8,$F$8,IF(R147&lt;($F$8-$E$8)/($G$8-$E$8),$E$8+SQRT(R147*($G$8-$E$8)*($F$8-$E$8)),$G$8-SQRT((1-R147)*($G$8-$E$8)*($G$8-$F$8))))</f>
        <v>0.994494774525535</v>
      </c>
      <c r="E147" s="51" t="n">
        <f aca="false">1+IF($G$9=$E$9,$F$9,IF(S147&lt;($F$9-$E$9)/($G$9-$E$9),$E$9+SQRT(S147*($G$9-$E$9)*($F$9-$E$9)),$G$9-SQRT((1-S147)*($G$9-$E$9)*($G$9-$F$9))))</f>
        <v>1.01660032043751</v>
      </c>
      <c r="F147" s="51" t="n">
        <f aca="false">1+IF($G$10=$E$10,$F$10,IF(T147&lt;($F$10-$E$10)/($G$10-$E$10),$E$10+SQRT(T147*($G$10-$E$10)*($F$10-$E$10)),$G$10-SQRT((1-T147)*($G$10-$E$10)*($G$10-$F$10))))</f>
        <v>1.0826347126075</v>
      </c>
      <c r="G147" s="52" t="n">
        <f aca="false">IF($G$11=$E$11,$F$11,IF(U147&lt;($F$11-$E$11)/($G$11-$E$11),$E$11+SQRT(U147*($G$11-$E$11)*($F$11-$E$11)),$G$11-SQRT((1-U147)*($G$11-$E$11)*($G$11-$F$11))))</f>
        <v>0.112413261979661</v>
      </c>
      <c r="H147" s="53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-2165269425.21501</v>
      </c>
      <c r="I147" s="53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25193376.0792713</v>
      </c>
      <c r="J147" s="53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356303544.926319</v>
      </c>
      <c r="K147" s="53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741545449.403742</v>
      </c>
      <c r="L147" s="53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887310676.313299</v>
      </c>
      <c r="M147" s="53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1081984114.76294</v>
      </c>
      <c r="N147" s="53" t="n">
        <f aca="false">IF(COUNT('Business Case'!B11:G11)=0,"",H147+NPV(G147,I147:M147))</f>
        <v>-101387197.673223</v>
      </c>
      <c r="P147" s="54" t="n">
        <f aca="true">RAND()</f>
        <v>0.928738283433555</v>
      </c>
      <c r="Q147" s="54" t="n">
        <f aca="true">RAND()</f>
        <v>0.654964527498146</v>
      </c>
      <c r="R147" s="54" t="n">
        <f aca="true">RAND()</f>
        <v>0.263971328010426</v>
      </c>
      <c r="S147" s="54" t="n">
        <f aca="true">RAND()</f>
        <v>0.525454013136652</v>
      </c>
      <c r="T147" s="54" t="n">
        <f aca="true">RAND()</f>
        <v>0.626518141013697</v>
      </c>
      <c r="U147" s="54" t="n">
        <f aca="true">RAND()</f>
        <v>0.793804430535982</v>
      </c>
    </row>
    <row r="148" customFormat="false" ht="15" hidden="false" customHeight="false" outlineLevel="0" collapsed="false">
      <c r="A148" s="50" t="n">
        <v>68</v>
      </c>
      <c r="B148" s="51" t="n">
        <f aca="false">1+IF($G$6=$E$6,$F$6,IF(P148&lt;($F$6-$E$6)/($G$6-$E$6),$E$6+SQRT(P148*($G$6-$E$6)*($F$6-$E$6)),$G$6-SQRT((1-P148)*($G$6-$E$6)*($G$6-$F$6))))</f>
        <v>1.03642271332853</v>
      </c>
      <c r="C148" s="51" t="n">
        <f aca="false">1+IF($G$7=$E$7,$F$7,IF(Q148&lt;($F$7-$E$7)/($G$7-$E$7),$E$7+SQRT(Q148*($G$7-$E$7)*($F$7-$E$7)),$G$7-SQRT((1-Q148)*($G$7-$E$7)*($G$7-$F$7))))</f>
        <v>1.00429353114239</v>
      </c>
      <c r="D148" s="51" t="n">
        <f aca="false">1+IF($G$8=$E$8,$F$8,IF(R148&lt;($F$8-$E$8)/($G$8-$E$8),$E$8+SQRT(R148*($G$8-$E$8)*($F$8-$E$8)),$G$8-SQRT((1-R148)*($G$8-$E$8)*($G$8-$F$8))))</f>
        <v>0.995533654116217</v>
      </c>
      <c r="E148" s="51" t="n">
        <f aca="false">1+IF($G$9=$E$9,$F$9,IF(S148&lt;($F$9-$E$9)/($G$9-$E$9),$E$9+SQRT(S148*($G$9-$E$9)*($F$9-$E$9)),$G$9-SQRT((1-S148)*($G$9-$E$9)*($G$9-$F$9))))</f>
        <v>0.930430169123627</v>
      </c>
      <c r="F148" s="51" t="n">
        <f aca="false">1+IF($G$10=$E$10,$F$10,IF(T148&lt;($F$10-$E$10)/($G$10-$E$10),$E$10+SQRT(T148*($G$10-$E$10)*($F$10-$E$10)),$G$10-SQRT((1-T148)*($G$10-$E$10)*($G$10-$F$10))))</f>
        <v>1.0804143599125</v>
      </c>
      <c r="G148" s="52" t="n">
        <f aca="false">IF($G$11=$E$11,$F$11,IF(U148&lt;($F$11-$E$11)/($G$11-$E$11),$E$11+SQRT(U148*($G$11-$E$11)*($F$11-$E$11)),$G$11-SQRT((1-U148)*($G$11-$E$11)*($G$11-$F$11))))</f>
        <v>0.0995007411008297</v>
      </c>
      <c r="H148" s="53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-2160828719.825</v>
      </c>
      <c r="I148" s="53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46420465.0559292</v>
      </c>
      <c r="J148" s="53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387148373.111538</v>
      </c>
      <c r="K148" s="53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781896999.162772</v>
      </c>
      <c r="L148" s="53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931445526.487342</v>
      </c>
      <c r="M148" s="53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1129294595.33719</v>
      </c>
      <c r="N148" s="53" t="n">
        <f aca="false">IF(COUNT('Business Case'!B11:G11)=0,"",H148+NPV(G148,I148:M148))</f>
        <v>130032910.341493</v>
      </c>
      <c r="P148" s="54" t="n">
        <f aca="true">RAND()</f>
        <v>0.975420971552103</v>
      </c>
      <c r="Q148" s="54" t="n">
        <f aca="true">RAND()</f>
        <v>0.685475924934009</v>
      </c>
      <c r="R148" s="54" t="n">
        <f aca="true">RAND()</f>
        <v>0.276441820956699</v>
      </c>
      <c r="S148" s="54" t="n">
        <f aca="true">RAND()</f>
        <v>0.0370398077157018</v>
      </c>
      <c r="T148" s="54" t="n">
        <f aca="true">RAND()</f>
        <v>0.616542809014836</v>
      </c>
      <c r="U148" s="54" t="n">
        <f aca="true">RAND()</f>
        <v>0.380278903481589</v>
      </c>
    </row>
    <row r="149" customFormat="false" ht="15" hidden="false" customHeight="false" outlineLevel="0" collapsed="false">
      <c r="A149" s="50" t="n">
        <v>69</v>
      </c>
      <c r="B149" s="51" t="n">
        <f aca="false">1+IF($G$6=$E$6,$F$6,IF(P149&lt;($F$6-$E$6)/($G$6-$E$6),$E$6+SQRT(P149*($G$6-$E$6)*($F$6-$E$6)),$G$6-SQRT((1-P149)*($G$6-$E$6)*($G$6-$F$6))))</f>
        <v>1.02866198479768</v>
      </c>
      <c r="C149" s="51" t="n">
        <f aca="false">1+IF($G$7=$E$7,$F$7,IF(Q149&lt;($F$7-$E$7)/($G$7-$E$7),$E$7+SQRT(Q149*($G$7-$E$7)*($F$7-$E$7)),$G$7-SQRT((1-Q149)*($G$7-$E$7)*($G$7-$F$7))))</f>
        <v>0.747677140755961</v>
      </c>
      <c r="D149" s="51" t="n">
        <f aca="false">1+IF($G$8=$E$8,$F$8,IF(R149&lt;($F$8-$E$8)/($G$8-$E$8),$E$8+SQRT(R149*($G$8-$E$8)*($F$8-$E$8)),$G$8-SQRT((1-R149)*($G$8-$E$8)*($G$8-$F$8))))</f>
        <v>0.972638654647652</v>
      </c>
      <c r="E149" s="51" t="n">
        <f aca="false">1+IF($G$9=$E$9,$F$9,IF(S149&lt;($F$9-$E$9)/($G$9-$E$9),$E$9+SQRT(S149*($G$9-$E$9)*($F$9-$E$9)),$G$9-SQRT((1-S149)*($G$9-$E$9)*($G$9-$F$9))))</f>
        <v>0.943563769992308</v>
      </c>
      <c r="F149" s="51" t="n">
        <f aca="false">1+IF($G$10=$E$10,$F$10,IF(T149&lt;($F$10-$E$10)/($G$10-$E$10),$E$10+SQRT(T149*($G$10-$E$10)*($F$10-$E$10)),$G$10-SQRT((1-T149)*($G$10-$E$10)*($G$10-$F$10))))</f>
        <v>1.16584803350838</v>
      </c>
      <c r="G149" s="52" t="n">
        <f aca="false">IF($G$11=$E$11,$F$11,IF(U149&lt;($F$11-$E$11)/($G$11-$E$11),$E$11+SQRT(U149*($G$11-$E$11)*($F$11-$E$11)),$G$11-SQRT((1-U149)*($G$11-$E$11)*($G$11-$F$11))))</f>
        <v>0.10035103616249</v>
      </c>
      <c r="H149" s="53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-2331696067.01677</v>
      </c>
      <c r="I149" s="53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-32954332.8645261</v>
      </c>
      <c r="J149" s="53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224721415.269526</v>
      </c>
      <c r="K149" s="53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540689565.078998</v>
      </c>
      <c r="L149" s="53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653161820.826905</v>
      </c>
      <c r="M149" s="53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799353689.19463</v>
      </c>
      <c r="N149" s="53" t="n">
        <f aca="false">IF(COUNT('Business Case'!B11:G11)=0,"",H149+NPV(G149,I149:M149))</f>
        <v>-829110041.395292</v>
      </c>
      <c r="P149" s="54" t="n">
        <f aca="true">RAND()</f>
        <v>0.939291880963388</v>
      </c>
      <c r="Q149" s="54" t="n">
        <f aca="true">RAND()</f>
        <v>0.0168378500049161</v>
      </c>
      <c r="R149" s="54" t="n">
        <f aca="true">RAND()</f>
        <v>0.0683344912340854</v>
      </c>
      <c r="S149" s="54" t="n">
        <f aca="true">RAND()</f>
        <v>0.0759120822377088</v>
      </c>
      <c r="T149" s="54" t="n">
        <f aca="true">RAND()</f>
        <v>0.905579287141251</v>
      </c>
      <c r="U149" s="54" t="n">
        <f aca="true">RAND()</f>
        <v>0.413959295574669</v>
      </c>
    </row>
    <row r="150" customFormat="false" ht="15" hidden="false" customHeight="false" outlineLevel="0" collapsed="false">
      <c r="A150" s="50" t="n">
        <v>70</v>
      </c>
      <c r="B150" s="51" t="n">
        <f aca="false">1+IF($G$6=$E$6,$F$6,IF(P150&lt;($F$6-$E$6)/($G$6-$E$6),$E$6+SQRT(P150*($G$6-$E$6)*($F$6-$E$6)),$G$6-SQRT((1-P150)*($G$6-$E$6)*($G$6-$F$6))))</f>
        <v>0.983133780576217</v>
      </c>
      <c r="C150" s="51" t="n">
        <f aca="false">1+IF($G$7=$E$7,$F$7,IF(Q150&lt;($F$7-$E$7)/($G$7-$E$7),$E$7+SQRT(Q150*($G$7-$E$7)*($F$7-$E$7)),$G$7-SQRT((1-Q150)*($G$7-$E$7)*($G$7-$F$7))))</f>
        <v>0.906147224131198</v>
      </c>
      <c r="D150" s="51" t="n">
        <f aca="false">1+IF($G$8=$E$8,$F$8,IF(R150&lt;($F$8-$E$8)/($G$8-$E$8),$E$8+SQRT(R150*($G$8-$E$8)*($F$8-$E$8)),$G$8-SQRT((1-R150)*($G$8-$E$8)*($G$8-$F$8))))</f>
        <v>1.02580515987334</v>
      </c>
      <c r="E150" s="51" t="n">
        <f aca="false">1+IF($G$9=$E$9,$F$9,IF(S150&lt;($F$9-$E$9)/($G$9-$E$9),$E$9+SQRT(S150*($G$9-$E$9)*($F$9-$E$9)),$G$9-SQRT((1-S150)*($G$9-$E$9)*($G$9-$F$9))))</f>
        <v>0.965946524951012</v>
      </c>
      <c r="F150" s="51" t="n">
        <f aca="false">1+IF($G$10=$E$10,$F$10,IF(T150&lt;($F$10-$E$10)/($G$10-$E$10),$E$10+SQRT(T150*($G$10-$E$10)*($F$10-$E$10)),$G$10-SQRT((1-T150)*($G$10-$E$10)*($G$10-$F$10))))</f>
        <v>1.05108052964449</v>
      </c>
      <c r="G150" s="52" t="n">
        <f aca="false">IF($G$11=$E$11,$F$11,IF(U150&lt;($F$11-$E$11)/($G$11-$E$11),$E$11+SQRT(U150*($G$11-$E$11)*($F$11-$E$11)),$G$11-SQRT((1-U150)*($G$11-$E$11)*($G$11-$F$11))))</f>
        <v>0.104748714149575</v>
      </c>
      <c r="H150" s="53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-2102161059.28898</v>
      </c>
      <c r="I150" s="53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-34811574.2240978</v>
      </c>
      <c r="J150" s="53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219024887.336267</v>
      </c>
      <c r="K150" s="53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525415375.378856</v>
      </c>
      <c r="L150" s="53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640815787.213631</v>
      </c>
      <c r="M150" s="53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810151206.110892</v>
      </c>
      <c r="N150" s="53" t="n">
        <f aca="false">IF(COUNT('Business Case'!B11:G11)=0,"",H150+NPV(G150,I150:M150))</f>
        <v>-641998770.894906</v>
      </c>
      <c r="P150" s="54" t="n">
        <f aca="true">RAND()</f>
        <v>0.460748364859639</v>
      </c>
      <c r="Q150" s="54" t="n">
        <f aca="true">RAND()</f>
        <v>0.314790207533323</v>
      </c>
      <c r="R150" s="54" t="n">
        <f aca="true">RAND()</f>
        <v>0.633008379905299</v>
      </c>
      <c r="S150" s="54" t="n">
        <f aca="true">RAND()</f>
        <v>0.17395776612458</v>
      </c>
      <c r="T150" s="54" t="n">
        <f aca="true">RAND()</f>
        <v>0.472413924179773</v>
      </c>
      <c r="U150" s="54" t="n">
        <f aca="true">RAND()</f>
        <v>0.57491504193341</v>
      </c>
    </row>
    <row r="151" customFormat="false" ht="15" hidden="false" customHeight="false" outlineLevel="0" collapsed="false">
      <c r="A151" s="50" t="n">
        <v>71</v>
      </c>
      <c r="B151" s="51" t="n">
        <f aca="false">1+IF($G$6=$E$6,$F$6,IF(P151&lt;($F$6-$E$6)/($G$6-$E$6),$E$6+SQRT(P151*($G$6-$E$6)*($F$6-$E$6)),$G$6-SQRT((1-P151)*($G$6-$E$6)*($G$6-$F$6))))</f>
        <v>0.912569722408992</v>
      </c>
      <c r="C151" s="51" t="n">
        <f aca="false">1+IF($G$7=$E$7,$F$7,IF(Q151&lt;($F$7-$E$7)/($G$7-$E$7),$E$7+SQRT(Q151*($G$7-$E$7)*($F$7-$E$7)),$G$7-SQRT((1-Q151)*($G$7-$E$7)*($G$7-$F$7))))</f>
        <v>0.994947393858594</v>
      </c>
      <c r="D151" s="51" t="n">
        <f aca="false">1+IF($G$8=$E$8,$F$8,IF(R151&lt;($F$8-$E$8)/($G$8-$E$8),$E$8+SQRT(R151*($G$8-$E$8)*($F$8-$E$8)),$G$8-SQRT((1-R151)*($G$8-$E$8)*($G$8-$F$8))))</f>
        <v>0.98143138035108</v>
      </c>
      <c r="E151" s="51" t="n">
        <f aca="false">1+IF($G$9=$E$9,$F$9,IF(S151&lt;($F$9-$E$9)/($G$9-$E$9),$E$9+SQRT(S151*($G$9-$E$9)*($F$9-$E$9)),$G$9-SQRT((1-S151)*($G$9-$E$9)*($G$9-$F$9))))</f>
        <v>1.0800054228966</v>
      </c>
      <c r="F151" s="51" t="n">
        <f aca="false">1+IF($G$10=$E$10,$F$10,IF(T151&lt;($F$10-$E$10)/($G$10-$E$10),$E$10+SQRT(T151*($G$10-$E$10)*($F$10-$E$10)),$G$10-SQRT((1-T151)*($G$10-$E$10)*($G$10-$F$10))))</f>
        <v>1.18855586746169</v>
      </c>
      <c r="G151" s="52" t="n">
        <f aca="false">IF($G$11=$E$11,$F$11,IF(U151&lt;($F$11-$E$11)/($G$11-$E$11),$E$11+SQRT(U151*($G$11-$E$11)*($F$11-$E$11)),$G$11-SQRT((1-U151)*($G$11-$E$11)*($G$11-$F$11))))</f>
        <v>0.10678844387161</v>
      </c>
      <c r="H151" s="53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-2377111734.92338</v>
      </c>
      <c r="I151" s="53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-75693110.8043943</v>
      </c>
      <c r="J151" s="53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168114723.939857</v>
      </c>
      <c r="K151" s="53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471350352.057193</v>
      </c>
      <c r="L151" s="53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583998688.749664</v>
      </c>
      <c r="M151" s="53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756583510.193793</v>
      </c>
      <c r="N151" s="53" t="n">
        <f aca="false">IF(COUNT('Business Case'!B11:G11)=0,"",H151+NPV(G151,I151:M151))</f>
        <v>-1115876491.34582</v>
      </c>
      <c r="P151" s="54" t="n">
        <f aca="true">RAND()</f>
        <v>0.0105331947626077</v>
      </c>
      <c r="Q151" s="54" t="n">
        <f aca="true">RAND()</f>
        <v>0.644399741807233</v>
      </c>
      <c r="R151" s="54" t="n">
        <f aca="true">RAND()</f>
        <v>0.131724222769903</v>
      </c>
      <c r="S151" s="54" t="n">
        <f aca="true">RAND()</f>
        <v>0.869353578029754</v>
      </c>
      <c r="T151" s="54" t="n">
        <f aca="true">RAND()</f>
        <v>0.94966158102153</v>
      </c>
      <c r="U151" s="54" t="n">
        <f aca="true">RAND()</f>
        <v>0.640815774732406</v>
      </c>
    </row>
    <row r="152" customFormat="false" ht="15" hidden="false" customHeight="false" outlineLevel="0" collapsed="false">
      <c r="A152" s="50" t="n">
        <v>72</v>
      </c>
      <c r="B152" s="51" t="n">
        <f aca="false">1+IF($G$6=$E$6,$F$6,IF(P152&lt;($F$6-$E$6)/($G$6-$E$6),$E$6+SQRT(P152*($G$6-$E$6)*($F$6-$E$6)),$G$6-SQRT((1-P152)*($G$6-$E$6)*($G$6-$F$6))))</f>
        <v>0.940565675453722</v>
      </c>
      <c r="C152" s="51" t="n">
        <f aca="false">1+IF($G$7=$E$7,$F$7,IF(Q152&lt;($F$7-$E$7)/($G$7-$E$7),$E$7+SQRT(Q152*($G$7-$E$7)*($F$7-$E$7)),$G$7-SQRT((1-Q152)*($G$7-$E$7)*($G$7-$F$7))))</f>
        <v>1.09829018285023</v>
      </c>
      <c r="D152" s="51" t="n">
        <f aca="false">1+IF($G$8=$E$8,$F$8,IF(R152&lt;($F$8-$E$8)/($G$8-$E$8),$E$8+SQRT(R152*($G$8-$E$8)*($F$8-$E$8)),$G$8-SQRT((1-R152)*($G$8-$E$8)*($G$8-$F$8))))</f>
        <v>1.01541621523228</v>
      </c>
      <c r="E152" s="51" t="n">
        <f aca="false">1+IF($G$9=$E$9,$F$9,IF(S152&lt;($F$9-$E$9)/($G$9-$E$9),$E$9+SQRT(S152*($G$9-$E$9)*($F$9-$E$9)),$G$9-SQRT((1-S152)*($G$9-$E$9)*($G$9-$F$9))))</f>
        <v>1.03314686974798</v>
      </c>
      <c r="F152" s="51" t="n">
        <f aca="false">1+IF($G$10=$E$10,$F$10,IF(T152&lt;($F$10-$E$10)/($G$10-$E$10),$E$10+SQRT(T152*($G$10-$E$10)*($F$10-$E$10)),$G$10-SQRT((1-T152)*($G$10-$E$10)*($G$10-$F$10))))</f>
        <v>1.0931310311243</v>
      </c>
      <c r="G152" s="52" t="n">
        <f aca="false">IF($G$11=$E$11,$F$11,IF(U152&lt;($F$11-$E$11)/($G$11-$E$11),$E$11+SQRT(U152*($G$11-$E$11)*($F$11-$E$11)),$G$11-SQRT((1-U152)*($G$11-$E$11)*($G$11-$F$11))))</f>
        <v>0.105572743010778</v>
      </c>
      <c r="H152" s="53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-2186262062.24861</v>
      </c>
      <c r="I152" s="53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-34569426.7072644</v>
      </c>
      <c r="J152" s="53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240639182.807626</v>
      </c>
      <c r="K152" s="53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570504343.878732</v>
      </c>
      <c r="L152" s="53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697941512.53807</v>
      </c>
      <c r="M152" s="53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894296822.720462</v>
      </c>
      <c r="N152" s="53" t="n">
        <f aca="false">IF(COUNT('Business Case'!B11:G11)=0,"",H152+NPV(G152,I152:M152))</f>
        <v>-589877708.633761</v>
      </c>
      <c r="P152" s="54" t="n">
        <f aca="true">RAND()</f>
        <v>0.109704935001114</v>
      </c>
      <c r="Q152" s="54" t="n">
        <f aca="true">RAND()</f>
        <v>0.960386589782781</v>
      </c>
      <c r="R152" s="54" t="n">
        <f aca="true">RAND()</f>
        <v>0.523038890291158</v>
      </c>
      <c r="S152" s="54" t="n">
        <f aca="true">RAND()</f>
        <v>0.635875892008145</v>
      </c>
      <c r="T152" s="54" t="n">
        <f aca="true">RAND()</f>
        <v>0.671895021385013</v>
      </c>
      <c r="U152" s="54" t="n">
        <f aca="true">RAND()</f>
        <v>0.602206077321654</v>
      </c>
    </row>
    <row r="153" customFormat="false" ht="15" hidden="false" customHeight="false" outlineLevel="0" collapsed="false">
      <c r="A153" s="50" t="n">
        <v>73</v>
      </c>
      <c r="B153" s="51" t="n">
        <f aca="false">1+IF($G$6=$E$6,$F$6,IF(P153&lt;($F$6-$E$6)/($G$6-$E$6),$E$6+SQRT(P153*($G$6-$E$6)*($F$6-$E$6)),$G$6-SQRT((1-P153)*($G$6-$E$6)*($G$6-$F$6))))</f>
        <v>1.04749461878422</v>
      </c>
      <c r="C153" s="51" t="n">
        <f aca="false">1+IF($G$7=$E$7,$F$7,IF(Q153&lt;($F$7-$E$7)/($G$7-$E$7),$E$7+SQRT(Q153*($G$7-$E$7)*($F$7-$E$7)),$G$7-SQRT((1-Q153)*($G$7-$E$7)*($G$7-$F$7))))</f>
        <v>0.88968197852156</v>
      </c>
      <c r="D153" s="51" t="n">
        <f aca="false">1+IF($G$8=$E$8,$F$8,IF(R153&lt;($F$8-$E$8)/($G$8-$E$8),$E$8+SQRT(R153*($G$8-$E$8)*($F$8-$E$8)),$G$8-SQRT((1-R153)*($G$8-$E$8)*($G$8-$F$8))))</f>
        <v>1.0412812905112</v>
      </c>
      <c r="E153" s="51" t="n">
        <f aca="false">1+IF($G$9=$E$9,$F$9,IF(S153&lt;($F$9-$E$9)/($G$9-$E$9),$E$9+SQRT(S153*($G$9-$E$9)*($F$9-$E$9)),$G$9-SQRT((1-S153)*($G$9-$E$9)*($G$9-$F$9))))</f>
        <v>1.02127311733027</v>
      </c>
      <c r="F153" s="51" t="n">
        <f aca="false">1+IF($G$10=$E$10,$F$10,IF(T153&lt;($F$10-$E$10)/($G$10-$E$10),$E$10+SQRT(T153*($G$10-$E$10)*($F$10-$E$10)),$G$10-SQRT((1-T153)*($G$10-$E$10)*($G$10-$F$10))))</f>
        <v>0.999390010515228</v>
      </c>
      <c r="G153" s="52" t="n">
        <f aca="false">IF($G$11=$E$11,$F$11,IF(U153&lt;($F$11-$E$11)/($G$11-$E$11),$E$11+SQRT(U153*($G$11-$E$11)*($F$11-$E$11)),$G$11-SQRT((1-U153)*($G$11-$E$11)*($G$11-$F$11))))</f>
        <v>0.100038182007568</v>
      </c>
      <c r="H153" s="53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-1998780021.03046</v>
      </c>
      <c r="I153" s="53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-4399481.80910803</v>
      </c>
      <c r="J153" s="53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284676693.200475</v>
      </c>
      <c r="K153" s="53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623722368.73582</v>
      </c>
      <c r="L153" s="53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752288839.394217</v>
      </c>
      <c r="M153" s="53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929431440.497832</v>
      </c>
      <c r="N153" s="53" t="n">
        <f aca="false">IF(COUNT('Business Case'!B11:G11)=0,"",H153+NPV(G153,I153:M153))</f>
        <v>-208206980.093368</v>
      </c>
      <c r="P153" s="54" t="n">
        <f aca="true">RAND()</f>
        <v>0.999163075328482</v>
      </c>
      <c r="Q153" s="54" t="n">
        <f aca="true">RAND()</f>
        <v>0.266512985006322</v>
      </c>
      <c r="R153" s="54" t="n">
        <f aca="true">RAND()</f>
        <v>0.770140877064672</v>
      </c>
      <c r="S153" s="54" t="n">
        <f aca="true">RAND()</f>
        <v>0.558117058083563</v>
      </c>
      <c r="T153" s="54" t="n">
        <f aca="true">RAND()</f>
        <v>0.162624875912958</v>
      </c>
      <c r="U153" s="54" t="n">
        <f aca="true">RAND()</f>
        <v>0.401526308392244</v>
      </c>
    </row>
    <row r="154" customFormat="false" ht="15" hidden="false" customHeight="false" outlineLevel="0" collapsed="false">
      <c r="A154" s="50" t="n">
        <v>74</v>
      </c>
      <c r="B154" s="51" t="n">
        <f aca="false">1+IF($G$6=$E$6,$F$6,IF(P154&lt;($F$6-$E$6)/($G$6-$E$6),$E$6+SQRT(P154*($G$6-$E$6)*($F$6-$E$6)),$G$6-SQRT((1-P154)*($G$6-$E$6)*($G$6-$F$6))))</f>
        <v>0.954089724271333</v>
      </c>
      <c r="C154" s="51" t="n">
        <f aca="false">1+IF($G$7=$E$7,$F$7,IF(Q154&lt;($F$7-$E$7)/($G$7-$E$7),$E$7+SQRT(Q154*($G$7-$E$7)*($F$7-$E$7)),$G$7-SQRT((1-Q154)*($G$7-$E$7)*($G$7-$F$7))))</f>
        <v>0.8579304481238</v>
      </c>
      <c r="D154" s="51" t="n">
        <f aca="false">1+IF($G$8=$E$8,$F$8,IF(R154&lt;($F$8-$E$8)/($G$8-$E$8),$E$8+SQRT(R154*($G$8-$E$8)*($F$8-$E$8)),$G$8-SQRT((1-R154)*($G$8-$E$8)*($G$8-$F$8))))</f>
        <v>1.02642638031646</v>
      </c>
      <c r="E154" s="51" t="n">
        <f aca="false">1+IF($G$9=$E$9,$F$9,IF(S154&lt;($F$9-$E$9)/($G$9-$E$9),$E$9+SQRT(S154*($G$9-$E$9)*($F$9-$E$9)),$G$9-SQRT((1-S154)*($G$9-$E$9)*($G$9-$F$9))))</f>
        <v>1.07820486108046</v>
      </c>
      <c r="F154" s="51" t="n">
        <f aca="false">1+IF($G$10=$E$10,$F$10,IF(T154&lt;($F$10-$E$10)/($G$10-$E$10),$E$10+SQRT(T154*($G$10-$E$10)*($F$10-$E$10)),$G$10-SQRT((1-T154)*($G$10-$E$10)*($G$10-$F$10))))</f>
        <v>0.979335418769989</v>
      </c>
      <c r="G154" s="52" t="n">
        <f aca="false">IF($G$11=$E$11,$F$11,IF(U154&lt;($F$11-$E$11)/($G$11-$E$11),$E$11+SQRT(U154*($G$11-$E$11)*($F$11-$E$11)),$G$11-SQRT((1-U154)*($G$11-$E$11)*($G$11-$F$11))))</f>
        <v>0.0987057867156842</v>
      </c>
      <c r="H154" s="53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-1958670837.53998</v>
      </c>
      <c r="I154" s="53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-74040181.4462062</v>
      </c>
      <c r="J154" s="53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145607159.894387</v>
      </c>
      <c r="K154" s="53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414221272.173479</v>
      </c>
      <c r="L154" s="53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515725885.729783</v>
      </c>
      <c r="M154" s="53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671314467.831698</v>
      </c>
      <c r="N154" s="53" t="n">
        <f aca="false">IF(COUNT('Business Case'!B11:G11)=0,"",H154+NPV(G154,I154:M154))</f>
        <v>-819922928.909972</v>
      </c>
      <c r="P154" s="54" t="n">
        <f aca="true">RAND()</f>
        <v>0.19504655144992</v>
      </c>
      <c r="Q154" s="54" t="n">
        <f aca="true">RAND()</f>
        <v>0.184755751441365</v>
      </c>
      <c r="R154" s="54" t="n">
        <f aca="true">RAND()</f>
        <v>0.639128165777458</v>
      </c>
      <c r="S154" s="54" t="n">
        <f aca="true">RAND()</f>
        <v>0.862545547400643</v>
      </c>
      <c r="T154" s="54" t="n">
        <f aca="true">RAND()</f>
        <v>0.0573711196273763</v>
      </c>
      <c r="U154" s="54" t="n">
        <f aca="true">RAND()</f>
        <v>0.349906456652666</v>
      </c>
    </row>
    <row r="155" customFormat="false" ht="15" hidden="false" customHeight="false" outlineLevel="0" collapsed="false">
      <c r="A155" s="50" t="n">
        <v>75</v>
      </c>
      <c r="B155" s="51" t="n">
        <f aca="false">1+IF($G$6=$E$6,$F$6,IF(P155&lt;($F$6-$E$6)/($G$6-$E$6),$E$6+SQRT(P155*($G$6-$E$6)*($F$6-$E$6)),$G$6-SQRT((1-P155)*($G$6-$E$6)*($G$6-$F$6))))</f>
        <v>0.979254335006792</v>
      </c>
      <c r="C155" s="51" t="n">
        <f aca="false">1+IF($G$7=$E$7,$F$7,IF(Q155&lt;($F$7-$E$7)/($G$7-$E$7),$E$7+SQRT(Q155*($G$7-$E$7)*($F$7-$E$7)),$G$7-SQRT((1-Q155)*($G$7-$E$7)*($G$7-$F$7))))</f>
        <v>1.12290567885735</v>
      </c>
      <c r="D155" s="51" t="n">
        <f aca="false">1+IF($G$8=$E$8,$F$8,IF(R155&lt;($F$8-$E$8)/($G$8-$E$8),$E$8+SQRT(R155*($G$8-$E$8)*($F$8-$E$8)),$G$8-SQRT((1-R155)*($G$8-$E$8)*($G$8-$F$8))))</f>
        <v>0.987668800372881</v>
      </c>
      <c r="E155" s="51" t="n">
        <f aca="false">1+IF($G$9=$E$9,$F$9,IF(S155&lt;($F$9-$E$9)/($G$9-$E$9),$E$9+SQRT(S155*($G$9-$E$9)*($F$9-$E$9)),$G$9-SQRT((1-S155)*($G$9-$E$9)*($G$9-$F$9))))</f>
        <v>1.04251778011544</v>
      </c>
      <c r="F155" s="51" t="n">
        <f aca="false">1+IF($G$10=$E$10,$F$10,IF(T155&lt;($F$10-$E$10)/($G$10-$E$10),$E$10+SQRT(T155*($G$10-$E$10)*($F$10-$E$10)),$G$10-SQRT((1-T155)*($G$10-$E$10)*($G$10-$F$10))))</f>
        <v>1.13208090609534</v>
      </c>
      <c r="G155" s="52" t="n">
        <f aca="false">IF($G$11=$E$11,$F$11,IF(U155&lt;($F$11-$E$11)/($G$11-$E$11),$E$11+SQRT(U155*($G$11-$E$11)*($F$11-$E$11)),$G$11-SQRT((1-U155)*($G$11-$E$11)*($G$11-$F$11))))</f>
        <v>0.111146071819561</v>
      </c>
      <c r="H155" s="53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-2264161812.19068</v>
      </c>
      <c r="I155" s="53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14452620.7912488</v>
      </c>
      <c r="J155" s="53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347363156.082725</v>
      </c>
      <c r="K155" s="53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736877736.678968</v>
      </c>
      <c r="L155" s="53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885850445.481645</v>
      </c>
      <c r="M155" s="53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1094864362.52866</v>
      </c>
      <c r="N155" s="53" t="n">
        <f aca="false">IF(COUNT('Business Case'!B11:G11)=0,"",H155+NPV(G155,I155:M155))</f>
        <v>-205137155.372708</v>
      </c>
      <c r="P155" s="54" t="n">
        <f aca="true">RAND()</f>
        <v>0.41874997449125</v>
      </c>
      <c r="Q155" s="54" t="n">
        <f aca="true">RAND()</f>
        <v>0.989124411286204</v>
      </c>
      <c r="R155" s="54" t="n">
        <f aca="true">RAND()</f>
        <v>0.189191802870929</v>
      </c>
      <c r="S155" s="54" t="n">
        <f aca="true">RAND()</f>
        <v>0.69193526423166</v>
      </c>
      <c r="T155" s="54" t="n">
        <f aca="true">RAND()</f>
        <v>0.814601163902714</v>
      </c>
      <c r="U155" s="54" t="n">
        <f aca="true">RAND()</f>
        <v>0.763019594777898</v>
      </c>
    </row>
    <row r="156" customFormat="false" ht="15" hidden="false" customHeight="false" outlineLevel="0" collapsed="false">
      <c r="A156" s="50" t="n">
        <v>76</v>
      </c>
      <c r="B156" s="51" t="n">
        <f aca="false">1+IF($G$6=$E$6,$F$6,IF(P156&lt;($F$6-$E$6)/($G$6-$E$6),$E$6+SQRT(P156*($G$6-$E$6)*($F$6-$E$6)),$G$6-SQRT((1-P156)*($G$6-$E$6)*($G$6-$F$6))))</f>
        <v>0.975476167873377</v>
      </c>
      <c r="C156" s="51" t="n">
        <f aca="false">1+IF($G$7=$E$7,$F$7,IF(Q156&lt;($F$7-$E$7)/($G$7-$E$7),$E$7+SQRT(Q156*($G$7-$E$7)*($F$7-$E$7)),$G$7-SQRT((1-Q156)*($G$7-$E$7)*($G$7-$F$7))))</f>
        <v>0.754369920173032</v>
      </c>
      <c r="D156" s="51" t="n">
        <f aca="false">1+IF($G$8=$E$8,$F$8,IF(R156&lt;($F$8-$E$8)/($G$8-$E$8),$E$8+SQRT(R156*($G$8-$E$8)*($F$8-$E$8)),$G$8-SQRT((1-R156)*($G$8-$E$8)*($G$8-$F$8))))</f>
        <v>1.05421025453672</v>
      </c>
      <c r="E156" s="51" t="n">
        <f aca="false">1+IF($G$9=$E$9,$F$9,IF(S156&lt;($F$9-$E$9)/($G$9-$E$9),$E$9+SQRT(S156*($G$9-$E$9)*($F$9-$E$9)),$G$9-SQRT((1-S156)*($G$9-$E$9)*($G$9-$F$9))))</f>
        <v>1.03341278136505</v>
      </c>
      <c r="F156" s="51" t="n">
        <f aca="false">1+IF($G$10=$E$10,$F$10,IF(T156&lt;($F$10-$E$10)/($G$10-$E$10),$E$10+SQRT(T156*($G$10-$E$10)*($F$10-$E$10)),$G$10-SQRT((1-T156)*($G$10-$E$10)*($G$10-$F$10))))</f>
        <v>1.16577069299989</v>
      </c>
      <c r="G156" s="52" t="n">
        <f aca="false">IF($G$11=$E$11,$F$11,IF(U156&lt;($F$11-$E$11)/($G$11-$E$11),$E$11+SQRT(U156*($G$11-$E$11)*($F$11-$E$11)),$G$11-SQRT((1-U156)*($G$11-$E$11)*($G$11-$F$11))))</f>
        <v>0.0949299267390623</v>
      </c>
      <c r="H156" s="53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-2331541385.99978</v>
      </c>
      <c r="I156" s="53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-106057253.576586</v>
      </c>
      <c r="J156" s="53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89561354.1785505</v>
      </c>
      <c r="K156" s="53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343468496.583681</v>
      </c>
      <c r="L156" s="53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434106362.183142</v>
      </c>
      <c r="M156" s="53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573980508.762427</v>
      </c>
      <c r="N156" s="53" t="n">
        <f aca="false">IF(COUNT('Business Case'!B11:G11)=0,"",H156+NPV(G156,I156:M156))</f>
        <v>-1425288963.01727</v>
      </c>
      <c r="P156" s="54" t="n">
        <f aca="true">RAND()</f>
        <v>0.379776794456678</v>
      </c>
      <c r="Q156" s="54" t="n">
        <f aca="true">RAND()</f>
        <v>0.0218969497749767</v>
      </c>
      <c r="R156" s="54" t="n">
        <f aca="true">RAND()</f>
        <v>0.860219947360525</v>
      </c>
      <c r="S156" s="54" t="n">
        <f aca="true">RAND()</f>
        <v>0.637531212025769</v>
      </c>
      <c r="T156" s="54" t="n">
        <f aca="true">RAND()</f>
        <v>0.905405651230417</v>
      </c>
      <c r="U156" s="54" t="n">
        <f aca="true">RAND()</f>
        <v>0.222902712433766</v>
      </c>
    </row>
    <row r="157" customFormat="false" ht="15" hidden="false" customHeight="false" outlineLevel="0" collapsed="false">
      <c r="A157" s="50" t="n">
        <v>77</v>
      </c>
      <c r="B157" s="51" t="n">
        <f aca="false">1+IF($G$6=$E$6,$F$6,IF(P157&lt;($F$6-$E$6)/($G$6-$E$6),$E$6+SQRT(P157*($G$6-$E$6)*($F$6-$E$6)),$G$6-SQRT((1-P157)*($G$6-$E$6)*($G$6-$F$6))))</f>
        <v>1.01169688652627</v>
      </c>
      <c r="C157" s="51" t="n">
        <f aca="false">1+IF($G$7=$E$7,$F$7,IF(Q157&lt;($F$7-$E$7)/($G$7-$E$7),$E$7+SQRT(Q157*($G$7-$E$7)*($F$7-$E$7)),$G$7-SQRT((1-Q157)*($G$7-$E$7)*($G$7-$F$7))))</f>
        <v>1.0229277368361</v>
      </c>
      <c r="D157" s="51" t="n">
        <f aca="false">1+IF($G$8=$E$8,$F$8,IF(R157&lt;($F$8-$E$8)/($G$8-$E$8),$E$8+SQRT(R157*($G$8-$E$8)*($F$8-$E$8)),$G$8-SQRT((1-R157)*($G$8-$E$8)*($G$8-$F$8))))</f>
        <v>0.982588404584531</v>
      </c>
      <c r="E157" s="51" t="n">
        <f aca="false">1+IF($G$9=$E$9,$F$9,IF(S157&lt;($F$9-$E$9)/($G$9-$E$9),$E$9+SQRT(S157*($G$9-$E$9)*($F$9-$E$9)),$G$9-SQRT((1-S157)*($G$9-$E$9)*($G$9-$F$9))))</f>
        <v>1.04622469018923</v>
      </c>
      <c r="F157" s="51" t="n">
        <f aca="false">1+IF($G$10=$E$10,$F$10,IF(T157&lt;($F$10-$E$10)/($G$10-$E$10),$E$10+SQRT(T157*($G$10-$E$10)*($F$10-$E$10)),$G$10-SQRT((1-T157)*($G$10-$E$10)*($G$10-$F$10))))</f>
        <v>1.02476140561906</v>
      </c>
      <c r="G157" s="52" t="n">
        <f aca="false">IF($G$11=$E$11,$F$11,IF(U157&lt;($F$11-$E$11)/($G$11-$E$11),$E$11+SQRT(U157*($G$11-$E$11)*($F$11-$E$11)),$G$11-SQRT((1-U157)*($G$11-$E$11)*($G$11-$F$11))))</f>
        <v>0.103670343525404</v>
      </c>
      <c r="H157" s="53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-2049522811.23812</v>
      </c>
      <c r="I157" s="53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28214125.8963956</v>
      </c>
      <c r="J157" s="53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361326386.388485</v>
      </c>
      <c r="K157" s="53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745676717.161526</v>
      </c>
      <c r="L157" s="53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892480032.718143</v>
      </c>
      <c r="M157" s="53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1089192457.37737</v>
      </c>
      <c r="N157" s="53" t="n">
        <f aca="false">IF(COUNT('Business Case'!B11:G11)=0,"",H157+NPV(G157,I157:M157))</f>
        <v>93981605.6441143</v>
      </c>
      <c r="P157" s="54" t="n">
        <f aca="true">RAND()</f>
        <v>0.804382866429129</v>
      </c>
      <c r="Q157" s="54" t="n">
        <f aca="true">RAND()</f>
        <v>0.760779850880071</v>
      </c>
      <c r="R157" s="54" t="n">
        <f aca="true">RAND()</f>
        <v>0.141600548448676</v>
      </c>
      <c r="S157" s="54" t="n">
        <f aca="true">RAND()</f>
        <v>0.712818268631427</v>
      </c>
      <c r="T157" s="54" t="n">
        <f aca="true">RAND()</f>
        <v>0.323567674683964</v>
      </c>
      <c r="U157" s="54" t="n">
        <f aca="true">RAND()</f>
        <v>0.537832793286515</v>
      </c>
    </row>
    <row r="158" customFormat="false" ht="15" hidden="false" customHeight="false" outlineLevel="0" collapsed="false">
      <c r="A158" s="50" t="n">
        <v>78</v>
      </c>
      <c r="B158" s="51" t="n">
        <f aca="false">1+IF($G$6=$E$6,$F$6,IF(P158&lt;($F$6-$E$6)/($G$6-$E$6),$E$6+SQRT(P158*($G$6-$E$6)*($F$6-$E$6)),$G$6-SQRT((1-P158)*($G$6-$E$6)*($G$6-$F$6))))</f>
        <v>0.960220872134834</v>
      </c>
      <c r="C158" s="51" t="n">
        <f aca="false">1+IF($G$7=$E$7,$F$7,IF(Q158&lt;($F$7-$E$7)/($G$7-$E$7),$E$7+SQRT(Q158*($G$7-$E$7)*($F$7-$E$7)),$G$7-SQRT((1-Q158)*($G$7-$E$7)*($G$7-$F$7))))</f>
        <v>0.767988543583753</v>
      </c>
      <c r="D158" s="51" t="n">
        <f aca="false">1+IF($G$8=$E$8,$F$8,IF(R158&lt;($F$8-$E$8)/($G$8-$E$8),$E$8+SQRT(R158*($G$8-$E$8)*($F$8-$E$8)),$G$8-SQRT((1-R158)*($G$8-$E$8)*($G$8-$F$8))))</f>
        <v>1.02568709966324</v>
      </c>
      <c r="E158" s="51" t="n">
        <f aca="false">1+IF($G$9=$E$9,$F$9,IF(S158&lt;($F$9-$E$9)/($G$9-$E$9),$E$9+SQRT(S158*($G$9-$E$9)*($F$9-$E$9)),$G$9-SQRT((1-S158)*($G$9-$E$9)*($G$9-$F$9))))</f>
        <v>1.02407040180537</v>
      </c>
      <c r="F158" s="51" t="n">
        <f aca="false">1+IF($G$10=$E$10,$F$10,IF(T158&lt;($F$10-$E$10)/($G$10-$E$10),$E$10+SQRT(T158*($G$10-$E$10)*($F$10-$E$10)),$G$10-SQRT((1-T158)*($G$10-$E$10)*($G$10-$F$10))))</f>
        <v>1.21366499193395</v>
      </c>
      <c r="G158" s="52" t="n">
        <f aca="false">IF($G$11=$E$11,$F$11,IF(U158&lt;($F$11-$E$11)/($G$11-$E$11),$E$11+SQRT(U158*($G$11-$E$11)*($F$11-$E$11)),$G$11-SQRT((1-U158)*($G$11-$E$11)*($G$11-$F$11))))</f>
        <v>0.108805770074219</v>
      </c>
      <c r="H158" s="53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-2427329983.86789</v>
      </c>
      <c r="I158" s="53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-104450340.989414</v>
      </c>
      <c r="J158" s="53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96317446.8843296</v>
      </c>
      <c r="K158" s="53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357768484.35477</v>
      </c>
      <c r="L158" s="53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450176959.334711</v>
      </c>
      <c r="M158" s="53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590349293.955854</v>
      </c>
      <c r="N158" s="53" t="n">
        <f aca="false">IF(COUNT('Business Case'!B11:G11)=0,"",H158+NPV(G158,I158:M158))</f>
        <v>-1530686005.85159</v>
      </c>
      <c r="P158" s="54" t="n">
        <f aca="true">RAND()</f>
        <v>0.241770229378667</v>
      </c>
      <c r="Q158" s="54" t="n">
        <f aca="true">RAND()</f>
        <v>0.0342403115454803</v>
      </c>
      <c r="R158" s="54" t="n">
        <f aca="true">RAND()</f>
        <v>0.631839522902566</v>
      </c>
      <c r="S158" s="54" t="n">
        <f aca="true">RAND()</f>
        <v>0.577112967961024</v>
      </c>
      <c r="T158" s="54" t="n">
        <f aca="true">RAND()</f>
        <v>0.982396895851197</v>
      </c>
      <c r="U158" s="54" t="n">
        <f aca="true">RAND()</f>
        <v>0.700536411902096</v>
      </c>
    </row>
    <row r="159" customFormat="false" ht="15" hidden="false" customHeight="false" outlineLevel="0" collapsed="false">
      <c r="A159" s="50" t="n">
        <v>79</v>
      </c>
      <c r="B159" s="51" t="n">
        <f aca="false">1+IF($G$6=$E$6,$F$6,IF(P159&lt;($F$6-$E$6)/($G$6-$E$6),$E$6+SQRT(P159*($G$6-$E$6)*($F$6-$E$6)),$G$6-SQRT((1-P159)*($G$6-$E$6)*($G$6-$F$6))))</f>
        <v>0.975942895791631</v>
      </c>
      <c r="C159" s="51" t="n">
        <f aca="false">1+IF($G$7=$E$7,$F$7,IF(Q159&lt;($F$7-$E$7)/($G$7-$E$7),$E$7+SQRT(Q159*($G$7-$E$7)*($F$7-$E$7)),$G$7-SQRT((1-Q159)*($G$7-$E$7)*($G$7-$F$7))))</f>
        <v>0.972074261028156</v>
      </c>
      <c r="D159" s="51" t="n">
        <f aca="false">1+IF($G$8=$E$8,$F$8,IF(R159&lt;($F$8-$E$8)/($G$8-$E$8),$E$8+SQRT(R159*($G$8-$E$8)*($F$8-$E$8)),$G$8-SQRT((1-R159)*($G$8-$E$8)*($G$8-$F$8))))</f>
        <v>0.987107031377583</v>
      </c>
      <c r="E159" s="51" t="n">
        <f aca="false">1+IF($G$9=$E$9,$F$9,IF(S159&lt;($F$9-$E$9)/($G$9-$E$9),$E$9+SQRT(S159*($G$9-$E$9)*($F$9-$E$9)),$G$9-SQRT((1-S159)*($G$9-$E$9)*($G$9-$F$9))))</f>
        <v>1.10083636535263</v>
      </c>
      <c r="F159" s="51" t="n">
        <f aca="false">1+IF($G$10=$E$10,$F$10,IF(T159&lt;($F$10-$E$10)/($G$10-$E$10),$E$10+SQRT(T159*($G$10-$E$10)*($F$10-$E$10)),$G$10-SQRT((1-T159)*($G$10-$E$10)*($G$10-$F$10))))</f>
        <v>1.06703303137854</v>
      </c>
      <c r="G159" s="52" t="n">
        <f aca="false">IF($G$11=$E$11,$F$11,IF(U159&lt;($F$11-$E$11)/($G$11-$E$11),$E$11+SQRT(U159*($G$11-$E$11)*($F$11-$E$11)),$G$11-SQRT((1-U159)*($G$11-$E$11)*($G$11-$F$11))))</f>
        <v>0.0976368768519494</v>
      </c>
      <c r="H159" s="53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-2134066062.75708</v>
      </c>
      <c r="I159" s="53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-26586100.8399084</v>
      </c>
      <c r="J159" s="53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259250068.776185</v>
      </c>
      <c r="K159" s="53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598437889.961205</v>
      </c>
      <c r="L159" s="53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726503303.943238</v>
      </c>
      <c r="M159" s="53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906830103.214919</v>
      </c>
      <c r="N159" s="53" t="n">
        <f aca="false">IF(COUNT('Business Case'!B11:G11)=0,"",H159+NPV(G159,I159:M159))</f>
        <v>-420925934.241802</v>
      </c>
      <c r="P159" s="54" t="n">
        <f aca="true">RAND()</f>
        <v>0.384488228081231</v>
      </c>
      <c r="Q159" s="54" t="n">
        <f aca="true">RAND()</f>
        <v>0.548328914918646</v>
      </c>
      <c r="R159" s="54" t="n">
        <f aca="true">RAND()</f>
        <v>0.183590903687586</v>
      </c>
      <c r="S159" s="54" t="n">
        <f aca="true">RAND()</f>
        <v>0.935544987420259</v>
      </c>
      <c r="T159" s="54" t="n">
        <f aca="true">RAND()</f>
        <v>0.553641178579646</v>
      </c>
      <c r="U159" s="54" t="n">
        <f aca="true">RAND()</f>
        <v>0.311059425090829</v>
      </c>
    </row>
    <row r="160" customFormat="false" ht="15" hidden="false" customHeight="false" outlineLevel="0" collapsed="false">
      <c r="A160" s="50" t="n">
        <v>80</v>
      </c>
      <c r="B160" s="51" t="n">
        <f aca="false">1+IF($G$6=$E$6,$F$6,IF(P160&lt;($F$6-$E$6)/($G$6-$E$6),$E$6+SQRT(P160*($G$6-$E$6)*($F$6-$E$6)),$G$6-SQRT((1-P160)*($G$6-$E$6)*($G$6-$F$6))))</f>
        <v>0.998058364167715</v>
      </c>
      <c r="C160" s="51" t="n">
        <f aca="false">1+IF($G$7=$E$7,$F$7,IF(Q160&lt;($F$7-$E$7)/($G$7-$E$7),$E$7+SQRT(Q160*($G$7-$E$7)*($F$7-$E$7)),$G$7-SQRT((1-Q160)*($G$7-$E$7)*($G$7-$F$7))))</f>
        <v>1.01427599841142</v>
      </c>
      <c r="D160" s="51" t="n">
        <f aca="false">1+IF($G$8=$E$8,$F$8,IF(R160&lt;($F$8-$E$8)/($G$8-$E$8),$E$8+SQRT(R160*($G$8-$E$8)*($F$8-$E$8)),$G$8-SQRT((1-R160)*($G$8-$E$8)*($G$8-$F$8))))</f>
        <v>0.991166196032721</v>
      </c>
      <c r="E160" s="51" t="n">
        <f aca="false">1+IF($G$9=$E$9,$F$9,IF(S160&lt;($F$9-$E$9)/($G$9-$E$9),$E$9+SQRT(S160*($G$9-$E$9)*($F$9-$E$9)),$G$9-SQRT((1-S160)*($G$9-$E$9)*($G$9-$F$9))))</f>
        <v>1.06106834195769</v>
      </c>
      <c r="F160" s="51" t="n">
        <f aca="false">1+IF($G$10=$E$10,$F$10,IF(T160&lt;($F$10-$E$10)/($G$10-$E$10),$E$10+SQRT(T160*($G$10-$E$10)*($F$10-$E$10)),$G$10-SQRT((1-T160)*($G$10-$E$10)*($G$10-$F$10))))</f>
        <v>1.16439630997676</v>
      </c>
      <c r="G160" s="52" t="n">
        <f aca="false">IF($G$11=$E$11,$F$11,IF(U160&lt;($F$11-$E$11)/($G$11-$E$11),$E$11+SQRT(U160*($G$11-$E$11)*($F$11-$E$11)),$G$11-SQRT((1-U160)*($G$11-$E$11)*($G$11-$F$11))))</f>
        <v>0.115472103931473</v>
      </c>
      <c r="H160" s="53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-2328792619.95352</v>
      </c>
      <c r="I160" s="53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-5290907.54307394</v>
      </c>
      <c r="J160" s="53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309219710.551938</v>
      </c>
      <c r="K160" s="53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681950144.145787</v>
      </c>
      <c r="L160" s="53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821772334.453475</v>
      </c>
      <c r="M160" s="53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1014191581.3049</v>
      </c>
      <c r="N160" s="53" t="n">
        <f aca="false">IF(COUNT('Business Case'!B11:G11)=0,"",H160+NPV(G160,I160:M160))</f>
        <v>-475651650.882253</v>
      </c>
      <c r="P160" s="54" t="n">
        <f aca="true">RAND()</f>
        <v>0.64102951888322</v>
      </c>
      <c r="Q160" s="54" t="n">
        <f aca="true">RAND()</f>
        <v>0.727096228041223</v>
      </c>
      <c r="R160" s="54" t="n">
        <f aca="true">RAND()</f>
        <v>0.22595409277392</v>
      </c>
      <c r="S160" s="54" t="n">
        <f aca="true">RAND()</f>
        <v>0.789097605275886</v>
      </c>
      <c r="T160" s="54" t="n">
        <f aca="true">RAND()</f>
        <v>0.902293443392072</v>
      </c>
      <c r="U160" s="54" t="n">
        <f aca="true">RAND()</f>
        <v>0.859293490548049</v>
      </c>
    </row>
    <row r="161" customFormat="false" ht="15" hidden="false" customHeight="false" outlineLevel="0" collapsed="false">
      <c r="A161" s="50" t="n">
        <v>81</v>
      </c>
      <c r="B161" s="51" t="n">
        <f aca="false">1+IF($G$6=$E$6,$F$6,IF(P161&lt;($F$6-$E$6)/($G$6-$E$6),$E$6+SQRT(P161*($G$6-$E$6)*($F$6-$E$6)),$G$6-SQRT((1-P161)*($G$6-$E$6)*($G$6-$F$6))))</f>
        <v>0.993505272415297</v>
      </c>
      <c r="C161" s="51" t="n">
        <f aca="false">1+IF($G$7=$E$7,$F$7,IF(Q161&lt;($F$7-$E$7)/($G$7-$E$7),$E$7+SQRT(Q161*($G$7-$E$7)*($F$7-$E$7)),$G$7-SQRT((1-Q161)*($G$7-$E$7)*($G$7-$F$7))))</f>
        <v>0.938613537153536</v>
      </c>
      <c r="D161" s="51" t="n">
        <f aca="false">1+IF($G$8=$E$8,$F$8,IF(R161&lt;($F$8-$E$8)/($G$8-$E$8),$E$8+SQRT(R161*($G$8-$E$8)*($F$8-$E$8)),$G$8-SQRT((1-R161)*($G$8-$E$8)*($G$8-$F$8))))</f>
        <v>0.980898177477388</v>
      </c>
      <c r="E161" s="51" t="n">
        <f aca="false">1+IF($G$9=$E$9,$F$9,IF(S161&lt;($F$9-$E$9)/($G$9-$E$9),$E$9+SQRT(S161*($G$9-$E$9)*($F$9-$E$9)),$G$9-SQRT((1-S161)*($G$9-$E$9)*($G$9-$F$9))))</f>
        <v>1.011912712323</v>
      </c>
      <c r="F161" s="51" t="n">
        <f aca="false">1+IF($G$10=$E$10,$F$10,IF(T161&lt;($F$10-$E$10)/($G$10-$E$10),$E$10+SQRT(T161*($G$10-$E$10)*($F$10-$E$10)),$G$10-SQRT((1-T161)*($G$10-$E$10)*($G$10-$F$10))))</f>
        <v>1.18822609038406</v>
      </c>
      <c r="G161" s="52" t="n">
        <f aca="false">IF($G$11=$E$11,$F$11,IF(U161&lt;($F$11-$E$11)/($G$11-$E$11),$E$11+SQRT(U161*($G$11-$E$11)*($F$11-$E$11)),$G$11-SQRT((1-U161)*($G$11-$E$11)*($G$11-$F$11))))</f>
        <v>0.0993918846946767</v>
      </c>
      <c r="H161" s="53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-2376452180.76811</v>
      </c>
      <c r="I161" s="53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-18576042.6902426</v>
      </c>
      <c r="J161" s="53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273906218.442548</v>
      </c>
      <c r="K161" s="53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625799784.094542</v>
      </c>
      <c r="L161" s="53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755521675.867005</v>
      </c>
      <c r="M161" s="53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932774601.872096</v>
      </c>
      <c r="N161" s="53" t="n">
        <f aca="false">IF(COUNT('Business Case'!B11:G11)=0,"",H161+NPV(G161,I161:M161))</f>
        <v>-597818871.148093</v>
      </c>
      <c r="P161" s="54" t="n">
        <f aca="true">RAND()</f>
        <v>0.582882397963921</v>
      </c>
      <c r="Q161" s="54" t="n">
        <f aca="true">RAND()</f>
        <v>0.421751260095719</v>
      </c>
      <c r="R161" s="54" t="n">
        <f aca="true">RAND()</f>
        <v>0.127292982856557</v>
      </c>
      <c r="S161" s="54" t="n">
        <f aca="true">RAND()</f>
        <v>0.491517359520238</v>
      </c>
      <c r="T161" s="54" t="n">
        <f aca="true">RAND()</f>
        <v>0.949119787876816</v>
      </c>
      <c r="U161" s="54" t="n">
        <f aca="true">RAND()</f>
        <v>0.376045192011635</v>
      </c>
    </row>
    <row r="162" customFormat="false" ht="15" hidden="false" customHeight="false" outlineLevel="0" collapsed="false">
      <c r="A162" s="50" t="n">
        <v>82</v>
      </c>
      <c r="B162" s="51" t="n">
        <f aca="false">1+IF($G$6=$E$6,$F$6,IF(P162&lt;($F$6-$E$6)/($G$6-$E$6),$E$6+SQRT(P162*($G$6-$E$6)*($F$6-$E$6)),$G$6-SQRT((1-P162)*($G$6-$E$6)*($G$6-$F$6))))</f>
        <v>0.964762275528348</v>
      </c>
      <c r="C162" s="51" t="n">
        <f aca="false">1+IF($G$7=$E$7,$F$7,IF(Q162&lt;($F$7-$E$7)/($G$7-$E$7),$E$7+SQRT(Q162*($G$7-$E$7)*($F$7-$E$7)),$G$7-SQRT((1-Q162)*($G$7-$E$7)*($G$7-$F$7))))</f>
        <v>0.979707203210188</v>
      </c>
      <c r="D162" s="51" t="n">
        <f aca="false">1+IF($G$8=$E$8,$F$8,IF(R162&lt;($F$8-$E$8)/($G$8-$E$8),$E$8+SQRT(R162*($G$8-$E$8)*($F$8-$E$8)),$G$8-SQRT((1-R162)*($G$8-$E$8)*($G$8-$F$8))))</f>
        <v>0.958648883220712</v>
      </c>
      <c r="E162" s="51" t="n">
        <f aca="false">1+IF($G$9=$E$9,$F$9,IF(S162&lt;($F$9-$E$9)/($G$9-$E$9),$E$9+SQRT(S162*($G$9-$E$9)*($F$9-$E$9)),$G$9-SQRT((1-S162)*($G$9-$E$9)*($G$9-$F$9))))</f>
        <v>0.912799248191222</v>
      </c>
      <c r="F162" s="51" t="n">
        <f aca="false">1+IF($G$10=$E$10,$F$10,IF(T162&lt;($F$10-$E$10)/($G$10-$E$10),$E$10+SQRT(T162*($G$10-$E$10)*($F$10-$E$10)),$G$10-SQRT((1-T162)*($G$10-$E$10)*($G$10-$F$10))))</f>
        <v>1.13277434753647</v>
      </c>
      <c r="G162" s="52" t="n">
        <f aca="false">IF($G$11=$E$11,$F$11,IF(U162&lt;($F$11-$E$11)/($G$11-$E$11),$E$11+SQRT(U162*($G$11-$E$11)*($F$11-$E$11)),$G$11-SQRT((1-U162)*($G$11-$E$11)*($G$11-$F$11))))</f>
        <v>0.108009108144479</v>
      </c>
      <c r="H162" s="53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-2265548695.07294</v>
      </c>
      <c r="I162" s="53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1305530.27405278</v>
      </c>
      <c r="J162" s="53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294686915.503899</v>
      </c>
      <c r="K162" s="53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644707018.110568</v>
      </c>
      <c r="L162" s="53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775166391.260087</v>
      </c>
      <c r="M162" s="53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954827070.661053</v>
      </c>
      <c r="N162" s="53" t="n">
        <f aca="false">IF(COUNT('Business Case'!B11:G11)=0,"",H162+NPV(G162,I162:M162))</f>
        <v>-464327245.285499</v>
      </c>
      <c r="P162" s="54" t="n">
        <f aca="true">RAND()</f>
        <v>0.279610155440642</v>
      </c>
      <c r="Q162" s="54" t="n">
        <f aca="true">RAND()</f>
        <v>0.579526811316039</v>
      </c>
      <c r="R162" s="54" t="n">
        <f aca="true">RAND()</f>
        <v>0.00997375746206739</v>
      </c>
      <c r="S162" s="54" t="n">
        <f aca="true">RAND()</f>
        <v>0.00655283017041978</v>
      </c>
      <c r="T162" s="54" t="n">
        <f aca="true">RAND()</f>
        <v>0.816775285393328</v>
      </c>
      <c r="U162" s="54" t="n">
        <f aca="true">RAND()</f>
        <v>0.677600450265856</v>
      </c>
    </row>
    <row r="163" customFormat="false" ht="15" hidden="false" customHeight="false" outlineLevel="0" collapsed="false">
      <c r="A163" s="50" t="n">
        <v>83</v>
      </c>
      <c r="B163" s="51" t="n">
        <f aca="false">1+IF($G$6=$E$6,$F$6,IF(P163&lt;($F$6-$E$6)/($G$6-$E$6),$E$6+SQRT(P163*($G$6-$E$6)*($F$6-$E$6)),$G$6-SQRT((1-P163)*($G$6-$E$6)*($G$6-$F$6))))</f>
        <v>1.0063938333233</v>
      </c>
      <c r="C163" s="51" t="n">
        <f aca="false">1+IF($G$7=$E$7,$F$7,IF(Q163&lt;($F$7-$E$7)/($G$7-$E$7),$E$7+SQRT(Q163*($G$7-$E$7)*($F$7-$E$7)),$G$7-SQRT((1-Q163)*($G$7-$E$7)*($G$7-$F$7))))</f>
        <v>1.00711772678725</v>
      </c>
      <c r="D163" s="51" t="n">
        <f aca="false">1+IF($G$8=$E$8,$F$8,IF(R163&lt;($F$8-$E$8)/($G$8-$E$8),$E$8+SQRT(R163*($G$8-$E$8)*($F$8-$E$8)),$G$8-SQRT((1-R163)*($G$8-$E$8)*($G$8-$F$8))))</f>
        <v>1.0269978332408</v>
      </c>
      <c r="E163" s="51" t="n">
        <f aca="false">1+IF($G$9=$E$9,$F$9,IF(S163&lt;($F$9-$E$9)/($G$9-$E$9),$E$9+SQRT(S163*($G$9-$E$9)*($F$9-$E$9)),$G$9-SQRT((1-S163)*($G$9-$E$9)*($G$9-$F$9))))</f>
        <v>1.01145911446891</v>
      </c>
      <c r="F163" s="51" t="n">
        <f aca="false">1+IF($G$10=$E$10,$F$10,IF(T163&lt;($F$10-$E$10)/($G$10-$E$10),$E$10+SQRT(T163*($G$10-$E$10)*($F$10-$E$10)),$G$10-SQRT((1-T163)*($G$10-$E$10)*($G$10-$F$10))))</f>
        <v>1.10228778895961</v>
      </c>
      <c r="G163" s="52" t="n">
        <f aca="false">IF($G$11=$E$11,$F$11,IF(U163&lt;($F$11-$E$11)/($G$11-$E$11),$E$11+SQRT(U163*($G$11-$E$11)*($F$11-$E$11)),$G$11-SQRT((1-U163)*($G$11-$E$11)*($G$11-$F$11))))</f>
        <v>0.100872254931936</v>
      </c>
      <c r="H163" s="53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-2204575577.91921</v>
      </c>
      <c r="I163" s="53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-5907656.97228788</v>
      </c>
      <c r="J163" s="53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294785749.520519</v>
      </c>
      <c r="K163" s="53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650593545.461307</v>
      </c>
      <c r="L163" s="53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785853213.286679</v>
      </c>
      <c r="M163" s="53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978510141.089415</v>
      </c>
      <c r="N163" s="53" t="n">
        <f aca="false">IF(COUNT('Business Case'!B11:G11)=0,"",H163+NPV(G163,I163:M163))</f>
        <v>-338839817.387964</v>
      </c>
      <c r="P163" s="54" t="n">
        <f aca="true">RAND()</f>
        <v>0.746466963701862</v>
      </c>
      <c r="Q163" s="54" t="n">
        <f aca="true">RAND()</f>
        <v>0.697550459282346</v>
      </c>
      <c r="R163" s="54" t="n">
        <f aca="true">RAND()</f>
        <v>0.644712243230816</v>
      </c>
      <c r="S163" s="54" t="n">
        <f aca="true">RAND()</f>
        <v>0.488171280966964</v>
      </c>
      <c r="T163" s="54" t="n">
        <f aca="true">RAND()</f>
        <v>0.709081369460778</v>
      </c>
      <c r="U163" s="54" t="n">
        <f aca="true">RAND()</f>
        <v>0.434382978166596</v>
      </c>
    </row>
    <row r="164" customFormat="false" ht="15" hidden="false" customHeight="false" outlineLevel="0" collapsed="false">
      <c r="A164" s="50" t="n">
        <v>84</v>
      </c>
      <c r="B164" s="51" t="n">
        <f aca="false">1+IF($G$6=$E$6,$F$6,IF(P164&lt;($F$6-$E$6)/($G$6-$E$6),$E$6+SQRT(P164*($G$6-$E$6)*($F$6-$E$6)),$G$6-SQRT((1-P164)*($G$6-$E$6)*($G$6-$F$6))))</f>
        <v>0.978900312866823</v>
      </c>
      <c r="C164" s="51" t="n">
        <f aca="false">1+IF($G$7=$E$7,$F$7,IF(Q164&lt;($F$7-$E$7)/($G$7-$E$7),$E$7+SQRT(Q164*($G$7-$E$7)*($F$7-$E$7)),$G$7-SQRT((1-Q164)*($G$7-$E$7)*($G$7-$F$7))))</f>
        <v>0.964090142389586</v>
      </c>
      <c r="D164" s="51" t="n">
        <f aca="false">1+IF($G$8=$E$8,$F$8,IF(R164&lt;($F$8-$E$8)/($G$8-$E$8),$E$8+SQRT(R164*($G$8-$E$8)*($F$8-$E$8)),$G$8-SQRT((1-R164)*($G$8-$E$8)*($G$8-$F$8))))</f>
        <v>1.05141872134264</v>
      </c>
      <c r="E164" s="51" t="n">
        <f aca="false">1+IF($G$9=$E$9,$F$9,IF(S164&lt;($F$9-$E$9)/($G$9-$E$9),$E$9+SQRT(S164*($G$9-$E$9)*($F$9-$E$9)),$G$9-SQRT((1-S164)*($G$9-$E$9)*($G$9-$F$9))))</f>
        <v>1.03039955740931</v>
      </c>
      <c r="F164" s="51" t="n">
        <f aca="false">1+IF($G$10=$E$10,$F$10,IF(T164&lt;($F$10-$E$10)/($G$10-$E$10),$E$10+SQRT(T164*($G$10-$E$10)*($F$10-$E$10)),$G$10-SQRT((1-T164)*($G$10-$E$10)*($G$10-$F$10))))</f>
        <v>1.02779283657632</v>
      </c>
      <c r="G164" s="52" t="n">
        <f aca="false">IF($G$11=$E$11,$F$11,IF(U164&lt;($F$11-$E$11)/($G$11-$E$11),$E$11+SQRT(U164*($G$11-$E$11)*($F$11-$E$11)),$G$11-SQRT((1-U164)*($G$11-$E$11)*($G$11-$F$11))))</f>
        <v>0.0943661088386223</v>
      </c>
      <c r="H164" s="53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-2055585673.15265</v>
      </c>
      <c r="I164" s="53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-44142394.7136748</v>
      </c>
      <c r="J164" s="53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209941214.976047</v>
      </c>
      <c r="K164" s="53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515414466.494585</v>
      </c>
      <c r="L164" s="53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632724938.845932</v>
      </c>
      <c r="M164" s="53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812112585.680521</v>
      </c>
      <c r="N164" s="53" t="n">
        <f aca="false">IF(COUNT('Business Case'!B11:G11)=0,"",H164+NPV(G164,I164:M164))</f>
        <v>-568875611.895537</v>
      </c>
      <c r="P164" s="54" t="n">
        <f aca="true">RAND()</f>
        <v>0.415017291365508</v>
      </c>
      <c r="Q164" s="54" t="n">
        <f aca="true">RAND()</f>
        <v>0.51661928375816</v>
      </c>
      <c r="R164" s="54" t="n">
        <f aca="true">RAND()</f>
        <v>0.84265729093442</v>
      </c>
      <c r="S164" s="54" t="n">
        <f aca="true">RAND()</f>
        <v>0.618552910189612</v>
      </c>
      <c r="T164" s="54" t="n">
        <f aca="true">RAND()</f>
        <v>0.341653020309383</v>
      </c>
      <c r="U164" s="54" t="n">
        <f aca="true">RAND()</f>
        <v>0.206385083163143</v>
      </c>
    </row>
    <row r="165" customFormat="false" ht="15" hidden="false" customHeight="false" outlineLevel="0" collapsed="false">
      <c r="A165" s="50" t="n">
        <v>85</v>
      </c>
      <c r="B165" s="51" t="n">
        <f aca="false">1+IF($G$6=$E$6,$F$6,IF(P165&lt;($F$6-$E$6)/($G$6-$E$6),$E$6+SQRT(P165*($G$6-$E$6)*($F$6-$E$6)),$G$6-SQRT((1-P165)*($G$6-$E$6)*($G$6-$F$6))))</f>
        <v>1.03870471260655</v>
      </c>
      <c r="C165" s="51" t="n">
        <f aca="false">1+IF($G$7=$E$7,$F$7,IF(Q165&lt;($F$7-$E$7)/($G$7-$E$7),$E$7+SQRT(Q165*($G$7-$E$7)*($F$7-$E$7)),$G$7-SQRT((1-Q165)*($G$7-$E$7)*($G$7-$F$7))))</f>
        <v>0.909041071637697</v>
      </c>
      <c r="D165" s="51" t="n">
        <f aca="false">1+IF($G$8=$E$8,$F$8,IF(R165&lt;($F$8-$E$8)/($G$8-$E$8),$E$8+SQRT(R165*($G$8-$E$8)*($F$8-$E$8)),$G$8-SQRT((1-R165)*($G$8-$E$8)*($G$8-$F$8))))</f>
        <v>1.04481059758768</v>
      </c>
      <c r="E165" s="51" t="n">
        <f aca="false">1+IF($G$9=$E$9,$F$9,IF(S165&lt;($F$9-$E$9)/($G$9-$E$9),$E$9+SQRT(S165*($G$9-$E$9)*($F$9-$E$9)),$G$9-SQRT((1-S165)*($G$9-$E$9)*($G$9-$F$9))))</f>
        <v>1.07046996480555</v>
      </c>
      <c r="F165" s="51" t="n">
        <f aca="false">1+IF($G$10=$E$10,$F$10,IF(T165&lt;($F$10-$E$10)/($G$10-$E$10),$E$10+SQRT(T165*($G$10-$E$10)*($F$10-$E$10)),$G$10-SQRT((1-T165)*($G$10-$E$10)*($G$10-$F$10))))</f>
        <v>1.00221569018838</v>
      </c>
      <c r="G165" s="52" t="n">
        <f aca="false">IF($G$11=$E$11,$F$11,IF(U165&lt;($F$11-$E$11)/($G$11-$E$11),$E$11+SQRT(U165*($G$11-$E$11)*($F$11-$E$11)),$G$11-SQRT((1-U165)*($G$11-$E$11)*($G$11-$F$11))))</f>
        <v>0.126160144967535</v>
      </c>
      <c r="H165" s="53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-2004431380.37675</v>
      </c>
      <c r="I165" s="53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-14211774.3226375</v>
      </c>
      <c r="J165" s="53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272967486.072978</v>
      </c>
      <c r="K165" s="53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610257530.978012</v>
      </c>
      <c r="L165" s="53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738616375.57926</v>
      </c>
      <c r="M165" s="53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918094710.160832</v>
      </c>
      <c r="N165" s="53" t="n">
        <f aca="false">IF(COUNT('Business Case'!B11:G11)=0,"",H165+NPV(G165,I165:M165))</f>
        <v>-408461202.930057</v>
      </c>
      <c r="P165" s="54" t="n">
        <f aca="true">RAND()</f>
        <v>0.982988864359911</v>
      </c>
      <c r="Q165" s="54" t="n">
        <f aca="true">RAND()</f>
        <v>0.323690145418052</v>
      </c>
      <c r="R165" s="54" t="n">
        <f aca="true">RAND()</f>
        <v>0.796941990758031</v>
      </c>
      <c r="S165" s="54" t="n">
        <f aca="true">RAND()</f>
        <v>0.831332626719206</v>
      </c>
      <c r="T165" s="54" t="n">
        <f aca="true">RAND()</f>
        <v>0.18137247748236</v>
      </c>
      <c r="U165" s="54" t="n">
        <f aca="true">RAND()</f>
        <v>0.990170342219768</v>
      </c>
    </row>
    <row r="166" customFormat="false" ht="15" hidden="false" customHeight="false" outlineLevel="0" collapsed="false">
      <c r="A166" s="50" t="n">
        <v>86</v>
      </c>
      <c r="B166" s="51" t="n">
        <f aca="false">1+IF($G$6=$E$6,$F$6,IF(P166&lt;($F$6-$E$6)/($G$6-$E$6),$E$6+SQRT(P166*($G$6-$E$6)*($F$6-$E$6)),$G$6-SQRT((1-P166)*($G$6-$E$6)*($G$6-$F$6))))</f>
        <v>0.932131548531562</v>
      </c>
      <c r="C166" s="51" t="n">
        <f aca="false">1+IF($G$7=$E$7,$F$7,IF(Q166&lt;($F$7-$E$7)/($G$7-$E$7),$E$7+SQRT(Q166*($G$7-$E$7)*($F$7-$E$7)),$G$7-SQRT((1-Q166)*($G$7-$E$7)*($G$7-$F$7))))</f>
        <v>1.09162544873056</v>
      </c>
      <c r="D166" s="51" t="n">
        <f aca="false">1+IF($G$8=$E$8,$F$8,IF(R166&lt;($F$8-$E$8)/($G$8-$E$8),$E$8+SQRT(R166*($G$8-$E$8)*($F$8-$E$8)),$G$8-SQRT((1-R166)*($G$8-$E$8)*($G$8-$F$8))))</f>
        <v>1.03455151049473</v>
      </c>
      <c r="E166" s="51" t="n">
        <f aca="false">1+IF($G$9=$E$9,$F$9,IF(S166&lt;($F$9-$E$9)/($G$9-$E$9),$E$9+SQRT(S166*($G$9-$E$9)*($F$9-$E$9)),$G$9-SQRT((1-S166)*($G$9-$E$9)*($G$9-$F$9))))</f>
        <v>0.906194067448878</v>
      </c>
      <c r="F166" s="51" t="n">
        <f aca="false">1+IF($G$10=$E$10,$F$10,IF(T166&lt;($F$10-$E$10)/($G$10-$E$10),$E$10+SQRT(T166*($G$10-$E$10)*($F$10-$E$10)),$G$10-SQRT((1-T166)*($G$10-$E$10)*($G$10-$F$10))))</f>
        <v>0.971228243474867</v>
      </c>
      <c r="G166" s="52" t="n">
        <f aca="false">IF($G$11=$E$11,$F$11,IF(U166&lt;($F$11-$E$11)/($G$11-$E$11),$E$11+SQRT(U166*($G$11-$E$11)*($F$11-$E$11)),$G$11-SQRT((1-U166)*($G$11-$E$11)*($G$11-$F$11))))</f>
        <v>0.0893426370469274</v>
      </c>
      <c r="H166" s="53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-1942456486.94973</v>
      </c>
      <c r="I166" s="53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-23428651.1081627</v>
      </c>
      <c r="J166" s="53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231875515.396168</v>
      </c>
      <c r="K166" s="53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535741094.074243</v>
      </c>
      <c r="L166" s="53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656008614.158205</v>
      </c>
      <c r="M166" s="53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849422336.028719</v>
      </c>
      <c r="N166" s="53" t="n">
        <f aca="false">IF(COUNT('Business Case'!B11:G11)=0,"",H166+NPV(G166,I166:M166))</f>
        <v>-334533441.82706</v>
      </c>
      <c r="P166" s="54" t="n">
        <f aca="true">RAND()</f>
        <v>0.0688290940690731</v>
      </c>
      <c r="Q166" s="54" t="n">
        <f aca="true">RAND()</f>
        <v>0.949517211319881</v>
      </c>
      <c r="R166" s="54" t="n">
        <f aca="true">RAND()</f>
        <v>0.714433014765259</v>
      </c>
      <c r="S166" s="54" t="n">
        <f aca="true">RAND()</f>
        <v>0.00153465886244986</v>
      </c>
      <c r="T166" s="54" t="n">
        <f aca="true">RAND()</f>
        <v>0.0300425547352145</v>
      </c>
      <c r="U166" s="54" t="n">
        <f aca="true">RAND()</f>
        <v>0.0872848669906204</v>
      </c>
    </row>
    <row r="167" customFormat="false" ht="15" hidden="false" customHeight="false" outlineLevel="0" collapsed="false">
      <c r="A167" s="50" t="n">
        <v>87</v>
      </c>
      <c r="B167" s="51" t="n">
        <f aca="false">1+IF($G$6=$E$6,$F$6,IF(P167&lt;($F$6-$E$6)/($G$6-$E$6),$E$6+SQRT(P167*($G$6-$E$6)*($F$6-$E$6)),$G$6-SQRT((1-P167)*($G$6-$E$6)*($G$6-$F$6))))</f>
        <v>0.965781977278108</v>
      </c>
      <c r="C167" s="51" t="n">
        <f aca="false">1+IF($G$7=$E$7,$F$7,IF(Q167&lt;($F$7-$E$7)/($G$7-$E$7),$E$7+SQRT(Q167*($G$7-$E$7)*($F$7-$E$7)),$G$7-SQRT((1-Q167)*($G$7-$E$7)*($G$7-$F$7))))</f>
        <v>0.986570227383898</v>
      </c>
      <c r="D167" s="51" t="n">
        <f aca="false">1+IF($G$8=$E$8,$F$8,IF(R167&lt;($F$8-$E$8)/($G$8-$E$8),$E$8+SQRT(R167*($G$8-$E$8)*($F$8-$E$8)),$G$8-SQRT((1-R167)*($G$8-$E$8)*($G$8-$F$8))))</f>
        <v>0.974957218698945</v>
      </c>
      <c r="E167" s="51" t="n">
        <f aca="false">1+IF($G$9=$E$9,$F$9,IF(S167&lt;($F$9-$E$9)/($G$9-$E$9),$E$9+SQRT(S167*($G$9-$E$9)*($F$9-$E$9)),$G$9-SQRT((1-S167)*($G$9-$E$9)*($G$9-$F$9))))</f>
        <v>1.01610498421167</v>
      </c>
      <c r="F167" s="51" t="n">
        <f aca="false">1+IF($G$10=$E$10,$F$10,IF(T167&lt;($F$10-$E$10)/($G$10-$E$10),$E$10+SQRT(T167*($G$10-$E$10)*($F$10-$E$10)),$G$10-SQRT((1-T167)*($G$10-$E$10)*($G$10-$F$10))))</f>
        <v>1.14749564391109</v>
      </c>
      <c r="G167" s="52" t="n">
        <f aca="false">IF($G$11=$E$11,$F$11,IF(U167&lt;($F$11-$E$11)/($G$11-$E$11),$E$11+SQRT(U167*($G$11-$E$11)*($F$11-$E$11)),$G$11-SQRT((1-U167)*($G$11-$E$11)*($G$11-$F$11))))</f>
        <v>0.0953795361026167</v>
      </c>
      <c r="H167" s="53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-2294991287.82218</v>
      </c>
      <c r="I167" s="53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-20609331.0113306</v>
      </c>
      <c r="J167" s="53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267414791.980338</v>
      </c>
      <c r="K167" s="53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612813697.167562</v>
      </c>
      <c r="L167" s="53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741750912.069446</v>
      </c>
      <c r="M167" s="53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922861368.545081</v>
      </c>
      <c r="N167" s="53" t="n">
        <f aca="false">IF(COUNT('Business Case'!B11:G11)=0,"",H167+NPV(G167,I167:M167))</f>
        <v>-524226483.138608</v>
      </c>
      <c r="P167" s="54" t="n">
        <f aca="true">RAND()</f>
        <v>0.288484568974501</v>
      </c>
      <c r="Q167" s="54" t="n">
        <f aca="true">RAND()</f>
        <v>0.608314779428586</v>
      </c>
      <c r="R167" s="54" t="n">
        <f aca="true">RAND()</f>
        <v>0.0830483686915949</v>
      </c>
      <c r="S167" s="54" t="n">
        <f aca="true">RAND()</f>
        <v>0.521923326587776</v>
      </c>
      <c r="T167" s="54" t="n">
        <f aca="true">RAND()</f>
        <v>0.859904759770644</v>
      </c>
      <c r="U167" s="54" t="n">
        <f aca="true">RAND()</f>
        <v>0.236530130731691</v>
      </c>
    </row>
    <row r="168" customFormat="false" ht="15" hidden="false" customHeight="false" outlineLevel="0" collapsed="false">
      <c r="A168" s="50" t="n">
        <v>88</v>
      </c>
      <c r="B168" s="51" t="n">
        <f aca="false">1+IF($G$6=$E$6,$F$6,IF(P168&lt;($F$6-$E$6)/($G$6-$E$6),$E$6+SQRT(P168*($G$6-$E$6)*($F$6-$E$6)),$G$6-SQRT((1-P168)*($G$6-$E$6)*($G$6-$F$6))))</f>
        <v>0.948484523195948</v>
      </c>
      <c r="C168" s="51" t="n">
        <f aca="false">1+IF($G$7=$E$7,$F$7,IF(Q168&lt;($F$7-$E$7)/($G$7-$E$7),$E$7+SQRT(Q168*($G$7-$E$7)*($F$7-$E$7)),$G$7-SQRT((1-Q168)*($G$7-$E$7)*($G$7-$F$7))))</f>
        <v>0.92962826851147</v>
      </c>
      <c r="D168" s="51" t="n">
        <f aca="false">1+IF($G$8=$E$8,$F$8,IF(R168&lt;($F$8-$E$8)/($G$8-$E$8),$E$8+SQRT(R168*($G$8-$E$8)*($F$8-$E$8)),$G$8-SQRT((1-R168)*($G$8-$E$8)*($G$8-$F$8))))</f>
        <v>0.994656978924647</v>
      </c>
      <c r="E168" s="51" t="n">
        <f aca="false">1+IF($G$9=$E$9,$F$9,IF(S168&lt;($F$9-$E$9)/($G$9-$E$9),$E$9+SQRT(S168*($G$9-$E$9)*($F$9-$E$9)),$G$9-SQRT((1-S168)*($G$9-$E$9)*($G$9-$F$9))))</f>
        <v>1.06299051528314</v>
      </c>
      <c r="F168" s="51" t="n">
        <f aca="false">1+IF($G$10=$E$10,$F$10,IF(T168&lt;($F$10-$E$10)/($G$10-$E$10),$E$10+SQRT(T168*($G$10-$E$10)*($F$10-$E$10)),$G$10-SQRT((1-T168)*($G$10-$E$10)*($G$10-$F$10))))</f>
        <v>1.20294387890852</v>
      </c>
      <c r="G168" s="52" t="n">
        <f aca="false">IF($G$11=$E$11,$F$11,IF(U168&lt;($F$11-$E$11)/($G$11-$E$11),$E$11+SQRT(U168*($G$11-$E$11)*($F$11-$E$11)),$G$11-SQRT((1-U168)*($G$11-$E$11)*($G$11-$F$11))))</f>
        <v>0.0917244229108181</v>
      </c>
      <c r="H168" s="53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-2405887757.81705</v>
      </c>
      <c r="I168" s="53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-68306595.3423797</v>
      </c>
      <c r="J168" s="53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180547747.6958</v>
      </c>
      <c r="K168" s="53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489549284.679406</v>
      </c>
      <c r="L168" s="53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602973598.503096</v>
      </c>
      <c r="M168" s="53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770574362.296726</v>
      </c>
      <c r="N168" s="53" t="n">
        <f aca="false">IF(COUNT('Business Case'!B11:G11)=0,"",H168+NPV(G168,I168:M168))</f>
        <v>-1019391419.62554</v>
      </c>
      <c r="P168" s="54" t="n">
        <f aca="true">RAND()</f>
        <v>0.156716599302563</v>
      </c>
      <c r="Q168" s="54" t="n">
        <f aca="true">RAND()</f>
        <v>0.390586234811671</v>
      </c>
      <c r="R168" s="54" t="n">
        <f aca="true">RAND()</f>
        <v>0.265899435556844</v>
      </c>
      <c r="S168" s="54" t="n">
        <f aca="true">RAND()</f>
        <v>0.798115988514845</v>
      </c>
      <c r="T168" s="54" t="n">
        <f aca="true">RAND()</f>
        <v>0.970476286237657</v>
      </c>
      <c r="U168" s="54" t="n">
        <f aca="true">RAND()</f>
        <v>0.137462092591715</v>
      </c>
    </row>
    <row r="169" customFormat="false" ht="15" hidden="false" customHeight="false" outlineLevel="0" collapsed="false">
      <c r="A169" s="50" t="n">
        <v>89</v>
      </c>
      <c r="B169" s="51" t="n">
        <f aca="false">1+IF($G$6=$E$6,$F$6,IF(P169&lt;($F$6-$E$6)/($G$6-$E$6),$E$6+SQRT(P169*($G$6-$E$6)*($F$6-$E$6)),$G$6-SQRT((1-P169)*($G$6-$E$6)*($G$6-$F$6))))</f>
        <v>0.975993795951791</v>
      </c>
      <c r="C169" s="51" t="n">
        <f aca="false">1+IF($G$7=$E$7,$F$7,IF(Q169&lt;($F$7-$E$7)/($G$7-$E$7),$E$7+SQRT(Q169*($G$7-$E$7)*($F$7-$E$7)),$G$7-SQRT((1-Q169)*($G$7-$E$7)*($G$7-$F$7))))</f>
        <v>1.00522718901546</v>
      </c>
      <c r="D169" s="51" t="n">
        <f aca="false">1+IF($G$8=$E$8,$F$8,IF(R169&lt;($F$8-$E$8)/($G$8-$E$8),$E$8+SQRT(R169*($G$8-$E$8)*($F$8-$E$8)),$G$8-SQRT((1-R169)*($G$8-$E$8)*($G$8-$F$8))))</f>
        <v>1.0171744817747</v>
      </c>
      <c r="E169" s="51" t="n">
        <f aca="false">1+IF($G$9=$E$9,$F$9,IF(S169&lt;($F$9-$E$9)/($G$9-$E$9),$E$9+SQRT(S169*($G$9-$E$9)*($F$9-$E$9)),$G$9-SQRT((1-S169)*($G$9-$E$9)*($G$9-$F$9))))</f>
        <v>0.9225398830754</v>
      </c>
      <c r="F169" s="51" t="n">
        <f aca="false">1+IF($G$10=$E$10,$F$10,IF(T169&lt;($F$10-$E$10)/($G$10-$E$10),$E$10+SQRT(T169*($G$10-$E$10)*($F$10-$E$10)),$G$10-SQRT((1-T169)*($G$10-$E$10)*($G$10-$F$10))))</f>
        <v>0.988680976942259</v>
      </c>
      <c r="G169" s="52" t="n">
        <f aca="false">IF($G$11=$E$11,$F$11,IF(U169&lt;($F$11-$E$11)/($G$11-$E$11),$E$11+SQRT(U169*($G$11-$E$11)*($F$11-$E$11)),$G$11-SQRT((1-U169)*($G$11-$E$11)*($G$11-$F$11))))</f>
        <v>0.0943914164636455</v>
      </c>
      <c r="H169" s="53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-1977361953.88452</v>
      </c>
      <c r="I169" s="53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-759226.9620132</v>
      </c>
      <c r="J169" s="53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279394805.863581</v>
      </c>
      <c r="K169" s="53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608982887.536288</v>
      </c>
      <c r="L169" s="53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736274225.624858</v>
      </c>
      <c r="M169" s="53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922760858.265076</v>
      </c>
      <c r="N169" s="53" t="n">
        <f aca="false">IF(COUNT('Business Case'!B11:G11)=0,"",H169+NPV(G169,I169:M169))</f>
        <v>-179101339.913536</v>
      </c>
      <c r="P169" s="54" t="n">
        <f aca="true">RAND()</f>
        <v>0.385003801544163</v>
      </c>
      <c r="Q169" s="54" t="n">
        <f aca="true">RAND()</f>
        <v>0.68949382517976</v>
      </c>
      <c r="R169" s="54" t="n">
        <f aca="true">RAND()</f>
        <v>0.542662235380658</v>
      </c>
      <c r="S169" s="54" t="n">
        <f aca="true">RAND()</f>
        <v>0.0203218531621078</v>
      </c>
      <c r="T169" s="54" t="n">
        <f aca="true">RAND()</f>
        <v>0.0997478651471691</v>
      </c>
      <c r="U169" s="54" t="n">
        <f aca="true">RAND()</f>
        <v>0.207112867830087</v>
      </c>
    </row>
    <row r="170" customFormat="false" ht="15" hidden="false" customHeight="false" outlineLevel="0" collapsed="false">
      <c r="A170" s="50" t="n">
        <v>90</v>
      </c>
      <c r="B170" s="51" t="n">
        <f aca="false">1+IF($G$6=$E$6,$F$6,IF(P170&lt;($F$6-$E$6)/($G$6-$E$6),$E$6+SQRT(P170*($G$6-$E$6)*($F$6-$E$6)),$G$6-SQRT((1-P170)*($G$6-$E$6)*($G$6-$F$6))))</f>
        <v>0.98927420668574</v>
      </c>
      <c r="C170" s="51" t="n">
        <f aca="false">1+IF($G$7=$E$7,$F$7,IF(Q170&lt;($F$7-$E$7)/($G$7-$E$7),$E$7+SQRT(Q170*($G$7-$E$7)*($F$7-$E$7)),$G$7-SQRT((1-Q170)*($G$7-$E$7)*($G$7-$F$7))))</f>
        <v>1.04203770662503</v>
      </c>
      <c r="D170" s="51" t="n">
        <f aca="false">1+IF($G$8=$E$8,$F$8,IF(R170&lt;($F$8-$E$8)/($G$8-$E$8),$E$8+SQRT(R170*($G$8-$E$8)*($F$8-$E$8)),$G$8-SQRT((1-R170)*($G$8-$E$8)*($G$8-$F$8))))</f>
        <v>1.02350404861436</v>
      </c>
      <c r="E170" s="51" t="n">
        <f aca="false">1+IF($G$9=$E$9,$F$9,IF(S170&lt;($F$9-$E$9)/($G$9-$E$9),$E$9+SQRT(S170*($G$9-$E$9)*($F$9-$E$9)),$G$9-SQRT((1-S170)*($G$9-$E$9)*($G$9-$F$9))))</f>
        <v>1.02871082513639</v>
      </c>
      <c r="F170" s="51" t="n">
        <f aca="false">1+IF($G$10=$E$10,$F$10,IF(T170&lt;($F$10-$E$10)/($G$10-$E$10),$E$10+SQRT(T170*($G$10-$E$10)*($F$10-$E$10)),$G$10-SQRT((1-T170)*($G$10-$E$10)*($G$10-$F$10))))</f>
        <v>1.08784334842747</v>
      </c>
      <c r="G170" s="52" t="n">
        <f aca="false">IF($G$11=$E$11,$F$11,IF(U170&lt;($F$11-$E$11)/($G$11-$E$11),$E$11+SQRT(U170*($G$11-$E$11)*($F$11-$E$11)),$G$11-SQRT((1-U170)*($G$11-$E$11)*($G$11-$F$11))))</f>
        <v>0.111254828889416</v>
      </c>
      <c r="H170" s="53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-2175686696.85495</v>
      </c>
      <c r="I170" s="53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-10135388.9394704</v>
      </c>
      <c r="J170" s="53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288236071.863133</v>
      </c>
      <c r="K170" s="53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640999700.08711</v>
      </c>
      <c r="L170" s="53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776083410.731266</v>
      </c>
      <c r="M170" s="53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972029474.46935</v>
      </c>
      <c r="N170" s="53" t="n">
        <f aca="false">IF(COUNT('Business Case'!B11:G11)=0,"",H170+NPV(G170,I170:M170))</f>
        <v>-401761444.503478</v>
      </c>
      <c r="P170" s="54" t="n">
        <f aca="true">RAND()</f>
        <v>0.531325598624552</v>
      </c>
      <c r="Q170" s="54" t="n">
        <f aca="true">RAND()</f>
        <v>0.827320640136538</v>
      </c>
      <c r="R170" s="54" t="n">
        <f aca="true">RAND()</f>
        <v>0.609891294773761</v>
      </c>
      <c r="S170" s="54" t="n">
        <f aca="true">RAND()</f>
        <v>0.607704961624099</v>
      </c>
      <c r="T170" s="54" t="n">
        <f aca="true">RAND()</f>
        <v>0.649402938010485</v>
      </c>
      <c r="U170" s="54" t="n">
        <f aca="true">RAND()</f>
        <v>0.765745706689959</v>
      </c>
    </row>
    <row r="171" customFormat="false" ht="15" hidden="false" customHeight="false" outlineLevel="0" collapsed="false">
      <c r="A171" s="50" t="n">
        <v>91</v>
      </c>
      <c r="B171" s="51" t="n">
        <f aca="false">1+IF($G$6=$E$6,$F$6,IF(P171&lt;($F$6-$E$6)/($G$6-$E$6),$E$6+SQRT(P171*($G$6-$E$6)*($F$6-$E$6)),$G$6-SQRT((1-P171)*($G$6-$E$6)*($G$6-$F$6))))</f>
        <v>0.991498401576891</v>
      </c>
      <c r="C171" s="51" t="n">
        <f aca="false">1+IF($G$7=$E$7,$F$7,IF(Q171&lt;($F$7-$E$7)/($G$7-$E$7),$E$7+SQRT(Q171*($G$7-$E$7)*($F$7-$E$7)),$G$7-SQRT((1-Q171)*($G$7-$E$7)*($G$7-$F$7))))</f>
        <v>0.874131743098574</v>
      </c>
      <c r="D171" s="51" t="n">
        <f aca="false">1+IF($G$8=$E$8,$F$8,IF(R171&lt;($F$8-$E$8)/($G$8-$E$8),$E$8+SQRT(R171*($G$8-$E$8)*($F$8-$E$8)),$G$8-SQRT((1-R171)*($G$8-$E$8)*($G$8-$F$8))))</f>
        <v>1.04866934039713</v>
      </c>
      <c r="E171" s="51" t="n">
        <f aca="false">1+IF($G$9=$E$9,$F$9,IF(S171&lt;($F$9-$E$9)/($G$9-$E$9),$E$9+SQRT(S171*($G$9-$E$9)*($F$9-$E$9)),$G$9-SQRT((1-S171)*($G$9-$E$9)*($G$9-$F$9))))</f>
        <v>0.947297415619839</v>
      </c>
      <c r="F171" s="51" t="n">
        <f aca="false">1+IF($G$10=$E$10,$F$10,IF(T171&lt;($F$10-$E$10)/($G$10-$E$10),$E$10+SQRT(T171*($G$10-$E$10)*($F$10-$E$10)),$G$10-SQRT((1-T171)*($G$10-$E$10)*($G$10-$F$10))))</f>
        <v>1.01731487460335</v>
      </c>
      <c r="G171" s="52" t="n">
        <f aca="false">IF($G$11=$E$11,$F$11,IF(U171&lt;($F$11-$E$11)/($G$11-$E$11),$E$11+SQRT(U171*($G$11-$E$11)*($F$11-$E$11)),$G$11-SQRT((1-U171)*($G$11-$E$11)*($G$11-$F$11))))</f>
        <v>0.10029220512202</v>
      </c>
      <c r="H171" s="53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-2034629749.20671</v>
      </c>
      <c r="I171" s="53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-40741379.2452662</v>
      </c>
      <c r="J171" s="53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199884161.189369</v>
      </c>
      <c r="K171" s="53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491375445.354171</v>
      </c>
      <c r="L171" s="53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601537118.644666</v>
      </c>
      <c r="M171" s="53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766279497.612223</v>
      </c>
      <c r="N171" s="53" t="n">
        <f aca="false">IF(COUNT('Business Case'!B11:G11)=0,"",H171+NPV(G171,I171:M171))</f>
        <v>-652078646.819893</v>
      </c>
      <c r="P171" s="54" t="n">
        <f aca="true">RAND()</f>
        <v>0.558130499408394</v>
      </c>
      <c r="Q171" s="54" t="n">
        <f aca="true">RAND()</f>
        <v>0.224606399663318</v>
      </c>
      <c r="R171" s="54" t="n">
        <f aca="true">RAND()</f>
        <v>0.824344225648927</v>
      </c>
      <c r="S171" s="54" t="n">
        <f aca="true">RAND()</f>
        <v>0.0894818209726297</v>
      </c>
      <c r="T171" s="54" t="n">
        <f aca="true">RAND()</f>
        <v>0.278101765588627</v>
      </c>
      <c r="U171" s="54" t="n">
        <f aca="true">RAND()</f>
        <v>0.411631282325263</v>
      </c>
    </row>
    <row r="172" customFormat="false" ht="15" hidden="false" customHeight="false" outlineLevel="0" collapsed="false">
      <c r="A172" s="50" t="n">
        <v>92</v>
      </c>
      <c r="B172" s="51" t="n">
        <f aca="false">1+IF($G$6=$E$6,$F$6,IF(P172&lt;($F$6-$E$6)/($G$6-$E$6),$E$6+SQRT(P172*($G$6-$E$6)*($F$6-$E$6)),$G$6-SQRT((1-P172)*($G$6-$E$6)*($G$6-$F$6))))</f>
        <v>1.02562525852736</v>
      </c>
      <c r="C172" s="51" t="n">
        <f aca="false">1+IF($G$7=$E$7,$F$7,IF(Q172&lt;($F$7-$E$7)/($G$7-$E$7),$E$7+SQRT(Q172*($G$7-$E$7)*($F$7-$E$7)),$G$7-SQRT((1-Q172)*($G$7-$E$7)*($G$7-$F$7))))</f>
        <v>0.974915063354197</v>
      </c>
      <c r="D172" s="51" t="n">
        <f aca="false">1+IF($G$8=$E$8,$F$8,IF(R172&lt;($F$8-$E$8)/($G$8-$E$8),$E$8+SQRT(R172*($G$8-$E$8)*($F$8-$E$8)),$G$8-SQRT((1-R172)*($G$8-$E$8)*($G$8-$F$8))))</f>
        <v>1.01032390222228</v>
      </c>
      <c r="E172" s="51" t="n">
        <f aca="false">1+IF($G$9=$E$9,$F$9,IF(S172&lt;($F$9-$E$9)/($G$9-$E$9),$E$9+SQRT(S172*($G$9-$E$9)*($F$9-$E$9)),$G$9-SQRT((1-S172)*($G$9-$E$9)*($G$9-$F$9))))</f>
        <v>1.04953262605939</v>
      </c>
      <c r="F172" s="51" t="n">
        <f aca="false">1+IF($G$10=$E$10,$F$10,IF(T172&lt;($F$10-$E$10)/($G$10-$E$10),$E$10+SQRT(T172*($G$10-$E$10)*($F$10-$E$10)),$G$10-SQRT((1-T172)*($G$10-$E$10)*($G$10-$F$10))))</f>
        <v>0.980195868091827</v>
      </c>
      <c r="G172" s="52" t="n">
        <f aca="false">IF($G$11=$E$11,$F$11,IF(U172&lt;($F$11-$E$11)/($G$11-$E$11),$E$11+SQRT(U172*($G$11-$E$11)*($F$11-$E$11)),$G$11-SQRT((1-U172)*($G$11-$E$11)*($G$11-$F$11))))</f>
        <v>0.103330188744212</v>
      </c>
      <c r="H172" s="53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-1960391736.18365</v>
      </c>
      <c r="I172" s="53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15659286.0796803</v>
      </c>
      <c r="J172" s="53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330416385.514499</v>
      </c>
      <c r="K172" s="53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694183278.353909</v>
      </c>
      <c r="L172" s="53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833658769.579055</v>
      </c>
      <c r="M172" s="53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1023719289.02019</v>
      </c>
      <c r="N172" s="53" t="n">
        <f aca="false">IF(COUNT('Business Case'!B11:G11)=0,"",H172+NPV(G172,I172:M172))</f>
        <v>30738952.7577262</v>
      </c>
      <c r="P172" s="54" t="n">
        <f aca="true">RAND()</f>
        <v>0.920782930418926</v>
      </c>
      <c r="Q172" s="54" t="n">
        <f aca="true">RAND()</f>
        <v>0.55983920043735</v>
      </c>
      <c r="R172" s="54" t="n">
        <f aca="true">RAND()</f>
        <v>0.463879832490768</v>
      </c>
      <c r="S172" s="54" t="n">
        <f aca="true">RAND()</f>
        <v>0.730834847292745</v>
      </c>
      <c r="T172" s="54" t="n">
        <f aca="true">RAND()</f>
        <v>0.0607860299879333</v>
      </c>
      <c r="U172" s="54" t="n">
        <f aca="true">RAND()</f>
        <v>0.525814111720412</v>
      </c>
    </row>
    <row r="173" customFormat="false" ht="15" hidden="false" customHeight="false" outlineLevel="0" collapsed="false">
      <c r="A173" s="50" t="n">
        <v>93</v>
      </c>
      <c r="B173" s="51" t="n">
        <f aca="false">1+IF($G$6=$E$6,$F$6,IF(P173&lt;($F$6-$E$6)/($G$6-$E$6),$E$6+SQRT(P173*($G$6-$E$6)*($F$6-$E$6)),$G$6-SQRT((1-P173)*($G$6-$E$6)*($G$6-$F$6))))</f>
        <v>0.949614223875817</v>
      </c>
      <c r="C173" s="51" t="n">
        <f aca="false">1+IF($G$7=$E$7,$F$7,IF(Q173&lt;($F$7-$E$7)/($G$7-$E$7),$E$7+SQRT(Q173*($G$7-$E$7)*($F$7-$E$7)),$G$7-SQRT((1-Q173)*($G$7-$E$7)*($G$7-$F$7))))</f>
        <v>1.05798349659366</v>
      </c>
      <c r="D173" s="51" t="n">
        <f aca="false">1+IF($G$8=$E$8,$F$8,IF(R173&lt;($F$8-$E$8)/($G$8-$E$8),$E$8+SQRT(R173*($G$8-$E$8)*($F$8-$E$8)),$G$8-SQRT((1-R173)*($G$8-$E$8)*($G$8-$F$8))))</f>
        <v>1.05596688964425</v>
      </c>
      <c r="E173" s="51" t="n">
        <f aca="false">1+IF($G$9=$E$9,$F$9,IF(S173&lt;($F$9-$E$9)/($G$9-$E$9),$E$9+SQRT(S173*($G$9-$E$9)*($F$9-$E$9)),$G$9-SQRT((1-S173)*($G$9-$E$9)*($G$9-$F$9))))</f>
        <v>1.08601909796452</v>
      </c>
      <c r="F173" s="51" t="n">
        <f aca="false">1+IF($G$10=$E$10,$F$10,IF(T173&lt;($F$10-$E$10)/($G$10-$E$10),$E$10+SQRT(T173*($G$10-$E$10)*($F$10-$E$10)),$G$10-SQRT((1-T173)*($G$10-$E$10)*($G$10-$F$10))))</f>
        <v>1.14019813866355</v>
      </c>
      <c r="G173" s="52" t="n">
        <f aca="false">IF($G$11=$E$11,$F$11,IF(U173&lt;($F$11-$E$11)/($G$11-$E$11),$E$11+SQRT(U173*($G$11-$E$11)*($F$11-$E$11)),$G$11-SQRT((1-U173)*($G$11-$E$11)*($G$11-$F$11))))</f>
        <v>0.0960537341771118</v>
      </c>
      <c r="H173" s="53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-2280396277.3271</v>
      </c>
      <c r="I173" s="53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-69546758.9310039</v>
      </c>
      <c r="J173" s="53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181440624.750126</v>
      </c>
      <c r="K173" s="53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489437915.364434</v>
      </c>
      <c r="L173" s="53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607821985.268294</v>
      </c>
      <c r="M173" s="53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798790832.990784</v>
      </c>
      <c r="N173" s="53" t="n">
        <f aca="false">IF(COUNT('Business Case'!B11:G11)=0,"",H173+NPV(G173,I173:M173))</f>
        <v>-894965993.516996</v>
      </c>
      <c r="P173" s="54" t="n">
        <f aca="true">RAND()</f>
        <v>0.164104747386646</v>
      </c>
      <c r="Q173" s="54" t="n">
        <f aca="true">RAND()</f>
        <v>0.8745624163092</v>
      </c>
      <c r="R173" s="54" t="n">
        <f aca="true">RAND()</f>
        <v>0.87073901282653</v>
      </c>
      <c r="S173" s="54" t="n">
        <f aca="true">RAND()</f>
        <v>0.890838511326036</v>
      </c>
      <c r="T173" s="54" t="n">
        <f aca="true">RAND()</f>
        <v>0.83924734996068</v>
      </c>
      <c r="U173" s="54" t="n">
        <f aca="true">RAND()</f>
        <v>0.257722381029367</v>
      </c>
    </row>
    <row r="174" customFormat="false" ht="15" hidden="false" customHeight="false" outlineLevel="0" collapsed="false">
      <c r="A174" s="50" t="n">
        <v>94</v>
      </c>
      <c r="B174" s="51" t="n">
        <f aca="false">1+IF($G$6=$E$6,$F$6,IF(P174&lt;($F$6-$E$6)/($G$6-$E$6),$E$6+SQRT(P174*($G$6-$E$6)*($F$6-$E$6)),$G$6-SQRT((1-P174)*($G$6-$E$6)*($G$6-$F$6))))</f>
        <v>0.994258415222575</v>
      </c>
      <c r="C174" s="51" t="n">
        <f aca="false">1+IF($G$7=$E$7,$F$7,IF(Q174&lt;($F$7-$E$7)/($G$7-$E$7),$E$7+SQRT(Q174*($G$7-$E$7)*($F$7-$E$7)),$G$7-SQRT((1-Q174)*($G$7-$E$7)*($G$7-$F$7))))</f>
        <v>0.866610507775081</v>
      </c>
      <c r="D174" s="51" t="n">
        <f aca="false">1+IF($G$8=$E$8,$F$8,IF(R174&lt;($F$8-$E$8)/($G$8-$E$8),$E$8+SQRT(R174*($G$8-$E$8)*($F$8-$E$8)),$G$8-SQRT((1-R174)*($G$8-$E$8)*($G$8-$F$8))))</f>
        <v>1.00165997278386</v>
      </c>
      <c r="E174" s="51" t="n">
        <f aca="false">1+IF($G$9=$E$9,$F$9,IF(S174&lt;($F$9-$E$9)/($G$9-$E$9),$E$9+SQRT(S174*($G$9-$E$9)*($F$9-$E$9)),$G$9-SQRT((1-S174)*($G$9-$E$9)*($G$9-$F$9))))</f>
        <v>0.915361254327996</v>
      </c>
      <c r="F174" s="51" t="n">
        <f aca="false">1+IF($G$10=$E$10,$F$10,IF(T174&lt;($F$10-$E$10)/($G$10-$E$10),$E$10+SQRT(T174*($G$10-$E$10)*($F$10-$E$10)),$G$10-SQRT((1-T174)*($G$10-$E$10)*($G$10-$F$10))))</f>
        <v>1.06149266075517</v>
      </c>
      <c r="G174" s="52" t="n">
        <f aca="false">IF($G$11=$E$11,$F$11,IF(U174&lt;($F$11-$E$11)/($G$11-$E$11),$E$11+SQRT(U174*($G$11-$E$11)*($F$11-$E$11)),$G$11-SQRT((1-U174)*($G$11-$E$11)*($G$11-$F$11))))</f>
        <v>0.118778444715464</v>
      </c>
      <c r="H174" s="53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-2122985321.51033</v>
      </c>
      <c r="I174" s="53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-19611526.7646851</v>
      </c>
      <c r="J174" s="53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241757730.429111</v>
      </c>
      <c r="K174" s="53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556201620.660666</v>
      </c>
      <c r="L174" s="53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673102804.736947</v>
      </c>
      <c r="M174" s="53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836882345.634532</v>
      </c>
      <c r="N174" s="53" t="n">
        <f aca="false">IF(COUNT('Business Case'!B11:G11)=0,"",H174+NPV(G174,I174:M174))</f>
        <v>-643066343.501534</v>
      </c>
      <c r="P174" s="54" t="n">
        <f aca="true">RAND()</f>
        <v>0.59230992268476</v>
      </c>
      <c r="Q174" s="54" t="n">
        <f aca="true">RAND()</f>
        <v>0.205622676304224</v>
      </c>
      <c r="R174" s="54" t="n">
        <f aca="true">RAND()</f>
        <v>0.355282603141942</v>
      </c>
      <c r="S174" s="54" t="n">
        <f aca="true">RAND()</f>
        <v>0.00943872538117521</v>
      </c>
      <c r="T174" s="54" t="n">
        <f aca="true">RAND()</f>
        <v>0.526199774011112</v>
      </c>
      <c r="U174" s="54" t="n">
        <f aca="true">RAND()</f>
        <v>0.91605113133073</v>
      </c>
    </row>
    <row r="175" customFormat="false" ht="15" hidden="false" customHeight="false" outlineLevel="0" collapsed="false">
      <c r="A175" s="50" t="n">
        <v>95</v>
      </c>
      <c r="B175" s="51" t="n">
        <f aca="false">1+IF($G$6=$E$6,$F$6,IF(P175&lt;($F$6-$E$6)/($G$6-$E$6),$E$6+SQRT(P175*($G$6-$E$6)*($F$6-$E$6)),$G$6-SQRT((1-P175)*($G$6-$E$6)*($G$6-$F$6))))</f>
        <v>0.994634448845036</v>
      </c>
      <c r="C175" s="51" t="n">
        <f aca="false">1+IF($G$7=$E$7,$F$7,IF(Q175&lt;($F$7-$E$7)/($G$7-$E$7),$E$7+SQRT(Q175*($G$7-$E$7)*($F$7-$E$7)),$G$7-SQRT((1-Q175)*($G$7-$E$7)*($G$7-$F$7))))</f>
        <v>0.905217245707764</v>
      </c>
      <c r="D175" s="51" t="n">
        <f aca="false">1+IF($G$8=$E$8,$F$8,IF(R175&lt;($F$8-$E$8)/($G$8-$E$8),$E$8+SQRT(R175*($G$8-$E$8)*($F$8-$E$8)),$G$8-SQRT((1-R175)*($G$8-$E$8)*($G$8-$F$8))))</f>
        <v>1.00933220645669</v>
      </c>
      <c r="E175" s="51" t="n">
        <f aca="false">1+IF($G$9=$E$9,$F$9,IF(S175&lt;($F$9-$E$9)/($G$9-$E$9),$E$9+SQRT(S175*($G$9-$E$9)*($F$9-$E$9)),$G$9-SQRT((1-S175)*($G$9-$E$9)*($G$9-$F$9))))</f>
        <v>0.992840546307863</v>
      </c>
      <c r="F175" s="51" t="n">
        <f aca="false">1+IF($G$10=$E$10,$F$10,IF(T175&lt;($F$10-$E$10)/($G$10-$E$10),$E$10+SQRT(T175*($G$10-$E$10)*($F$10-$E$10)),$G$10-SQRT((1-T175)*($G$10-$E$10)*($G$10-$F$10))))</f>
        <v>1.08392418524903</v>
      </c>
      <c r="G175" s="52" t="n">
        <f aca="false">IF($G$11=$E$11,$F$11,IF(U175&lt;($F$11-$E$11)/($G$11-$E$11),$E$11+SQRT(U175*($G$11-$E$11)*($F$11-$E$11)),$G$11-SQRT((1-U175)*($G$11-$E$11)*($G$11-$F$11))))</f>
        <v>0.110186995712153</v>
      </c>
      <c r="H175" s="53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-2167848370.49807</v>
      </c>
      <c r="I175" s="53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-26512489.8837024</v>
      </c>
      <c r="J175" s="53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243224040.127491</v>
      </c>
      <c r="K175" s="53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567156779.401136</v>
      </c>
      <c r="L175" s="53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688185406.528209</v>
      </c>
      <c r="M175" s="53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859325884.039928</v>
      </c>
      <c r="N175" s="53" t="n">
        <f aca="false">IF(COUNT('Business Case'!B11:G11)=0,"",H175+NPV(G175,I175:M175))</f>
        <v>-617336810.031385</v>
      </c>
      <c r="P175" s="54" t="n">
        <f aca="true">RAND()</f>
        <v>0.59704526054691</v>
      </c>
      <c r="Q175" s="54" t="n">
        <f aca="true">RAND()</f>
        <v>0.311956429154672</v>
      </c>
      <c r="R175" s="54" t="n">
        <f aca="true">RAND()</f>
        <v>0.451956747599126</v>
      </c>
      <c r="S175" s="54" t="n">
        <f aca="true">RAND()</f>
        <v>0.344774681549701</v>
      </c>
      <c r="T175" s="54" t="n">
        <f aca="true">RAND()</f>
        <v>0.632250983397368</v>
      </c>
      <c r="U175" s="54" t="n">
        <f aca="true">RAND()</f>
        <v>0.738296574059846</v>
      </c>
    </row>
    <row r="176" customFormat="false" ht="15" hidden="false" customHeight="false" outlineLevel="0" collapsed="false">
      <c r="A176" s="50" t="n">
        <v>96</v>
      </c>
      <c r="B176" s="51" t="n">
        <f aca="false">1+IF($G$6=$E$6,$F$6,IF(P176&lt;($F$6-$E$6)/($G$6-$E$6),$E$6+SQRT(P176*($G$6-$E$6)*($F$6-$E$6)),$G$6-SQRT((1-P176)*($G$6-$E$6)*($G$6-$F$6))))</f>
        <v>1.03580290833107</v>
      </c>
      <c r="C176" s="51" t="n">
        <f aca="false">1+IF($G$7=$E$7,$F$7,IF(Q176&lt;($F$7-$E$7)/($G$7-$E$7),$E$7+SQRT(Q176*($G$7-$E$7)*($F$7-$E$7)),$G$7-SQRT((1-Q176)*($G$7-$E$7)*($G$7-$F$7))))</f>
        <v>1.13865862331572</v>
      </c>
      <c r="D176" s="51" t="n">
        <f aca="false">1+IF($G$8=$E$8,$F$8,IF(R176&lt;($F$8-$E$8)/($G$8-$E$8),$E$8+SQRT(R176*($G$8-$E$8)*($F$8-$E$8)),$G$8-SQRT((1-R176)*($G$8-$E$8)*($G$8-$F$8))))</f>
        <v>1.0636380716867</v>
      </c>
      <c r="E176" s="51" t="n">
        <f aca="false">1+IF($G$9=$E$9,$F$9,IF(S176&lt;($F$9-$E$9)/($G$9-$E$9),$E$9+SQRT(S176*($G$9-$E$9)*($F$9-$E$9)),$G$9-SQRT((1-S176)*($G$9-$E$9)*($G$9-$F$9))))</f>
        <v>1.07679210457491</v>
      </c>
      <c r="F176" s="51" t="n">
        <f aca="false">1+IF($G$10=$E$10,$F$10,IF(T176&lt;($F$10-$E$10)/($G$10-$E$10),$E$10+SQRT(T176*($G$10-$E$10)*($F$10-$E$10)),$G$10-SQRT((1-T176)*($G$10-$E$10)*($G$10-$F$10))))</f>
        <v>1.10538713440291</v>
      </c>
      <c r="G176" s="52" t="n">
        <f aca="false">IF($G$11=$E$11,$F$11,IF(U176&lt;($F$11-$E$11)/($G$11-$E$11),$E$11+SQRT(U176*($G$11-$E$11)*($F$11-$E$11)),$G$11-SQRT((1-U176)*($G$11-$E$11)*($G$11-$F$11))))</f>
        <v>0.097217407296895</v>
      </c>
      <c r="H176" s="53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-2210774268.80581</v>
      </c>
      <c r="I176" s="53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21237862.3503377</v>
      </c>
      <c r="J176" s="53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367275714.773925</v>
      </c>
      <c r="K176" s="53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768582923.917658</v>
      </c>
      <c r="L176" s="53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924689834.300459</v>
      </c>
      <c r="M176" s="53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1148875111.96262</v>
      </c>
      <c r="N176" s="53" t="n">
        <f aca="false">IF(COUNT('Business Case'!B11:G11)=0,"",H176+NPV(G176,I176:M176))</f>
        <v>55968629.2738414</v>
      </c>
      <c r="P176" s="54" t="n">
        <f aca="true">RAND()</f>
        <v>0.973125678419214</v>
      </c>
      <c r="Q176" s="54" t="n">
        <f aca="true">RAND()</f>
        <v>0.998094417406005</v>
      </c>
      <c r="R176" s="54" t="n">
        <f aca="true">RAND()</f>
        <v>0.911854011289227</v>
      </c>
      <c r="S176" s="54" t="n">
        <f aca="true">RAND()</f>
        <v>0.857082774598105</v>
      </c>
      <c r="T176" s="54" t="n">
        <f aca="true">RAND()</f>
        <v>0.721161588050621</v>
      </c>
      <c r="U176" s="54" t="n">
        <f aca="true">RAND()</f>
        <v>0.296439114027173</v>
      </c>
    </row>
    <row r="177" customFormat="false" ht="15" hidden="false" customHeight="false" outlineLevel="0" collapsed="false">
      <c r="A177" s="50" t="n">
        <v>97</v>
      </c>
      <c r="B177" s="51" t="n">
        <f aca="false">1+IF($G$6=$E$6,$F$6,IF(P177&lt;($F$6-$E$6)/($G$6-$E$6),$E$6+SQRT(P177*($G$6-$E$6)*($F$6-$E$6)),$G$6-SQRT((1-P177)*($G$6-$E$6)*($G$6-$F$6))))</f>
        <v>0.93579922015296</v>
      </c>
      <c r="C177" s="51" t="n">
        <f aca="false">1+IF($G$7=$E$7,$F$7,IF(Q177&lt;($F$7-$E$7)/($G$7-$E$7),$E$7+SQRT(Q177*($G$7-$E$7)*($F$7-$E$7)),$G$7-SQRT((1-Q177)*($G$7-$E$7)*($G$7-$F$7))))</f>
        <v>1.0708791666364</v>
      </c>
      <c r="D177" s="51" t="n">
        <f aca="false">1+IF($G$8=$E$8,$F$8,IF(R177&lt;($F$8-$E$8)/($G$8-$E$8),$E$8+SQRT(R177*($G$8-$E$8)*($F$8-$E$8)),$G$8-SQRT((1-R177)*($G$8-$E$8)*($G$8-$F$8))))</f>
        <v>1.0057613492352</v>
      </c>
      <c r="E177" s="51" t="n">
        <f aca="false">1+IF($G$9=$E$9,$F$9,IF(S177&lt;($F$9-$E$9)/($G$9-$E$9),$E$9+SQRT(S177*($G$9-$E$9)*($F$9-$E$9)),$G$9-SQRT((1-S177)*($G$9-$E$9)*($G$9-$F$9))))</f>
        <v>1.10830853244367</v>
      </c>
      <c r="F177" s="51" t="n">
        <f aca="false">1+IF($G$10=$E$10,$F$10,IF(T177&lt;($F$10-$E$10)/($G$10-$E$10),$E$10+SQRT(T177*($G$10-$E$10)*($F$10-$E$10)),$G$10-SQRT((1-T177)*($G$10-$E$10)*($G$10-$F$10))))</f>
        <v>1.16558123021212</v>
      </c>
      <c r="G177" s="52" t="n">
        <f aca="false">IF($G$11=$E$11,$F$11,IF(U177&lt;($F$11-$E$11)/($G$11-$E$11),$E$11+SQRT(U177*($G$11-$E$11)*($F$11-$E$11)),$G$11-SQRT((1-U177)*($G$11-$E$11)*($G$11-$F$11))))</f>
        <v>0.0987295191221041</v>
      </c>
      <c r="H177" s="53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-2331162460.42425</v>
      </c>
      <c r="I177" s="53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-56657872.136934</v>
      </c>
      <c r="J177" s="53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212794161.827444</v>
      </c>
      <c r="K177" s="53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540525257.302429</v>
      </c>
      <c r="L177" s="53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664976141.801629</v>
      </c>
      <c r="M177" s="53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855460610.945865</v>
      </c>
      <c r="N177" s="53" t="n">
        <f aca="false">IF(COUNT('Business Case'!B11:G11)=0,"",H177+NPV(G177,I177:M177))</f>
        <v>-808400361.197189</v>
      </c>
      <c r="P177" s="54" t="n">
        <f aca="true">RAND()</f>
        <v>0.0854389442373372</v>
      </c>
      <c r="Q177" s="54" t="n">
        <f aca="true">RAND()</f>
        <v>0.907257684857027</v>
      </c>
      <c r="R177" s="54" t="n">
        <f aca="true">RAND()</f>
        <v>0.407938446802064</v>
      </c>
      <c r="S177" s="54" t="n">
        <f aca="true">RAND()</f>
        <v>0.953648574213323</v>
      </c>
      <c r="T177" s="54" t="n">
        <f aca="true">RAND()</f>
        <v>0.904979617433353</v>
      </c>
      <c r="U177" s="54" t="n">
        <f aca="true">RAND()</f>
        <v>0.350794886545263</v>
      </c>
    </row>
    <row r="178" customFormat="false" ht="15" hidden="false" customHeight="false" outlineLevel="0" collapsed="false">
      <c r="A178" s="50" t="n">
        <v>98</v>
      </c>
      <c r="B178" s="51" t="n">
        <f aca="false">1+IF($G$6=$E$6,$F$6,IF(P178&lt;($F$6-$E$6)/($G$6-$E$6),$E$6+SQRT(P178*($G$6-$E$6)*($F$6-$E$6)),$G$6-SQRT((1-P178)*($G$6-$E$6)*($G$6-$F$6))))</f>
        <v>1.00892784854091</v>
      </c>
      <c r="C178" s="51" t="n">
        <f aca="false">1+IF($G$7=$E$7,$F$7,IF(Q178&lt;($F$7-$E$7)/($G$7-$E$7),$E$7+SQRT(Q178*($G$7-$E$7)*($F$7-$E$7)),$G$7-SQRT((1-Q178)*($G$7-$E$7)*($G$7-$F$7))))</f>
        <v>0.869550546300946</v>
      </c>
      <c r="D178" s="51" t="n">
        <f aca="false">1+IF($G$8=$E$8,$F$8,IF(R178&lt;($F$8-$E$8)/($G$8-$E$8),$E$8+SQRT(R178*($G$8-$E$8)*($F$8-$E$8)),$G$8-SQRT((1-R178)*($G$8-$E$8)*($G$8-$F$8))))</f>
        <v>1.04445229692042</v>
      </c>
      <c r="E178" s="51" t="n">
        <f aca="false">1+IF($G$9=$E$9,$F$9,IF(S178&lt;($F$9-$E$9)/($G$9-$E$9),$E$9+SQRT(S178*($G$9-$E$9)*($F$9-$E$9)),$G$9-SQRT((1-S178)*($G$9-$E$9)*($G$9-$F$9))))</f>
        <v>0.942698397422988</v>
      </c>
      <c r="F178" s="51" t="n">
        <f aca="false">1+IF($G$10=$E$10,$F$10,IF(T178&lt;($F$10-$E$10)/($G$10-$E$10),$E$10+SQRT(T178*($G$10-$E$10)*($F$10-$E$10)),$G$10-SQRT((1-T178)*($G$10-$E$10)*($G$10-$F$10))))</f>
        <v>1.16888811647914</v>
      </c>
      <c r="G178" s="52" t="n">
        <f aca="false">IF($G$11=$E$11,$F$11,IF(U178&lt;($F$11-$E$11)/($G$11-$E$11),$E$11+SQRT(U178*($G$11-$E$11)*($F$11-$E$11)),$G$11-SQRT((1-U178)*($G$11-$E$11)*($G$11-$F$11))))</f>
        <v>0.0882846059342601</v>
      </c>
      <c r="H178" s="53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-2337776232.95828</v>
      </c>
      <c r="I178" s="53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-42765156.7545152</v>
      </c>
      <c r="J178" s="53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210890155.668135</v>
      </c>
      <c r="K178" s="53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522989873.914743</v>
      </c>
      <c r="L178" s="53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637861608.332761</v>
      </c>
      <c r="M178" s="53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804621408.190338</v>
      </c>
      <c r="N178" s="53" t="n">
        <f aca="false">IF(COUNT('Business Case'!B11:G11)=0,"",H178+NPV(G178,I178:M178))</f>
        <v>-811437088.651811</v>
      </c>
      <c r="P178" s="54" t="n">
        <f aca="true">RAND()</f>
        <v>0.775077116602839</v>
      </c>
      <c r="Q178" s="54" t="n">
        <f aca="true">RAND()</f>
        <v>0.212943612969993</v>
      </c>
      <c r="R178" s="54" t="n">
        <f aca="true">RAND()</f>
        <v>0.794296845505523</v>
      </c>
      <c r="S178" s="54" t="n">
        <f aca="true">RAND()</f>
        <v>0.0729261256996571</v>
      </c>
      <c r="T178" s="54" t="n">
        <f aca="true">RAND()</f>
        <v>0.912278164689311</v>
      </c>
      <c r="U178" s="54" t="n">
        <f aca="true">RAND()</f>
        <v>0.068634695485978</v>
      </c>
    </row>
    <row r="179" customFormat="false" ht="15" hidden="false" customHeight="false" outlineLevel="0" collapsed="false">
      <c r="A179" s="50" t="n">
        <v>99</v>
      </c>
      <c r="B179" s="51" t="n">
        <f aca="false">1+IF($G$6=$E$6,$F$6,IF(P179&lt;($F$6-$E$6)/($G$6-$E$6),$E$6+SQRT(P179*($G$6-$E$6)*($F$6-$E$6)),$G$6-SQRT((1-P179)*($G$6-$E$6)*($G$6-$F$6))))</f>
        <v>0.977364417020884</v>
      </c>
      <c r="C179" s="51" t="n">
        <f aca="false">1+IF($G$7=$E$7,$F$7,IF(Q179&lt;($F$7-$E$7)/($G$7-$E$7),$E$7+SQRT(Q179*($G$7-$E$7)*($F$7-$E$7)),$G$7-SQRT((1-Q179)*($G$7-$E$7)*($G$7-$F$7))))</f>
        <v>0.887469518829747</v>
      </c>
      <c r="D179" s="51" t="n">
        <f aca="false">1+IF($G$8=$E$8,$F$8,IF(R179&lt;($F$8-$E$8)/($G$8-$E$8),$E$8+SQRT(R179*($G$8-$E$8)*($F$8-$E$8)),$G$8-SQRT((1-R179)*($G$8-$E$8)*($G$8-$F$8))))</f>
        <v>0.993798351814037</v>
      </c>
      <c r="E179" s="51" t="n">
        <f aca="false">1+IF($G$9=$E$9,$F$9,IF(S179&lt;($F$9-$E$9)/($G$9-$E$9),$E$9+SQRT(S179*($G$9-$E$9)*($F$9-$E$9)),$G$9-SQRT((1-S179)*($G$9-$E$9)*($G$9-$F$9))))</f>
        <v>0.955932295355602</v>
      </c>
      <c r="F179" s="51" t="n">
        <f aca="false">1+IF($G$10=$E$10,$F$10,IF(T179&lt;($F$10-$E$10)/($G$10-$E$10),$E$10+SQRT(T179*($G$10-$E$10)*($F$10-$E$10)),$G$10-SQRT((1-T179)*($G$10-$E$10)*($G$10-$F$10))))</f>
        <v>1.06189914081178</v>
      </c>
      <c r="G179" s="52" t="n">
        <f aca="false">IF($G$11=$E$11,$F$11,IF(U179&lt;($F$11-$E$11)/($G$11-$E$11),$E$11+SQRT(U179*($G$11-$E$11)*($F$11-$E$11)),$G$11-SQRT((1-U179)*($G$11-$E$11)*($G$11-$F$11))))</f>
        <v>0.104450664952018</v>
      </c>
      <c r="H179" s="53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-2123798281.62357</v>
      </c>
      <c r="I179" s="53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-28136832.4271694</v>
      </c>
      <c r="J179" s="53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230814859.348315</v>
      </c>
      <c r="K179" s="53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542861508.164387</v>
      </c>
      <c r="L179" s="53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659155430.570821</v>
      </c>
      <c r="M179" s="53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824027235.551152</v>
      </c>
      <c r="N179" s="53" t="n">
        <f aca="false">IF(COUNT('Business Case'!B11:G11)=0,"",H179+NPV(G179,I179:M179))</f>
        <v>-612674967.141091</v>
      </c>
      <c r="P179" s="54" t="n">
        <f aca="true">RAND()</f>
        <v>0.399016868065411</v>
      </c>
      <c r="Q179" s="54" t="n">
        <f aca="true">RAND()</f>
        <v>0.260332003631531</v>
      </c>
      <c r="R179" s="54" t="n">
        <f aca="true">RAND()</f>
        <v>0.255772749550155</v>
      </c>
      <c r="S179" s="54" t="n">
        <f aca="true">RAND()</f>
        <v>0.125136866549851</v>
      </c>
      <c r="T179" s="54" t="n">
        <f aca="true">RAND()</f>
        <v>0.528240890302062</v>
      </c>
      <c r="U179" s="54" t="n">
        <f aca="true">RAND()</f>
        <v>0.564820985737301</v>
      </c>
    </row>
    <row r="180" customFormat="false" ht="15" hidden="false" customHeight="false" outlineLevel="0" collapsed="false">
      <c r="A180" s="50" t="n">
        <v>100</v>
      </c>
      <c r="B180" s="51" t="n">
        <f aca="false">1+IF($G$6=$E$6,$F$6,IF(P180&lt;($F$6-$E$6)/($G$6-$E$6),$E$6+SQRT(P180*($G$6-$E$6)*($F$6-$E$6)),$G$6-SQRT((1-P180)*($G$6-$E$6)*($G$6-$F$6))))</f>
        <v>1.03828749829348</v>
      </c>
      <c r="C180" s="51" t="n">
        <f aca="false">1+IF($G$7=$E$7,$F$7,IF(Q180&lt;($F$7-$E$7)/($G$7-$E$7),$E$7+SQRT(Q180*($G$7-$E$7)*($F$7-$E$7)),$G$7-SQRT((1-Q180)*($G$7-$E$7)*($G$7-$F$7))))</f>
        <v>0.900566681242173</v>
      </c>
      <c r="D180" s="51" t="n">
        <f aca="false">1+IF($G$8=$E$8,$F$8,IF(R180&lt;($F$8-$E$8)/($G$8-$E$8),$E$8+SQRT(R180*($G$8-$E$8)*($F$8-$E$8)),$G$8-SQRT((1-R180)*($G$8-$E$8)*($G$8-$F$8))))</f>
        <v>1.03451493387911</v>
      </c>
      <c r="E180" s="51" t="n">
        <f aca="false">1+IF($G$9=$E$9,$F$9,IF(S180&lt;($F$9-$E$9)/($G$9-$E$9),$E$9+SQRT(S180*($G$9-$E$9)*($F$9-$E$9)),$G$9-SQRT((1-S180)*($G$9-$E$9)*($G$9-$F$9))))</f>
        <v>1.11730162143541</v>
      </c>
      <c r="F180" s="51" t="n">
        <f aca="false">1+IF($G$10=$E$10,$F$10,IF(T180&lt;($F$10-$E$10)/($G$10-$E$10),$E$10+SQRT(T180*($G$10-$E$10)*($F$10-$E$10)),$G$10-SQRT((1-T180)*($G$10-$E$10)*($G$10-$F$10))))</f>
        <v>1.03107166024276</v>
      </c>
      <c r="G180" s="52" t="n">
        <f aca="false">IF($G$11=$E$11,$F$11,IF(U180&lt;($F$11-$E$11)/($G$11-$E$11),$E$11+SQRT(U180*($G$11-$E$11)*($F$11-$E$11)),$G$11-SQRT((1-U180)*($G$11-$E$11)*($G$11-$F$11))))</f>
        <v>0.096691721895567</v>
      </c>
      <c r="H180" s="53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-2062143320.48553</v>
      </c>
      <c r="I180" s="53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-21519484.1666855</v>
      </c>
      <c r="J180" s="53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267421331.297476</v>
      </c>
      <c r="K180" s="53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607915729.773775</v>
      </c>
      <c r="L180" s="53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736544563.620799</v>
      </c>
      <c r="M180" s="53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914278321.428465</v>
      </c>
      <c r="N180" s="53" t="n">
        <f aca="false">IF(COUNT('Business Case'!B11:G11)=0,"",H180+NPV(G180,I180:M180))</f>
        <v>-313061933.941933</v>
      </c>
      <c r="P180" s="54" t="n">
        <f aca="true">RAND()</f>
        <v>0.98170897383663</v>
      </c>
      <c r="Q180" s="54" t="n">
        <f aca="true">RAND()</f>
        <v>0.297977730551849</v>
      </c>
      <c r="R180" s="54" t="n">
        <f aca="true">RAND()</f>
        <v>0.714113741009499</v>
      </c>
      <c r="S180" s="54" t="n">
        <f aca="true">RAND()</f>
        <v>0.971488427713253</v>
      </c>
      <c r="T180" s="54" t="n">
        <f aca="true">RAND()</f>
        <v>0.360938427348541</v>
      </c>
      <c r="U180" s="54" t="n">
        <f aca="true">RAND()</f>
        <v>0.278613579838949</v>
      </c>
    </row>
    <row r="181" customFormat="false" ht="15" hidden="false" customHeight="false" outlineLevel="0" collapsed="false">
      <c r="A181" s="50" t="n">
        <v>101</v>
      </c>
      <c r="B181" s="51" t="n">
        <f aca="false">1+IF($G$6=$E$6,$F$6,IF(P181&lt;($F$6-$E$6)/($G$6-$E$6),$E$6+SQRT(P181*($G$6-$E$6)*($F$6-$E$6)),$G$6-SQRT((1-P181)*($G$6-$E$6)*($G$6-$F$6))))</f>
        <v>0.975516075656535</v>
      </c>
      <c r="C181" s="51" t="n">
        <f aca="false">1+IF($G$7=$E$7,$F$7,IF(Q181&lt;($F$7-$E$7)/($G$7-$E$7),$E$7+SQRT(Q181*($G$7-$E$7)*($F$7-$E$7)),$G$7-SQRT((1-Q181)*($G$7-$E$7)*($G$7-$F$7))))</f>
        <v>0.874724666446134</v>
      </c>
      <c r="D181" s="51" t="n">
        <f aca="false">1+IF($G$8=$E$8,$F$8,IF(R181&lt;($F$8-$E$8)/($G$8-$E$8),$E$8+SQRT(R181*($G$8-$E$8)*($F$8-$E$8)),$G$8-SQRT((1-R181)*($G$8-$E$8)*($G$8-$F$8))))</f>
        <v>1.00741998501726</v>
      </c>
      <c r="E181" s="51" t="n">
        <f aca="false">1+IF($G$9=$E$9,$F$9,IF(S181&lt;($F$9-$E$9)/($G$9-$E$9),$E$9+SQRT(S181*($G$9-$E$9)*($F$9-$E$9)),$G$9-SQRT((1-S181)*($G$9-$E$9)*($G$9-$F$9))))</f>
        <v>1.03675561784901</v>
      </c>
      <c r="F181" s="51" t="n">
        <f aca="false">1+IF($G$10=$E$10,$F$10,IF(T181&lt;($F$10-$E$10)/($G$10-$E$10),$E$10+SQRT(T181*($G$10-$E$10)*($F$10-$E$10)),$G$10-SQRT((1-T181)*($G$10-$E$10)*($G$10-$F$10))))</f>
        <v>1.03586043489256</v>
      </c>
      <c r="G181" s="52" t="n">
        <f aca="false">IF($G$11=$E$11,$F$11,IF(U181&lt;($F$11-$E$11)/($G$11-$E$11),$E$11+SQRT(U181*($G$11-$E$11)*($F$11-$E$11)),$G$11-SQRT((1-U181)*($G$11-$E$11)*($G$11-$F$11))))</f>
        <v>0.107433691590509</v>
      </c>
      <c r="H181" s="53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-2071720869.78512</v>
      </c>
      <c r="I181" s="53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-47439148.2209091</v>
      </c>
      <c r="J181" s="53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200369881.272102</v>
      </c>
      <c r="K181" s="53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499971932.509741</v>
      </c>
      <c r="L181" s="53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612065265.918435</v>
      </c>
      <c r="M181" s="53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774262045.595732</v>
      </c>
      <c r="N181" s="53" t="n">
        <f aca="false">IF(COUNT('Business Case'!B11:G11)=0,"",H181+NPV(G181,I181:M181))</f>
        <v>-711283869.290807</v>
      </c>
      <c r="P181" s="54" t="n">
        <f aca="true">RAND()</f>
        <v>0.380178512170896</v>
      </c>
      <c r="Q181" s="54" t="n">
        <f aca="true">RAND()</f>
        <v>0.226138585664539</v>
      </c>
      <c r="R181" s="54" t="n">
        <f aca="true">RAND()</f>
        <v>0.428596055053021</v>
      </c>
      <c r="S181" s="54" t="n">
        <f aca="true">RAND()</f>
        <v>0.658018930966386</v>
      </c>
      <c r="T181" s="54" t="n">
        <f aca="true">RAND()</f>
        <v>0.388589955407956</v>
      </c>
      <c r="U181" s="54" t="n">
        <f aca="true">RAND()</f>
        <v>0.660507816511813</v>
      </c>
    </row>
    <row r="182" customFormat="false" ht="15" hidden="false" customHeight="false" outlineLevel="0" collapsed="false">
      <c r="A182" s="50" t="n">
        <v>102</v>
      </c>
      <c r="B182" s="51" t="n">
        <f aca="false">1+IF($G$6=$E$6,$F$6,IF(P182&lt;($F$6-$E$6)/($G$6-$E$6),$E$6+SQRT(P182*($G$6-$E$6)*($F$6-$E$6)),$G$6-SQRT((1-P182)*($G$6-$E$6)*($G$6-$F$6))))</f>
        <v>1.02670916803527</v>
      </c>
      <c r="C182" s="51" t="n">
        <f aca="false">1+IF($G$7=$E$7,$F$7,IF(Q182&lt;($F$7-$E$7)/($G$7-$E$7),$E$7+SQRT(Q182*($G$7-$E$7)*($F$7-$E$7)),$G$7-SQRT((1-Q182)*($G$7-$E$7)*($G$7-$F$7))))</f>
        <v>0.828930082000389</v>
      </c>
      <c r="D182" s="51" t="n">
        <f aca="false">1+IF($G$8=$E$8,$F$8,IF(R182&lt;($F$8-$E$8)/($G$8-$E$8),$E$8+SQRT(R182*($G$8-$E$8)*($F$8-$E$8)),$G$8-SQRT((1-R182)*($G$8-$E$8)*($G$8-$F$8))))</f>
        <v>0.991815265597389</v>
      </c>
      <c r="E182" s="51" t="n">
        <f aca="false">1+IF($G$9=$E$9,$F$9,IF(S182&lt;($F$9-$E$9)/($G$9-$E$9),$E$9+SQRT(S182*($G$9-$E$9)*($F$9-$E$9)),$G$9-SQRT((1-S182)*($G$9-$E$9)*($G$9-$F$9))))</f>
        <v>0.953916914781691</v>
      </c>
      <c r="F182" s="51" t="n">
        <f aca="false">1+IF($G$10=$E$10,$F$10,IF(T182&lt;($F$10-$E$10)/($G$10-$E$10),$E$10+SQRT(T182*($G$10-$E$10)*($F$10-$E$10)),$G$10-SQRT((1-T182)*($G$10-$E$10)*($G$10-$F$10))))</f>
        <v>0.9736413997302</v>
      </c>
      <c r="G182" s="52" t="n">
        <f aca="false">IF($G$11=$E$11,$F$11,IF(U182&lt;($F$11-$E$11)/($G$11-$E$11),$E$11+SQRT(U182*($G$11-$E$11)*($F$11-$E$11)),$G$11-SQRT((1-U182)*($G$11-$E$11)*($G$11-$F$11))))</f>
        <v>0.105950183902369</v>
      </c>
      <c r="H182" s="53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-1947282799.4604</v>
      </c>
      <c r="I182" s="53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-915628.091333836</v>
      </c>
      <c r="J182" s="53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275299343.826134</v>
      </c>
      <c r="K182" s="53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600196385.730112</v>
      </c>
      <c r="L182" s="53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721681026.205152</v>
      </c>
      <c r="M182" s="53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883452433.635846</v>
      </c>
      <c r="N182" s="53" t="n">
        <f aca="false">IF(COUNT('Business Case'!B11:G11)=0,"",H182+NPV(G182,I182:M182))</f>
        <v>-262983900.604068</v>
      </c>
      <c r="P182" s="54" t="n">
        <f aca="true">RAND()</f>
        <v>0.927671619518782</v>
      </c>
      <c r="Q182" s="54" t="n">
        <f aca="true">RAND()</f>
        <v>0.123133081812052</v>
      </c>
      <c r="R182" s="54" t="n">
        <f aca="true">RAND()</f>
        <v>0.233135524930687</v>
      </c>
      <c r="S182" s="54" t="n">
        <f aca="true">RAND()</f>
        <v>0.116281347983044</v>
      </c>
      <c r="T182" s="54" t="n">
        <f aca="true">RAND()</f>
        <v>0.0372610520802063</v>
      </c>
      <c r="U182" s="54" t="n">
        <f aca="true">RAND()</f>
        <v>0.614404230446738</v>
      </c>
    </row>
    <row r="183" customFormat="false" ht="15" hidden="false" customHeight="false" outlineLevel="0" collapsed="false">
      <c r="A183" s="50" t="n">
        <v>103</v>
      </c>
      <c r="B183" s="51" t="n">
        <f aca="false">1+IF($G$6=$E$6,$F$6,IF(P183&lt;($F$6-$E$6)/($G$6-$E$6),$E$6+SQRT(P183*($G$6-$E$6)*($F$6-$E$6)),$G$6-SQRT((1-P183)*($G$6-$E$6)*($G$6-$F$6))))</f>
        <v>0.983561209338013</v>
      </c>
      <c r="C183" s="51" t="n">
        <f aca="false">1+IF($G$7=$E$7,$F$7,IF(Q183&lt;($F$7-$E$7)/($G$7-$E$7),$E$7+SQRT(Q183*($G$7-$E$7)*($F$7-$E$7)),$G$7-SQRT((1-Q183)*($G$7-$E$7)*($G$7-$F$7))))</f>
        <v>1.06930670796798</v>
      </c>
      <c r="D183" s="51" t="n">
        <f aca="false">1+IF($G$8=$E$8,$F$8,IF(R183&lt;($F$8-$E$8)/($G$8-$E$8),$E$8+SQRT(R183*($G$8-$E$8)*($F$8-$E$8)),$G$8-SQRT((1-R183)*($G$8-$E$8)*($G$8-$F$8))))</f>
        <v>1.0005425447903</v>
      </c>
      <c r="E183" s="51" t="n">
        <f aca="false">1+IF($G$9=$E$9,$F$9,IF(S183&lt;($F$9-$E$9)/($G$9-$E$9),$E$9+SQRT(S183*($G$9-$E$9)*($F$9-$E$9)),$G$9-SQRT((1-S183)*($G$9-$E$9)*($G$9-$F$9))))</f>
        <v>1.02749432818623</v>
      </c>
      <c r="F183" s="51" t="n">
        <f aca="false">1+IF($G$10=$E$10,$F$10,IF(T183&lt;($F$10-$E$10)/($G$10-$E$10),$E$10+SQRT(T183*($G$10-$E$10)*($F$10-$E$10)),$G$10-SQRT((1-T183)*($G$10-$E$10)*($G$10-$F$10))))</f>
        <v>1.15157385169285</v>
      </c>
      <c r="G183" s="52" t="n">
        <f aca="false">IF($G$11=$E$11,$F$11,IF(U183&lt;($F$11-$E$11)/($G$11-$E$11),$E$11+SQRT(U183*($G$11-$E$11)*($F$11-$E$11)),$G$11-SQRT((1-U183)*($G$11-$E$11)*($G$11-$F$11))))</f>
        <v>0.0875145726427301</v>
      </c>
      <c r="H183" s="53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-2303147703.3857</v>
      </c>
      <c r="I183" s="53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-2043720.97489017</v>
      </c>
      <c r="J183" s="53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311701247.251568</v>
      </c>
      <c r="K183" s="53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683024908.062669</v>
      </c>
      <c r="L183" s="53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823954304.514143</v>
      </c>
      <c r="M183" s="53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1023866876.58207</v>
      </c>
      <c r="N183" s="53" t="n">
        <f aca="false">IF(COUNT('Business Case'!B11:G11)=0,"",H183+NPV(G183,I183:M183))</f>
        <v>-248282209.371878</v>
      </c>
      <c r="P183" s="54" t="n">
        <f aca="true">RAND()</f>
        <v>0.465498380402078</v>
      </c>
      <c r="Q183" s="54" t="n">
        <f aca="true">RAND()</f>
        <v>0.903534705496807</v>
      </c>
      <c r="R183" s="54" t="n">
        <f aca="true">RAND()</f>
        <v>0.340547640213992</v>
      </c>
      <c r="S183" s="54" t="n">
        <f aca="true">RAND()</f>
        <v>0.599796276625519</v>
      </c>
      <c r="T183" s="54" t="n">
        <f aca="true">RAND()</f>
        <v>0.87083057772559</v>
      </c>
      <c r="U183" s="54" t="n">
        <f aca="true">RAND()</f>
        <v>0.0564688020028675</v>
      </c>
    </row>
    <row r="184" customFormat="false" ht="15" hidden="false" customHeight="false" outlineLevel="0" collapsed="false">
      <c r="A184" s="50" t="n">
        <v>104</v>
      </c>
      <c r="B184" s="51" t="n">
        <f aca="false">1+IF($G$6=$E$6,$F$6,IF(P184&lt;($F$6-$E$6)/($G$6-$E$6),$E$6+SQRT(P184*($G$6-$E$6)*($F$6-$E$6)),$G$6-SQRT((1-P184)*($G$6-$E$6)*($G$6-$F$6))))</f>
        <v>1.02398608886425</v>
      </c>
      <c r="C184" s="51" t="n">
        <f aca="false">1+IF($G$7=$E$7,$F$7,IF(Q184&lt;($F$7-$E$7)/($G$7-$E$7),$E$7+SQRT(Q184*($G$7-$E$7)*($F$7-$E$7)),$G$7-SQRT((1-Q184)*($G$7-$E$7)*($G$7-$F$7))))</f>
        <v>0.8243351574503</v>
      </c>
      <c r="D184" s="51" t="n">
        <f aca="false">1+IF($G$8=$E$8,$F$8,IF(R184&lt;($F$8-$E$8)/($G$8-$E$8),$E$8+SQRT(R184*($G$8-$E$8)*($F$8-$E$8)),$G$8-SQRT((1-R184)*($G$8-$E$8)*($G$8-$F$8))))</f>
        <v>1.00339549600119</v>
      </c>
      <c r="E184" s="51" t="n">
        <f aca="false">1+IF($G$9=$E$9,$F$9,IF(S184&lt;($F$9-$E$9)/($G$9-$E$9),$E$9+SQRT(S184*($G$9-$E$9)*($F$9-$E$9)),$G$9-SQRT((1-S184)*($G$9-$E$9)*($G$9-$F$9))))</f>
        <v>1.08922851511783</v>
      </c>
      <c r="F184" s="51" t="n">
        <f aca="false">1+IF($G$10=$E$10,$F$10,IF(T184&lt;($F$10-$E$10)/($G$10-$E$10),$E$10+SQRT(T184*($G$10-$E$10)*($F$10-$E$10)),$G$10-SQRT((1-T184)*($G$10-$E$10)*($G$10-$F$10))))</f>
        <v>1.14560325397475</v>
      </c>
      <c r="G184" s="52" t="n">
        <f aca="false">IF($G$11=$E$11,$F$11,IF(U184&lt;($F$11-$E$11)/($G$11-$E$11),$E$11+SQRT(U184*($G$11-$E$11)*($F$11-$E$11)),$G$11-SQRT((1-U184)*($G$11-$E$11)*($G$11-$F$11))))</f>
        <v>0.111350143856395</v>
      </c>
      <c r="H184" s="53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-2291206507.94949</v>
      </c>
      <c r="I184" s="53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-45248687.0013973</v>
      </c>
      <c r="J184" s="53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222709791.164152</v>
      </c>
      <c r="K184" s="53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547948432.028438</v>
      </c>
      <c r="L184" s="53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666440288.030098</v>
      </c>
      <c r="M184" s="53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826888286.069058</v>
      </c>
      <c r="N184" s="53" t="n">
        <f aca="false">IF(COUNT('Business Case'!B11:G11)=0,"",H184+NPV(G184,I184:M184))</f>
        <v>-827787703.474502</v>
      </c>
      <c r="P184" s="54" t="n">
        <f aca="true">RAND()</f>
        <v>0.909770190322813</v>
      </c>
      <c r="Q184" s="54" t="n">
        <f aca="true">RAND()</f>
        <v>0.114512825023636</v>
      </c>
      <c r="R184" s="54" t="n">
        <f aca="true">RAND()</f>
        <v>0.37783798714293</v>
      </c>
      <c r="S184" s="54" t="n">
        <f aca="true">RAND()</f>
        <v>0.901515376672425</v>
      </c>
      <c r="T184" s="54" t="n">
        <f aca="true">RAND()</f>
        <v>0.854684258924515</v>
      </c>
      <c r="U184" s="54" t="n">
        <f aca="true">RAND()</f>
        <v>0.768121910548549</v>
      </c>
    </row>
    <row r="185" customFormat="false" ht="15" hidden="false" customHeight="false" outlineLevel="0" collapsed="false">
      <c r="A185" s="50" t="n">
        <v>105</v>
      </c>
      <c r="B185" s="51" t="n">
        <f aca="false">1+IF($G$6=$E$6,$F$6,IF(P185&lt;($F$6-$E$6)/($G$6-$E$6),$E$6+SQRT(P185*($G$6-$E$6)*($F$6-$E$6)),$G$6-SQRT((1-P185)*($G$6-$E$6)*($G$6-$F$6))))</f>
        <v>1.02241652189935</v>
      </c>
      <c r="C185" s="51" t="n">
        <f aca="false">1+IF($G$7=$E$7,$F$7,IF(Q185&lt;($F$7-$E$7)/($G$7-$E$7),$E$7+SQRT(Q185*($G$7-$E$7)*($F$7-$E$7)),$G$7-SQRT((1-Q185)*($G$7-$E$7)*($G$7-$F$7))))</f>
        <v>0.991680404796532</v>
      </c>
      <c r="D185" s="51" t="n">
        <f aca="false">1+IF($G$8=$E$8,$F$8,IF(R185&lt;($F$8-$E$8)/($G$8-$E$8),$E$8+SQRT(R185*($G$8-$E$8)*($F$8-$E$8)),$G$8-SQRT((1-R185)*($G$8-$E$8)*($G$8-$F$8))))</f>
        <v>0.996346125727219</v>
      </c>
      <c r="E185" s="51" t="n">
        <f aca="false">1+IF($G$9=$E$9,$F$9,IF(S185&lt;($F$9-$E$9)/($G$9-$E$9),$E$9+SQRT(S185*($G$9-$E$9)*($F$9-$E$9)),$G$9-SQRT((1-S185)*($G$9-$E$9)*($G$9-$F$9))))</f>
        <v>0.954484388688744</v>
      </c>
      <c r="F185" s="51" t="n">
        <f aca="false">1+IF($G$10=$E$10,$F$10,IF(T185&lt;($F$10-$E$10)/($G$10-$E$10),$E$10+SQRT(T185*($G$10-$E$10)*($F$10-$E$10)),$G$10-SQRT((1-T185)*($G$10-$E$10)*($G$10-$F$10))))</f>
        <v>1.10062135533589</v>
      </c>
      <c r="G185" s="52" t="n">
        <f aca="false">IF($G$11=$E$11,$F$11,IF(U185&lt;($F$11-$E$11)/($G$11-$E$11),$E$11+SQRT(U185*($G$11-$E$11)*($F$11-$E$11)),$G$11-SQRT((1-U185)*($G$11-$E$11)*($G$11-$F$11))))</f>
        <v>0.0831400650312622</v>
      </c>
      <c r="H185" s="53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-2201242710.67178</v>
      </c>
      <c r="I185" s="53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26308608.4244785</v>
      </c>
      <c r="J185" s="53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350968149.161243</v>
      </c>
      <c r="K185" s="53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730658757.664801</v>
      </c>
      <c r="L185" s="53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873919349.048494</v>
      </c>
      <c r="M185" s="53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1066643443.6414</v>
      </c>
      <c r="N185" s="53" t="n">
        <f aca="false">IF(COUNT('Business Case'!B11:G11)=0,"",H185+NPV(G185,I185:M185))</f>
        <v>47611664.5005832</v>
      </c>
      <c r="P185" s="54" t="n">
        <f aca="true">RAND()</f>
        <v>0.898553564782788</v>
      </c>
      <c r="Q185" s="54" t="n">
        <f aca="true">RAND()</f>
        <v>0.6302033966094</v>
      </c>
      <c r="R185" s="54" t="n">
        <f aca="true">RAND()</f>
        <v>0.286395115989761</v>
      </c>
      <c r="S185" s="54" t="n">
        <f aca="true">RAND()</f>
        <v>0.118741944431445</v>
      </c>
      <c r="T185" s="54" t="n">
        <f aca="true">RAND()</f>
        <v>0.702480273577522</v>
      </c>
      <c r="U185" s="54" t="n">
        <f aca="true">RAND()</f>
        <v>0.00986000840055571</v>
      </c>
    </row>
    <row r="186" customFormat="false" ht="15" hidden="false" customHeight="false" outlineLevel="0" collapsed="false">
      <c r="A186" s="50" t="n">
        <v>106</v>
      </c>
      <c r="B186" s="51" t="n">
        <f aca="false">1+IF($G$6=$E$6,$F$6,IF(P186&lt;($F$6-$E$6)/($G$6-$E$6),$E$6+SQRT(P186*($G$6-$E$6)*($F$6-$E$6)),$G$6-SQRT((1-P186)*($G$6-$E$6)*($G$6-$F$6))))</f>
        <v>0.934474426904607</v>
      </c>
      <c r="C186" s="51" t="n">
        <f aca="false">1+IF($G$7=$E$7,$F$7,IF(Q186&lt;($F$7-$E$7)/($G$7-$E$7),$E$7+SQRT(Q186*($G$7-$E$7)*($F$7-$E$7)),$G$7-SQRT((1-Q186)*($G$7-$E$7)*($G$7-$F$7))))</f>
        <v>0.999562836084708</v>
      </c>
      <c r="D186" s="51" t="n">
        <f aca="false">1+IF($G$8=$E$8,$F$8,IF(R186&lt;($F$8-$E$8)/($G$8-$E$8),$E$8+SQRT(R186*($G$8-$E$8)*($F$8-$E$8)),$G$8-SQRT((1-R186)*($G$8-$E$8)*($G$8-$F$8))))</f>
        <v>1.0198185927757</v>
      </c>
      <c r="E186" s="51" t="n">
        <f aca="false">1+IF($G$9=$E$9,$F$9,IF(S186&lt;($F$9-$E$9)/($G$9-$E$9),$E$9+SQRT(S186*($G$9-$E$9)*($F$9-$E$9)),$G$9-SQRT((1-S186)*($G$9-$E$9)*($G$9-$F$9))))</f>
        <v>0.980247741860971</v>
      </c>
      <c r="F186" s="51" t="n">
        <f aca="false">1+IF($G$10=$E$10,$F$10,IF(T186&lt;($F$10-$E$10)/($G$10-$E$10),$E$10+SQRT(T186*($G$10-$E$10)*($F$10-$E$10)),$G$10-SQRT((1-T186)*($G$10-$E$10)*($G$10-$F$10))))</f>
        <v>1.08449179800424</v>
      </c>
      <c r="G186" s="52" t="n">
        <f aca="false">IF($G$11=$E$11,$F$11,IF(U186&lt;($F$11-$E$11)/($G$11-$E$11),$E$11+SQRT(U186*($G$11-$E$11)*($F$11-$E$11)),$G$11-SQRT((1-U186)*($G$11-$E$11)*($G$11-$F$11))))</f>
        <v>0.113807856991174</v>
      </c>
      <c r="H186" s="53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-2168983596.00848</v>
      </c>
      <c r="I186" s="53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-53032459.456211</v>
      </c>
      <c r="J186" s="53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190197466.472368</v>
      </c>
      <c r="K186" s="53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487651982.301159</v>
      </c>
      <c r="L186" s="53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601009942.071842</v>
      </c>
      <c r="M186" s="53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778557189.94154</v>
      </c>
      <c r="N186" s="53" t="n">
        <f aca="false">IF(COUNT('Business Case'!B11:G11)=0,"",H186+NPV(G186,I186:M186))</f>
        <v>-865650884.843952</v>
      </c>
      <c r="P186" s="54" t="n">
        <f aca="true">RAND()</f>
        <v>0.0792324073600726</v>
      </c>
      <c r="Q186" s="54" t="n">
        <f aca="true">RAND()</f>
        <v>0.664725131578618</v>
      </c>
      <c r="R186" s="54" t="n">
        <f aca="true">RAND()</f>
        <v>0.571396129035441</v>
      </c>
      <c r="S186" s="54" t="n">
        <f aca="true">RAND()</f>
        <v>0.2575880029514</v>
      </c>
      <c r="T186" s="54" t="n">
        <f aca="true">RAND()</f>
        <v>0.634760467628401</v>
      </c>
      <c r="U186" s="54" t="n">
        <f aca="true">RAND()</f>
        <v>0.825209669854481</v>
      </c>
    </row>
    <row r="187" customFormat="false" ht="15" hidden="false" customHeight="false" outlineLevel="0" collapsed="false">
      <c r="A187" s="50" t="n">
        <v>107</v>
      </c>
      <c r="B187" s="51" t="n">
        <f aca="false">1+IF($G$6=$E$6,$F$6,IF(P187&lt;($F$6-$E$6)/($G$6-$E$6),$E$6+SQRT(P187*($G$6-$E$6)*($F$6-$E$6)),$G$6-SQRT((1-P187)*($G$6-$E$6)*($G$6-$F$6))))</f>
        <v>0.930175656822446</v>
      </c>
      <c r="C187" s="51" t="n">
        <f aca="false">1+IF($G$7=$E$7,$F$7,IF(Q187&lt;($F$7-$E$7)/($G$7-$E$7),$E$7+SQRT(Q187*($G$7-$E$7)*($F$7-$E$7)),$G$7-SQRT((1-Q187)*($G$7-$E$7)*($G$7-$F$7))))</f>
        <v>0.913144985759906</v>
      </c>
      <c r="D187" s="51" t="n">
        <f aca="false">1+IF($G$8=$E$8,$F$8,IF(R187&lt;($F$8-$E$8)/($G$8-$E$8),$E$8+SQRT(R187*($G$8-$E$8)*($F$8-$E$8)),$G$8-SQRT((1-R187)*($G$8-$E$8)*($G$8-$F$8))))</f>
        <v>1.01538260561718</v>
      </c>
      <c r="E187" s="51" t="n">
        <f aca="false">1+IF($G$9=$E$9,$F$9,IF(S187&lt;($F$9-$E$9)/($G$9-$E$9),$E$9+SQRT(S187*($G$9-$E$9)*($F$9-$E$9)),$G$9-SQRT((1-S187)*($G$9-$E$9)*($G$9-$F$9))))</f>
        <v>1.05475682162088</v>
      </c>
      <c r="F187" s="51" t="n">
        <f aca="false">1+IF($G$10=$E$10,$F$10,IF(T187&lt;($F$10-$E$10)/($G$10-$E$10),$E$10+SQRT(T187*($G$10-$E$10)*($F$10-$E$10)),$G$10-SQRT((1-T187)*($G$10-$E$10)*($G$10-$F$10))))</f>
        <v>1.10831451893289</v>
      </c>
      <c r="G187" s="52" t="n">
        <f aca="false">IF($G$11=$E$11,$F$11,IF(U187&lt;($F$11-$E$11)/($G$11-$E$11),$E$11+SQRT(U187*($G$11-$E$11)*($F$11-$E$11)),$G$11-SQRT((1-U187)*($G$11-$E$11)*($G$11-$F$11))))</f>
        <v>0.0980414187903399</v>
      </c>
      <c r="H187" s="53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-2216629037.86578</v>
      </c>
      <c r="I187" s="53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-83790228.4180986</v>
      </c>
      <c r="J187" s="53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137269545.77265</v>
      </c>
      <c r="K187" s="53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413745045.910043</v>
      </c>
      <c r="L187" s="53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516786391.094338</v>
      </c>
      <c r="M187" s="53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678237536.924926</v>
      </c>
      <c r="N187" s="53" t="n">
        <f aca="false">IF(COUNT('Business Case'!B11:G11)=0,"",H187+NPV(G187,I187:M187))</f>
        <v>-1086169070.95831</v>
      </c>
      <c r="P187" s="54" t="n">
        <f aca="true">RAND()</f>
        <v>0.0607046843110692</v>
      </c>
      <c r="Q187" s="54" t="n">
        <f aca="true">RAND()</f>
        <v>0.336524332996965</v>
      </c>
      <c r="R187" s="54" t="n">
        <f aca="true">RAND()</f>
        <v>0.522659771190792</v>
      </c>
      <c r="S187" s="54" t="n">
        <f aca="true">RAND()</f>
        <v>0.758099652593131</v>
      </c>
      <c r="T187" s="54" t="n">
        <f aca="true">RAND()</f>
        <v>0.732336326063764</v>
      </c>
      <c r="U187" s="54" t="n">
        <f aca="true">RAND()</f>
        <v>0.32549279196843</v>
      </c>
    </row>
    <row r="188" customFormat="false" ht="15" hidden="false" customHeight="false" outlineLevel="0" collapsed="false">
      <c r="A188" s="50" t="n">
        <v>108</v>
      </c>
      <c r="B188" s="51" t="n">
        <f aca="false">1+IF($G$6=$E$6,$F$6,IF(P188&lt;($F$6-$E$6)/($G$6-$E$6),$E$6+SQRT(P188*($G$6-$E$6)*($F$6-$E$6)),$G$6-SQRT((1-P188)*($G$6-$E$6)*($G$6-$F$6))))</f>
        <v>0.988660749332679</v>
      </c>
      <c r="C188" s="51" t="n">
        <f aca="false">1+IF($G$7=$E$7,$F$7,IF(Q188&lt;($F$7-$E$7)/($G$7-$E$7),$E$7+SQRT(Q188*($G$7-$E$7)*($F$7-$E$7)),$G$7-SQRT((1-Q188)*($G$7-$E$7)*($G$7-$F$7))))</f>
        <v>0.909244547873607</v>
      </c>
      <c r="D188" s="51" t="n">
        <f aca="false">1+IF($G$8=$E$8,$F$8,IF(R188&lt;($F$8-$E$8)/($G$8-$E$8),$E$8+SQRT(R188*($G$8-$E$8)*($F$8-$E$8)),$G$8-SQRT((1-R188)*($G$8-$E$8)*($G$8-$F$8))))</f>
        <v>1.04247280393439</v>
      </c>
      <c r="E188" s="51" t="n">
        <f aca="false">1+IF($G$9=$E$9,$F$9,IF(S188&lt;($F$9-$E$9)/($G$9-$E$9),$E$9+SQRT(S188*($G$9-$E$9)*($F$9-$E$9)),$G$9-SQRT((1-S188)*($G$9-$E$9)*($G$9-$F$9))))</f>
        <v>1.05967058714255</v>
      </c>
      <c r="F188" s="51" t="n">
        <f aca="false">1+IF($G$10=$E$10,$F$10,IF(T188&lt;($F$10-$E$10)/($G$10-$E$10),$E$10+SQRT(T188*($G$10-$E$10)*($F$10-$E$10)),$G$10-SQRT((1-T188)*($G$10-$E$10)*($G$10-$F$10))))</f>
        <v>1.02763455168428</v>
      </c>
      <c r="G188" s="52" t="n">
        <f aca="false">IF($G$11=$E$11,$F$11,IF(U188&lt;($F$11-$E$11)/($G$11-$E$11),$E$11+SQRT(U188*($G$11-$E$11)*($F$11-$E$11)),$G$11-SQRT((1-U188)*($G$11-$E$11)*($G$11-$F$11))))</f>
        <v>0.111049223103457</v>
      </c>
      <c r="H188" s="53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-2055269103.36856</v>
      </c>
      <c r="I188" s="53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-48987258.311496</v>
      </c>
      <c r="J188" s="53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202074855.127166</v>
      </c>
      <c r="K188" s="53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504518696.150041</v>
      </c>
      <c r="L188" s="53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619273240.022968</v>
      </c>
      <c r="M188" s="53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790142690.019851</v>
      </c>
      <c r="N188" s="53" t="n">
        <f aca="false">IF(COUNT('Business Case'!B11:G11)=0,"",H188+NPV(G188,I188:M188))</f>
        <v>-694708603.971454</v>
      </c>
      <c r="P188" s="54" t="n">
        <f aca="true">RAND()</f>
        <v>0.524048564815477</v>
      </c>
      <c r="Q188" s="54" t="n">
        <f aca="true">RAND()</f>
        <v>0.324320598628373</v>
      </c>
      <c r="R188" s="54" t="n">
        <f aca="true">RAND()</f>
        <v>0.779374780855254</v>
      </c>
      <c r="S188" s="54" t="n">
        <f aca="true">RAND()</f>
        <v>0.782415924608749</v>
      </c>
      <c r="T188" s="54" t="n">
        <f aca="true">RAND()</f>
        <v>0.340714765271324</v>
      </c>
      <c r="U188" s="54" t="n">
        <f aca="true">RAND()</f>
        <v>0.760578703344964</v>
      </c>
    </row>
    <row r="189" customFormat="false" ht="15" hidden="false" customHeight="false" outlineLevel="0" collapsed="false">
      <c r="A189" s="50" t="n">
        <v>109</v>
      </c>
      <c r="B189" s="51" t="n">
        <f aca="false">1+IF($G$6=$E$6,$F$6,IF(P189&lt;($F$6-$E$6)/($G$6-$E$6),$E$6+SQRT(P189*($G$6-$E$6)*($F$6-$E$6)),$G$6-SQRT((1-P189)*($G$6-$E$6)*($G$6-$F$6))))</f>
        <v>0.984046640428763</v>
      </c>
      <c r="C189" s="51" t="n">
        <f aca="false">1+IF($G$7=$E$7,$F$7,IF(Q189&lt;($F$7-$E$7)/($G$7-$E$7),$E$7+SQRT(Q189*($G$7-$E$7)*($F$7-$E$7)),$G$7-SQRT((1-Q189)*($G$7-$E$7)*($G$7-$F$7))))</f>
        <v>0.827910762406022</v>
      </c>
      <c r="D189" s="51" t="n">
        <f aca="false">1+IF($G$8=$E$8,$F$8,IF(R189&lt;($F$8-$E$8)/($G$8-$E$8),$E$8+SQRT(R189*($G$8-$E$8)*($F$8-$E$8)),$G$8-SQRT((1-R189)*($G$8-$E$8)*($G$8-$F$8))))</f>
        <v>0.962111677416371</v>
      </c>
      <c r="E189" s="51" t="n">
        <f aca="false">1+IF($G$9=$E$9,$F$9,IF(S189&lt;($F$9-$E$9)/($G$9-$E$9),$E$9+SQRT(S189*($G$9-$E$9)*($F$9-$E$9)),$G$9-SQRT((1-S189)*($G$9-$E$9)*($G$9-$F$9))))</f>
        <v>0.998414630204864</v>
      </c>
      <c r="F189" s="51" t="n">
        <f aca="false">1+IF($G$10=$E$10,$F$10,IF(T189&lt;($F$10-$E$10)/($G$10-$E$10),$E$10+SQRT(T189*($G$10-$E$10)*($F$10-$E$10)),$G$10-SQRT((1-T189)*($G$10-$E$10)*($G$10-$F$10))))</f>
        <v>1.08712614424887</v>
      </c>
      <c r="G189" s="52" t="n">
        <f aca="false">IF($G$11=$E$11,$F$11,IF(U189&lt;($F$11-$E$11)/($G$11-$E$11),$E$11+SQRT(U189*($G$11-$E$11)*($F$11-$E$11)),$G$11-SQRT((1-U189)*($G$11-$E$11)*($G$11-$F$11))))</f>
        <v>0.101677660450124</v>
      </c>
      <c r="H189" s="53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-2174252288.49774</v>
      </c>
      <c r="I189" s="53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-33387206.9998288</v>
      </c>
      <c r="J189" s="53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226146954.216334</v>
      </c>
      <c r="K189" s="53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540037422.644939</v>
      </c>
      <c r="L189" s="53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654704938.634309</v>
      </c>
      <c r="M189" s="53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809563647.679542</v>
      </c>
      <c r="N189" s="53" t="n">
        <f aca="false">IF(COUNT('Business Case'!B11:G11)=0,"",H189+NPV(G189,I189:M189))</f>
        <v>-671027047.775455</v>
      </c>
      <c r="P189" s="54" t="n">
        <f aca="true">RAND()</f>
        <v>0.470922517824121</v>
      </c>
      <c r="Q189" s="54" t="n">
        <f aca="true">RAND()</f>
        <v>0.121193801031776</v>
      </c>
      <c r="R189" s="54" t="n">
        <f aca="true">RAND()</f>
        <v>0.0195590306450966</v>
      </c>
      <c r="S189" s="54" t="n">
        <f aca="true">RAND()</f>
        <v>0.387417577534402</v>
      </c>
      <c r="T189" s="54" t="n">
        <f aca="true">RAND()</f>
        <v>0.646294761503466</v>
      </c>
      <c r="U189" s="54" t="n">
        <f aca="true">RAND()</f>
        <v>0.465230054947685</v>
      </c>
    </row>
    <row r="190" customFormat="false" ht="15" hidden="false" customHeight="false" outlineLevel="0" collapsed="false">
      <c r="A190" s="50" t="n">
        <v>110</v>
      </c>
      <c r="B190" s="51" t="n">
        <f aca="false">1+IF($G$6=$E$6,$F$6,IF(P190&lt;($F$6-$E$6)/($G$6-$E$6),$E$6+SQRT(P190*($G$6-$E$6)*($F$6-$E$6)),$G$6-SQRT((1-P190)*($G$6-$E$6)*($G$6-$F$6))))</f>
        <v>0.981180822502831</v>
      </c>
      <c r="C190" s="51" t="n">
        <f aca="false">1+IF($G$7=$E$7,$F$7,IF(Q190&lt;($F$7-$E$7)/($G$7-$E$7),$E$7+SQRT(Q190*($G$7-$E$7)*($F$7-$E$7)),$G$7-SQRT((1-Q190)*($G$7-$E$7)*($G$7-$F$7))))</f>
        <v>1.01441390215875</v>
      </c>
      <c r="D190" s="51" t="n">
        <f aca="false">1+IF($G$8=$E$8,$F$8,IF(R190&lt;($F$8-$E$8)/($G$8-$E$8),$E$8+SQRT(R190*($G$8-$E$8)*($F$8-$E$8)),$G$8-SQRT((1-R190)*($G$8-$E$8)*($G$8-$F$8))))</f>
        <v>0.98845829865919</v>
      </c>
      <c r="E190" s="51" t="n">
        <f aca="false">1+IF($G$9=$E$9,$F$9,IF(S190&lt;($F$9-$E$9)/($G$9-$E$9),$E$9+SQRT(S190*($G$9-$E$9)*($F$9-$E$9)),$G$9-SQRT((1-S190)*($G$9-$E$9)*($G$9-$F$9))))</f>
        <v>1.10713428928444</v>
      </c>
      <c r="F190" s="51" t="n">
        <f aca="false">1+IF($G$10=$E$10,$F$10,IF(T190&lt;($F$10-$E$10)/($G$10-$E$10),$E$10+SQRT(T190*($G$10-$E$10)*($F$10-$E$10)),$G$10-SQRT((1-T190)*($G$10-$E$10)*($G$10-$F$10))))</f>
        <v>1.10834644977785</v>
      </c>
      <c r="G190" s="52" t="n">
        <f aca="false">IF($G$11=$E$11,$F$11,IF(U190&lt;($F$11-$E$11)/($G$11-$E$11),$E$11+SQRT(U190*($G$11-$E$11)*($F$11-$E$11)),$G$11-SQRT((1-U190)*($G$11-$E$11)*($G$11-$F$11))))</f>
        <v>0.113112023727652</v>
      </c>
      <c r="H190" s="53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-2216692899.55571</v>
      </c>
      <c r="I190" s="53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-17930300.3171759</v>
      </c>
      <c r="J190" s="53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284006108.802658</v>
      </c>
      <c r="K190" s="53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641359840.411385</v>
      </c>
      <c r="L190" s="53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776403689.133315</v>
      </c>
      <c r="M190" s="53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965594773.717566</v>
      </c>
      <c r="N190" s="53" t="n">
        <f aca="false">IF(COUNT('Business Case'!B11:G11)=0,"",H190+NPV(G190,I190:M190))</f>
        <v>-467734708.237281</v>
      </c>
      <c r="P190" s="54" t="n">
        <f aca="true">RAND()</f>
        <v>0.439355062815745</v>
      </c>
      <c r="Q190" s="54" t="n">
        <f aca="true">RAND()</f>
        <v>0.727650519587882</v>
      </c>
      <c r="R190" s="54" t="n">
        <f aca="true">RAND()</f>
        <v>0.19720543143459</v>
      </c>
      <c r="S190" s="54" t="n">
        <f aca="true">RAND()</f>
        <v>0.951000822529321</v>
      </c>
      <c r="T190" s="54" t="n">
        <f aca="true">RAND()</f>
        <v>0.732456956126157</v>
      </c>
      <c r="U190" s="54" t="n">
        <f aca="true">RAND()</f>
        <v>0.809864171616402</v>
      </c>
    </row>
    <row r="191" customFormat="false" ht="15" hidden="false" customHeight="false" outlineLevel="0" collapsed="false">
      <c r="A191" s="50" t="n">
        <v>111</v>
      </c>
      <c r="B191" s="51" t="n">
        <f aca="false">1+IF($G$6=$E$6,$F$6,IF(P191&lt;($F$6-$E$6)/($G$6-$E$6),$E$6+SQRT(P191*($G$6-$E$6)*($F$6-$E$6)),$G$6-SQRT((1-P191)*($G$6-$E$6)*($G$6-$F$6))))</f>
        <v>0.972926607788812</v>
      </c>
      <c r="C191" s="51" t="n">
        <f aca="false">1+IF($G$7=$E$7,$F$7,IF(Q191&lt;($F$7-$E$7)/($G$7-$E$7),$E$7+SQRT(Q191*($G$7-$E$7)*($F$7-$E$7)),$G$7-SQRT((1-Q191)*($G$7-$E$7)*($G$7-$F$7))))</f>
        <v>1.01166983962615</v>
      </c>
      <c r="D191" s="51" t="n">
        <f aca="false">1+IF($G$8=$E$8,$F$8,IF(R191&lt;($F$8-$E$8)/($G$8-$E$8),$E$8+SQRT(R191*($G$8-$E$8)*($F$8-$E$8)),$G$8-SQRT((1-R191)*($G$8-$E$8)*($G$8-$F$8))))</f>
        <v>1.00245835447204</v>
      </c>
      <c r="E191" s="51" t="n">
        <f aca="false">1+IF($G$9=$E$9,$F$9,IF(S191&lt;($F$9-$E$9)/($G$9-$E$9),$E$9+SQRT(S191*($G$9-$E$9)*($F$9-$E$9)),$G$9-SQRT((1-S191)*($G$9-$E$9)*($G$9-$F$9))))</f>
        <v>0.992841616647825</v>
      </c>
      <c r="F191" s="51" t="n">
        <f aca="false">1+IF($G$10=$E$10,$F$10,IF(T191&lt;($F$10-$E$10)/($G$10-$E$10),$E$10+SQRT(T191*($G$10-$E$10)*($F$10-$E$10)),$G$10-SQRT((1-T191)*($G$10-$E$10)*($G$10-$F$10))))</f>
        <v>1.09953841187307</v>
      </c>
      <c r="G191" s="52" t="n">
        <f aca="false">IF($G$11=$E$11,$F$11,IF(U191&lt;($F$11-$E$11)/($G$11-$E$11),$E$11+SQRT(U191*($G$11-$E$11)*($F$11-$E$11)),$G$11-SQRT((1-U191)*($G$11-$E$11)*($G$11-$F$11))))</f>
        <v>0.119151036385106</v>
      </c>
      <c r="H191" s="53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-2199076823.74615</v>
      </c>
      <c r="I191" s="53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-15131609.8476356</v>
      </c>
      <c r="J191" s="53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271897800.772539</v>
      </c>
      <c r="K191" s="53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613904131.986367</v>
      </c>
      <c r="L191" s="53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743597336.455214</v>
      </c>
      <c r="M191" s="53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930689374.896882</v>
      </c>
      <c r="N191" s="53" t="n">
        <f aca="false">IF(COUNT('Business Case'!B11:G11)=0,"",H191+NPV(G191,I191:M191))</f>
        <v>-553443881.765013</v>
      </c>
      <c r="P191" s="54" t="n">
        <f aca="true">RAND()</f>
        <v>0.354552674905545</v>
      </c>
      <c r="Q191" s="54" t="n">
        <f aca="true">RAND()</f>
        <v>0.716515062680645</v>
      </c>
      <c r="R191" s="54" t="n">
        <f aca="true">RAND()</f>
        <v>0.365708492513243</v>
      </c>
      <c r="S191" s="54" t="n">
        <f aca="true">RAND()</f>
        <v>0.344782631271265</v>
      </c>
      <c r="T191" s="54" t="n">
        <f aca="true">RAND()</f>
        <v>0.698150806644314</v>
      </c>
      <c r="U191" s="54" t="n">
        <f aca="true">RAND()</f>
        <v>0.921533325655142</v>
      </c>
    </row>
    <row r="192" customFormat="false" ht="15" hidden="false" customHeight="false" outlineLevel="0" collapsed="false">
      <c r="A192" s="50" t="n">
        <v>112</v>
      </c>
      <c r="B192" s="51" t="n">
        <f aca="false">1+IF($G$6=$E$6,$F$6,IF(P192&lt;($F$6-$E$6)/($G$6-$E$6),$E$6+SQRT(P192*($G$6-$E$6)*($F$6-$E$6)),$G$6-SQRT((1-P192)*($G$6-$E$6)*($G$6-$F$6))))</f>
        <v>0.984384261282548</v>
      </c>
      <c r="C192" s="51" t="n">
        <f aca="false">1+IF($G$7=$E$7,$F$7,IF(Q192&lt;($F$7-$E$7)/($G$7-$E$7),$E$7+SQRT(Q192*($G$7-$E$7)*($F$7-$E$7)),$G$7-SQRT((1-Q192)*($G$7-$E$7)*($G$7-$F$7))))</f>
        <v>1.02157502759421</v>
      </c>
      <c r="D192" s="51" t="n">
        <f aca="false">1+IF($G$8=$E$8,$F$8,IF(R192&lt;($F$8-$E$8)/($G$8-$E$8),$E$8+SQRT(R192*($G$8-$E$8)*($F$8-$E$8)),$G$8-SQRT((1-R192)*($G$8-$E$8)*($G$8-$F$8))))</f>
        <v>1.02053944496314</v>
      </c>
      <c r="E192" s="51" t="n">
        <f aca="false">1+IF($G$9=$E$9,$F$9,IF(S192&lt;($F$9-$E$9)/($G$9-$E$9),$E$9+SQRT(S192*($G$9-$E$9)*($F$9-$E$9)),$G$9-SQRT((1-S192)*($G$9-$E$9)*($G$9-$F$9))))</f>
        <v>0.939583333029795</v>
      </c>
      <c r="F192" s="51" t="n">
        <f aca="false">1+IF($G$10=$E$10,$F$10,IF(T192&lt;($F$10-$E$10)/($G$10-$E$10),$E$10+SQRT(T192*($G$10-$E$10)*($F$10-$E$10)),$G$10-SQRT((1-T192)*($G$10-$E$10)*($G$10-$F$10))))</f>
        <v>1.02261162847037</v>
      </c>
      <c r="G192" s="52" t="n">
        <f aca="false">IF($G$11=$E$11,$F$11,IF(U192&lt;($F$11-$E$11)/($G$11-$E$11),$E$11+SQRT(U192*($G$11-$E$11)*($F$11-$E$11)),$G$11-SQRT((1-U192)*($G$11-$E$11)*($G$11-$F$11))))</f>
        <v>0.0917742228245559</v>
      </c>
      <c r="H192" s="53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-2045223256.94074</v>
      </c>
      <c r="I192" s="53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1969663.63584721</v>
      </c>
      <c r="J192" s="53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291940704.196864</v>
      </c>
      <c r="K192" s="53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633042326.1814</v>
      </c>
      <c r="L192" s="53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764453649.115937</v>
      </c>
      <c r="M192" s="53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955602350.894023</v>
      </c>
      <c r="N192" s="53" t="n">
        <f aca="false">IF(COUNT('Business Case'!B11:G11)=0,"",H192+NPV(G192,I192:M192))</f>
        <v>-157958598.966125</v>
      </c>
      <c r="P192" s="54" t="n">
        <f aca="true">RAND()</f>
        <v>0.47471357014675</v>
      </c>
      <c r="Q192" s="54" t="n">
        <f aca="true">RAND()</f>
        <v>0.755659651297376</v>
      </c>
      <c r="R192" s="54" t="n">
        <f aca="true">RAND()</f>
        <v>0.579068012882318</v>
      </c>
      <c r="S192" s="54" t="n">
        <f aca="true">RAND()</f>
        <v>0.0626736101499046</v>
      </c>
      <c r="T192" s="54" t="n">
        <f aca="true">RAND()</f>
        <v>0.310593713241373</v>
      </c>
      <c r="U192" s="54" t="n">
        <f aca="true">RAND()</f>
        <v>0.138632323122294</v>
      </c>
    </row>
    <row r="193" customFormat="false" ht="15" hidden="false" customHeight="false" outlineLevel="0" collapsed="false">
      <c r="A193" s="50" t="n">
        <v>113</v>
      </c>
      <c r="B193" s="51" t="n">
        <f aca="false">1+IF($G$6=$E$6,$F$6,IF(P193&lt;($F$6-$E$6)/($G$6-$E$6),$E$6+SQRT(P193*($G$6-$E$6)*($F$6-$E$6)),$G$6-SQRT((1-P193)*($G$6-$E$6)*($G$6-$F$6))))</f>
        <v>0.940392704047942</v>
      </c>
      <c r="C193" s="51" t="n">
        <f aca="false">1+IF($G$7=$E$7,$F$7,IF(Q193&lt;($F$7-$E$7)/($G$7-$E$7),$E$7+SQRT(Q193*($G$7-$E$7)*($F$7-$E$7)),$G$7-SQRT((1-Q193)*($G$7-$E$7)*($G$7-$F$7))))</f>
        <v>0.980175902840624</v>
      </c>
      <c r="D193" s="51" t="n">
        <f aca="false">1+IF($G$8=$E$8,$F$8,IF(R193&lt;($F$8-$E$8)/($G$8-$E$8),$E$8+SQRT(R193*($G$8-$E$8)*($F$8-$E$8)),$G$8-SQRT((1-R193)*($G$8-$E$8)*($G$8-$F$8))))</f>
        <v>1.08368514050534</v>
      </c>
      <c r="E193" s="51" t="n">
        <f aca="false">1+IF($G$9=$E$9,$F$9,IF(S193&lt;($F$9-$E$9)/($G$9-$E$9),$E$9+SQRT(S193*($G$9-$E$9)*($F$9-$E$9)),$G$9-SQRT((1-S193)*($G$9-$E$9)*($G$9-$F$9))))</f>
        <v>1.1068885268969</v>
      </c>
      <c r="F193" s="51" t="n">
        <f aca="false">1+IF($G$10=$E$10,$F$10,IF(T193&lt;($F$10-$E$10)/($G$10-$E$10),$E$10+SQRT(T193*($G$10-$E$10)*($F$10-$E$10)),$G$10-SQRT((1-T193)*($G$10-$E$10)*($G$10-$F$10))))</f>
        <v>1.05542999806291</v>
      </c>
      <c r="G193" s="52" t="n">
        <f aca="false">IF($G$11=$E$11,$F$11,IF(U193&lt;($F$11-$E$11)/($G$11-$E$11),$E$11+SQRT(U193*($G$11-$E$11)*($F$11-$E$11)),$G$11-SQRT((1-U193)*($G$11-$E$11)*($G$11-$F$11))))</f>
        <v>0.121405030945621</v>
      </c>
      <c r="H193" s="53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-2110859996.12582</v>
      </c>
      <c r="I193" s="53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-99508725.9934638</v>
      </c>
      <c r="J193" s="53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111708630.222444</v>
      </c>
      <c r="K193" s="53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375697486.341497</v>
      </c>
      <c r="L193" s="53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477958960.999028</v>
      </c>
      <c r="M193" s="53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653165251.886281</v>
      </c>
      <c r="N193" s="53" t="n">
        <f aca="false">IF(COUNT('Business Case'!B11:G11)=0,"",H193+NPV(G193,I193:M193))</f>
        <v>-1173815548.05559</v>
      </c>
      <c r="P193" s="54" t="n">
        <f aca="true">RAND()</f>
        <v>0.108771369353641</v>
      </c>
      <c r="Q193" s="54" t="n">
        <f aca="true">RAND()</f>
        <v>0.581470640981916</v>
      </c>
      <c r="R193" s="54" t="n">
        <f aca="true">RAND()</f>
        <v>0.982255023977965</v>
      </c>
      <c r="S193" s="54" t="n">
        <f aca="true">RAND()</f>
        <v>0.950437356983478</v>
      </c>
      <c r="T193" s="54" t="n">
        <f aca="true">RAND()</f>
        <v>0.49523352461601</v>
      </c>
      <c r="U193" s="54" t="n">
        <f aca="true">RAND()</f>
        <v>0.95075100463618</v>
      </c>
    </row>
    <row r="194" customFormat="false" ht="15" hidden="false" customHeight="false" outlineLevel="0" collapsed="false">
      <c r="A194" s="50" t="n">
        <v>114</v>
      </c>
      <c r="B194" s="51" t="n">
        <f aca="false">1+IF($G$6=$E$6,$F$6,IF(P194&lt;($F$6-$E$6)/($G$6-$E$6),$E$6+SQRT(P194*($G$6-$E$6)*($F$6-$E$6)),$G$6-SQRT((1-P194)*($G$6-$E$6)*($G$6-$F$6))))</f>
        <v>0.920086540518468</v>
      </c>
      <c r="C194" s="51" t="n">
        <f aca="false">1+IF($G$7=$E$7,$F$7,IF(Q194&lt;($F$7-$E$7)/($G$7-$E$7),$E$7+SQRT(Q194*($G$7-$E$7)*($F$7-$E$7)),$G$7-SQRT((1-Q194)*($G$7-$E$7)*($G$7-$F$7))))</f>
        <v>0.927894927357077</v>
      </c>
      <c r="D194" s="51" t="n">
        <f aca="false">1+IF($G$8=$E$8,$F$8,IF(R194&lt;($F$8-$E$8)/($G$8-$E$8),$E$8+SQRT(R194*($G$8-$E$8)*($F$8-$E$8)),$G$8-SQRT((1-R194)*($G$8-$E$8)*($G$8-$F$8))))</f>
        <v>1.04718249661725</v>
      </c>
      <c r="E194" s="51" t="n">
        <f aca="false">1+IF($G$9=$E$9,$F$9,IF(S194&lt;($F$9-$E$9)/($G$9-$E$9),$E$9+SQRT(S194*($G$9-$E$9)*($F$9-$E$9)),$G$9-SQRT((1-S194)*($G$9-$E$9)*($G$9-$F$9))))</f>
        <v>1.00264800422636</v>
      </c>
      <c r="F194" s="51" t="n">
        <f aca="false">1+IF($G$10=$E$10,$F$10,IF(T194&lt;($F$10-$E$10)/($G$10-$E$10),$E$10+SQRT(T194*($G$10-$E$10)*($F$10-$E$10)),$G$10-SQRT((1-T194)*($G$10-$E$10)*($G$10-$F$10))))</f>
        <v>1.09940595953639</v>
      </c>
      <c r="G194" s="52" t="n">
        <f aca="false">IF($G$11=$E$11,$F$11,IF(U194&lt;($F$11-$E$11)/($G$11-$E$11),$E$11+SQRT(U194*($G$11-$E$11)*($F$11-$E$11)),$G$11-SQRT((1-U194)*($G$11-$E$11)*($G$11-$F$11))))</f>
        <v>0.0982641484106491</v>
      </c>
      <c r="H194" s="53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-2198811919.07277</v>
      </c>
      <c r="I194" s="53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-94917739.809198</v>
      </c>
      <c r="J194" s="53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106939732.506027</v>
      </c>
      <c r="K194" s="53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363767502.798071</v>
      </c>
      <c r="L194" s="53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460558706.883009</v>
      </c>
      <c r="M194" s="53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622838296.772259</v>
      </c>
      <c r="N194" s="53" t="n">
        <f aca="false">IF(COUNT('Business Case'!B11:G11)=0,"",H194+NPV(G194,I194:M194))</f>
        <v>-1215614992.76393</v>
      </c>
      <c r="P194" s="54" t="n">
        <f aca="true">RAND()</f>
        <v>0.0268979406666707</v>
      </c>
      <c r="Q194" s="54" t="n">
        <f aca="true">RAND()</f>
        <v>0.384711836408054</v>
      </c>
      <c r="R194" s="54" t="n">
        <f aca="true">RAND()</f>
        <v>0.814020755760883</v>
      </c>
      <c r="S194" s="54" t="n">
        <f aca="true">RAND()</f>
        <v>0.420997049107361</v>
      </c>
      <c r="T194" s="54" t="n">
        <f aca="true">RAND()</f>
        <v>0.697619133024577</v>
      </c>
      <c r="U194" s="54" t="n">
        <f aca="true">RAND()</f>
        <v>0.333579117166215</v>
      </c>
    </row>
    <row r="195" customFormat="false" ht="15" hidden="false" customHeight="false" outlineLevel="0" collapsed="false">
      <c r="A195" s="50" t="n">
        <v>115</v>
      </c>
      <c r="B195" s="51" t="n">
        <f aca="false">1+IF($G$6=$E$6,$F$6,IF(P195&lt;($F$6-$E$6)/($G$6-$E$6),$E$6+SQRT(P195*($G$6-$E$6)*($F$6-$E$6)),$G$6-SQRT((1-P195)*($G$6-$E$6)*($G$6-$F$6))))</f>
        <v>1.01876518076823</v>
      </c>
      <c r="C195" s="51" t="n">
        <f aca="false">1+IF($G$7=$E$7,$F$7,IF(Q195&lt;($F$7-$E$7)/($G$7-$E$7),$E$7+SQRT(Q195*($G$7-$E$7)*($F$7-$E$7)),$G$7-SQRT((1-Q195)*($G$7-$E$7)*($G$7-$F$7))))</f>
        <v>0.948719458693324</v>
      </c>
      <c r="D195" s="51" t="n">
        <f aca="false">1+IF($G$8=$E$8,$F$8,IF(R195&lt;($F$8-$E$8)/($G$8-$E$8),$E$8+SQRT(R195*($G$8-$E$8)*($F$8-$E$8)),$G$8-SQRT((1-R195)*($G$8-$E$8)*($G$8-$F$8))))</f>
        <v>0.983983057716924</v>
      </c>
      <c r="E195" s="51" t="n">
        <f aca="false">1+IF($G$9=$E$9,$F$9,IF(S195&lt;($F$9-$E$9)/($G$9-$E$9),$E$9+SQRT(S195*($G$9-$E$9)*($F$9-$E$9)),$G$9-SQRT((1-S195)*($G$9-$E$9)*($G$9-$F$9))))</f>
        <v>0.930938992666563</v>
      </c>
      <c r="F195" s="51" t="n">
        <f aca="false">1+IF($G$10=$E$10,$F$10,IF(T195&lt;($F$10-$E$10)/($G$10-$E$10),$E$10+SQRT(T195*($G$10-$E$10)*($F$10-$E$10)),$G$10-SQRT((1-T195)*($G$10-$E$10)*($G$10-$F$10))))</f>
        <v>1.00119533639246</v>
      </c>
      <c r="G195" s="52" t="n">
        <f aca="false">IF($G$11=$E$11,$F$11,IF(U195&lt;($F$11-$E$11)/($G$11-$E$11),$E$11+SQRT(U195*($G$11-$E$11)*($F$11-$E$11)),$G$11-SQRT((1-U195)*($G$11-$E$11)*($G$11-$F$11))))</f>
        <v>0.108683514915479</v>
      </c>
      <c r="H195" s="53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-2002390672.78491</v>
      </c>
      <c r="I195" s="53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31158276.3617162</v>
      </c>
      <c r="J195" s="53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344920129.7871</v>
      </c>
      <c r="K195" s="53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708741750.032107</v>
      </c>
      <c r="L195" s="53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846732046.95206</v>
      </c>
      <c r="M195" s="53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1030448615.39859</v>
      </c>
      <c r="N195" s="53" t="n">
        <f aca="false">IF(COUNT('Business Case'!B11:G11)=0,"",H195+NPV(G195,I195:M195))</f>
        <v>1980465.51867175</v>
      </c>
      <c r="P195" s="54" t="n">
        <f aca="true">RAND()</f>
        <v>0.869918142341175</v>
      </c>
      <c r="Q195" s="54" t="n">
        <f aca="true">RAND()</f>
        <v>0.458232363945925</v>
      </c>
      <c r="R195" s="54" t="n">
        <f aca="true">RAND()</f>
        <v>0.153979761572242</v>
      </c>
      <c r="S195" s="54" t="n">
        <f aca="true">RAND()</f>
        <v>0.0382888506888657</v>
      </c>
      <c r="T195" s="54" t="n">
        <f aca="true">RAND()</f>
        <v>0.17461652489516</v>
      </c>
      <c r="U195" s="54" t="n">
        <f aca="true">RAND()</f>
        <v>0.697071642427597</v>
      </c>
    </row>
    <row r="196" customFormat="false" ht="15" hidden="false" customHeight="false" outlineLevel="0" collapsed="false">
      <c r="A196" s="50" t="n">
        <v>116</v>
      </c>
      <c r="B196" s="51" t="n">
        <f aca="false">1+IF($G$6=$E$6,$F$6,IF(P196&lt;($F$6-$E$6)/($G$6-$E$6),$E$6+SQRT(P196*($G$6-$E$6)*($F$6-$E$6)),$G$6-SQRT((1-P196)*($G$6-$E$6)*($G$6-$F$6))))</f>
        <v>0.962234554983134</v>
      </c>
      <c r="C196" s="51" t="n">
        <f aca="false">1+IF($G$7=$E$7,$F$7,IF(Q196&lt;($F$7-$E$7)/($G$7-$E$7),$E$7+SQRT(Q196*($G$7-$E$7)*($F$7-$E$7)),$G$7-SQRT((1-Q196)*($G$7-$E$7)*($G$7-$F$7))))</f>
        <v>0.914462275419123</v>
      </c>
      <c r="D196" s="51" t="n">
        <f aca="false">1+IF($G$8=$E$8,$F$8,IF(R196&lt;($F$8-$E$8)/($G$8-$E$8),$E$8+SQRT(R196*($G$8-$E$8)*($F$8-$E$8)),$G$8-SQRT((1-R196)*($G$8-$E$8)*($G$8-$F$8))))</f>
        <v>1.03034831183721</v>
      </c>
      <c r="E196" s="51" t="n">
        <f aca="false">1+IF($G$9=$E$9,$F$9,IF(S196&lt;($F$9-$E$9)/($G$9-$E$9),$E$9+SQRT(S196*($G$9-$E$9)*($F$9-$E$9)),$G$9-SQRT((1-S196)*($G$9-$E$9)*($G$9-$F$9))))</f>
        <v>1.065716232737</v>
      </c>
      <c r="F196" s="51" t="n">
        <f aca="false">1+IF($G$10=$E$10,$F$10,IF(T196&lt;($F$10-$E$10)/($G$10-$E$10),$E$10+SQRT(T196*($G$10-$E$10)*($F$10-$E$10)),$G$10-SQRT((1-T196)*($G$10-$E$10)*($G$10-$F$10))))</f>
        <v>1.03006252231697</v>
      </c>
      <c r="G196" s="52" t="n">
        <f aca="false">IF($G$11=$E$11,$F$11,IF(U196&lt;($F$11-$E$11)/($G$11-$E$11),$E$11+SQRT(U196*($G$11-$E$11)*($F$11-$E$11)),$G$11-SQRT((1-U196)*($G$11-$E$11)*($G$11-$F$11))))</f>
        <v>0.0876907183439544</v>
      </c>
      <c r="H196" s="53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-2060125044.63394</v>
      </c>
      <c r="I196" s="53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-61781324.1540576</v>
      </c>
      <c r="J196" s="53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176603878.299795</v>
      </c>
      <c r="K196" s="53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466492206.869495</v>
      </c>
      <c r="L196" s="53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576364225.074786</v>
      </c>
      <c r="M196" s="53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743620787.371826</v>
      </c>
      <c r="N196" s="53" t="n">
        <f aca="false">IF(COUNT('Business Case'!B11:G11)=0,"",H196+NPV(G196,I196:M196))</f>
        <v>-704888527.203746</v>
      </c>
      <c r="P196" s="54" t="n">
        <f aca="true">RAND()</f>
        <v>0.258209322263249</v>
      </c>
      <c r="Q196" s="54" t="n">
        <f aca="true">RAND()</f>
        <v>0.340696796873688</v>
      </c>
      <c r="R196" s="54" t="n">
        <f aca="true">RAND()</f>
        <v>0.676576155738244</v>
      </c>
      <c r="S196" s="54" t="n">
        <f aca="true">RAND()</f>
        <v>0.810566575358852</v>
      </c>
      <c r="T196" s="54" t="n">
        <f aca="true">RAND()</f>
        <v>0.355033412139027</v>
      </c>
      <c r="U196" s="54" t="n">
        <f aca="true">RAND()</f>
        <v>0.0591471486460364</v>
      </c>
    </row>
    <row r="197" customFormat="false" ht="15" hidden="false" customHeight="false" outlineLevel="0" collapsed="false">
      <c r="A197" s="50" t="n">
        <v>117</v>
      </c>
      <c r="B197" s="51" t="n">
        <f aca="false">1+IF($G$6=$E$6,$F$6,IF(P197&lt;($F$6-$E$6)/($G$6-$E$6),$E$6+SQRT(P197*($G$6-$E$6)*($F$6-$E$6)),$G$6-SQRT((1-P197)*($G$6-$E$6)*($G$6-$F$6))))</f>
        <v>0.977009417986522</v>
      </c>
      <c r="C197" s="51" t="n">
        <f aca="false">1+IF($G$7=$E$7,$F$7,IF(Q197&lt;($F$7-$E$7)/($G$7-$E$7),$E$7+SQRT(Q197*($G$7-$E$7)*($F$7-$E$7)),$G$7-SQRT((1-Q197)*($G$7-$E$7)*($G$7-$F$7))))</f>
        <v>1.12162200400727</v>
      </c>
      <c r="D197" s="51" t="n">
        <f aca="false">1+IF($G$8=$E$8,$F$8,IF(R197&lt;($F$8-$E$8)/($G$8-$E$8),$E$8+SQRT(R197*($G$8-$E$8)*($F$8-$E$8)),$G$8-SQRT((1-R197)*($G$8-$E$8)*($G$8-$F$8))))</f>
        <v>0.97817231601985</v>
      </c>
      <c r="E197" s="51" t="n">
        <f aca="false">1+IF($G$9=$E$9,$F$9,IF(S197&lt;($F$9-$E$9)/($G$9-$E$9),$E$9+SQRT(S197*($G$9-$E$9)*($F$9-$E$9)),$G$9-SQRT((1-S197)*($G$9-$E$9)*($G$9-$F$9))))</f>
        <v>1.101349207245</v>
      </c>
      <c r="F197" s="51" t="n">
        <f aca="false">1+IF($G$10=$E$10,$F$10,IF(T197&lt;($F$10-$E$10)/($G$10-$E$10),$E$10+SQRT(T197*($G$10-$E$10)*($F$10-$E$10)),$G$10-SQRT((1-T197)*($G$10-$E$10)*($G$10-$F$10))))</f>
        <v>1.04245251346405</v>
      </c>
      <c r="G197" s="52" t="n">
        <f aca="false">IF($G$11=$E$11,$F$11,IF(U197&lt;($F$11-$E$11)/($G$11-$E$11),$E$11+SQRT(U197*($G$11-$E$11)*($F$11-$E$11)),$G$11-SQRT((1-U197)*($G$11-$E$11)*($G$11-$F$11))))</f>
        <v>0.0975696487365129</v>
      </c>
      <c r="H197" s="53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-2084905026.9281</v>
      </c>
      <c r="I197" s="53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18255069.9765711</v>
      </c>
      <c r="J197" s="53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354175348.517445</v>
      </c>
      <c r="K197" s="53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742218252.731522</v>
      </c>
      <c r="L197" s="53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892063745.543586</v>
      </c>
      <c r="M197" s="53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1100360112.01834</v>
      </c>
      <c r="N197" s="53" t="n">
        <f aca="false">IF(COUNT('Business Case'!B11:G11)=0,"",H197+NPV(G197,I197:M197))</f>
        <v>92625186.4823928</v>
      </c>
      <c r="P197" s="54" t="n">
        <f aca="true">RAND()</f>
        <v>0.395363363908193</v>
      </c>
      <c r="Q197" s="54" t="n">
        <f aca="true">RAND()</f>
        <v>0.988069471754619</v>
      </c>
      <c r="R197" s="54" t="n">
        <f aca="true">RAND()</f>
        <v>0.105823918656304</v>
      </c>
      <c r="S197" s="54" t="n">
        <f aca="true">RAND()</f>
        <v>0.936882676381594</v>
      </c>
      <c r="T197" s="54" t="n">
        <f aca="true">RAND()</f>
        <v>0.425653877768134</v>
      </c>
      <c r="U197" s="54" t="n">
        <f aca="true">RAND()</f>
        <v>0.30869255672445</v>
      </c>
    </row>
    <row r="198" customFormat="false" ht="15" hidden="false" customHeight="false" outlineLevel="0" collapsed="false">
      <c r="A198" s="50" t="n">
        <v>118</v>
      </c>
      <c r="B198" s="51" t="n">
        <f aca="false">1+IF($G$6=$E$6,$F$6,IF(P198&lt;($F$6-$E$6)/($G$6-$E$6),$E$6+SQRT(P198*($G$6-$E$6)*($F$6-$E$6)),$G$6-SQRT((1-P198)*($G$6-$E$6)*($G$6-$F$6))))</f>
        <v>1.00106300375509</v>
      </c>
      <c r="C198" s="51" t="n">
        <f aca="false">1+IF($G$7=$E$7,$F$7,IF(Q198&lt;($F$7-$E$7)/($G$7-$E$7),$E$7+SQRT(Q198*($G$7-$E$7)*($F$7-$E$7)),$G$7-SQRT((1-Q198)*($G$7-$E$7)*($G$7-$F$7))))</f>
        <v>0.764881530455444</v>
      </c>
      <c r="D198" s="51" t="n">
        <f aca="false">1+IF($G$8=$E$8,$F$8,IF(R198&lt;($F$8-$E$8)/($G$8-$E$8),$E$8+SQRT(R198*($G$8-$E$8)*($F$8-$E$8)),$G$8-SQRT((1-R198)*($G$8-$E$8)*($G$8-$F$8))))</f>
        <v>1.04156447127598</v>
      </c>
      <c r="E198" s="51" t="n">
        <f aca="false">1+IF($G$9=$E$9,$F$9,IF(S198&lt;($F$9-$E$9)/($G$9-$E$9),$E$9+SQRT(S198*($G$9-$E$9)*($F$9-$E$9)),$G$9-SQRT((1-S198)*($G$9-$E$9)*($G$9-$F$9))))</f>
        <v>0.969922719066514</v>
      </c>
      <c r="F198" s="51" t="n">
        <f aca="false">1+IF($G$10=$E$10,$F$10,IF(T198&lt;($F$10-$E$10)/($G$10-$E$10),$E$10+SQRT(T198*($G$10-$E$10)*($F$10-$E$10)),$G$10-SQRT((1-T198)*($G$10-$E$10)*($G$10-$F$10))))</f>
        <v>1.09406638187771</v>
      </c>
      <c r="G198" s="52" t="n">
        <f aca="false">IF($G$11=$E$11,$F$11,IF(U198&lt;($F$11-$E$11)/($G$11-$E$11),$E$11+SQRT(U198*($G$11-$E$11)*($F$11-$E$11)),$G$11-SQRT((1-U198)*($G$11-$E$11)*($G$11-$F$11))))</f>
        <v>0.0931553392947744</v>
      </c>
      <c r="H198" s="53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-2188132763.75541</v>
      </c>
      <c r="I198" s="53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-67697308.3316135</v>
      </c>
      <c r="J198" s="53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151628640.363934</v>
      </c>
      <c r="K198" s="53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425657908.153366</v>
      </c>
      <c r="L198" s="53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525228963.177303</v>
      </c>
      <c r="M198" s="53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670772193.200454</v>
      </c>
      <c r="N198" s="53" t="n">
        <f aca="false">IF(COUNT('Business Case'!B11:G11)=0,"",H198+NPV(G198,I198:M198))</f>
        <v>-999817738.429004</v>
      </c>
      <c r="P198" s="54" t="n">
        <f aca="true">RAND()</f>
        <v>0.680689386470143</v>
      </c>
      <c r="Q198" s="54" t="n">
        <f aca="true">RAND()</f>
        <v>0.0311823184758566</v>
      </c>
      <c r="R198" s="54" t="n">
        <f aca="true">RAND()</f>
        <v>0.772352598849642</v>
      </c>
      <c r="S198" s="54" t="n">
        <f aca="true">RAND()</f>
        <v>0.195567465666185</v>
      </c>
      <c r="T198" s="54" t="n">
        <f aca="true">RAND()</f>
        <v>0.675796089857207</v>
      </c>
      <c r="U198" s="54" t="n">
        <f aca="true">RAND()</f>
        <v>0.173062951960636</v>
      </c>
    </row>
    <row r="199" customFormat="false" ht="15" hidden="false" customHeight="false" outlineLevel="0" collapsed="false">
      <c r="A199" s="50" t="n">
        <v>119</v>
      </c>
      <c r="B199" s="51" t="n">
        <f aca="false">1+IF($G$6=$E$6,$F$6,IF(P199&lt;($F$6-$E$6)/($G$6-$E$6),$E$6+SQRT(P199*($G$6-$E$6)*($F$6-$E$6)),$G$6-SQRT((1-P199)*($G$6-$E$6)*($G$6-$F$6))))</f>
        <v>0.991731651756948</v>
      </c>
      <c r="C199" s="51" t="n">
        <f aca="false">1+IF($G$7=$E$7,$F$7,IF(Q199&lt;($F$7-$E$7)/($G$7-$E$7),$E$7+SQRT(Q199*($G$7-$E$7)*($F$7-$E$7)),$G$7-SQRT((1-Q199)*($G$7-$E$7)*($G$7-$F$7))))</f>
        <v>1.0113186314784</v>
      </c>
      <c r="D199" s="51" t="n">
        <f aca="false">1+IF($G$8=$E$8,$F$8,IF(R199&lt;($F$8-$E$8)/($G$8-$E$8),$E$8+SQRT(R199*($G$8-$E$8)*($F$8-$E$8)),$G$8-SQRT((1-R199)*($G$8-$E$8)*($G$8-$F$8))))</f>
        <v>1.0913727403983</v>
      </c>
      <c r="E199" s="51" t="n">
        <f aca="false">1+IF($G$9=$E$9,$F$9,IF(S199&lt;($F$9-$E$9)/($G$9-$E$9),$E$9+SQRT(S199*($G$9-$E$9)*($F$9-$E$9)),$G$9-SQRT((1-S199)*($G$9-$E$9)*($G$9-$F$9))))</f>
        <v>1.02648218615819</v>
      </c>
      <c r="F199" s="51" t="n">
        <f aca="false">1+IF($G$10=$E$10,$F$10,IF(T199&lt;($F$10-$E$10)/($G$10-$E$10),$E$10+SQRT(T199*($G$10-$E$10)*($F$10-$E$10)),$G$10-SQRT((1-T199)*($G$10-$E$10)*($G$10-$F$10))))</f>
        <v>1.02851761297108</v>
      </c>
      <c r="G199" s="52" t="n">
        <f aca="false">IF($G$11=$E$11,$F$11,IF(U199&lt;($F$11-$E$11)/($G$11-$E$11),$E$11+SQRT(U199*($G$11-$E$11)*($F$11-$E$11)),$G$11-SQRT((1-U199)*($G$11-$E$11)*($G$11-$F$11))))</f>
        <v>0.0928943255404574</v>
      </c>
      <c r="H199" s="53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-2057035225.94215</v>
      </c>
      <c r="I199" s="53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-44336257.8465651</v>
      </c>
      <c r="J199" s="53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212138287.640306</v>
      </c>
      <c r="K199" s="53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520038713.775731</v>
      </c>
      <c r="L199" s="53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640192412.38111</v>
      </c>
      <c r="M199" s="53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830834421.318102</v>
      </c>
      <c r="N199" s="53" t="n">
        <f aca="false">IF(COUNT('Business Case'!B11:G11)=0,"",H199+NPV(G199,I199:M199))</f>
        <v>-539995511.100617</v>
      </c>
      <c r="P199" s="54" t="n">
        <f aca="true">RAND()</f>
        <v>0.560979728937198</v>
      </c>
      <c r="Q199" s="54" t="n">
        <f aca="true">RAND()</f>
        <v>0.715073748518171</v>
      </c>
      <c r="R199" s="54" t="n">
        <f aca="true">RAND()</f>
        <v>0.995038026117653</v>
      </c>
      <c r="S199" s="54" t="n">
        <f aca="true">RAND()</f>
        <v>0.593155991033052</v>
      </c>
      <c r="T199" s="54" t="n">
        <f aca="true">RAND()</f>
        <v>0.345940696479602</v>
      </c>
      <c r="U199" s="54" t="n">
        <f aca="true">RAND()</f>
        <v>0.166263631143291</v>
      </c>
    </row>
    <row r="200" customFormat="false" ht="15" hidden="false" customHeight="false" outlineLevel="0" collapsed="false">
      <c r="A200" s="50" t="n">
        <v>120</v>
      </c>
      <c r="B200" s="51" t="n">
        <f aca="false">1+IF($G$6=$E$6,$F$6,IF(P200&lt;($F$6-$E$6)/($G$6-$E$6),$E$6+SQRT(P200*($G$6-$E$6)*($F$6-$E$6)),$G$6-SQRT((1-P200)*($G$6-$E$6)*($G$6-$F$6))))</f>
        <v>0.952441743890604</v>
      </c>
      <c r="C200" s="51" t="n">
        <f aca="false">1+IF($G$7=$E$7,$F$7,IF(Q200&lt;($F$7-$E$7)/($G$7-$E$7),$E$7+SQRT(Q200*($G$7-$E$7)*($F$7-$E$7)),$G$7-SQRT((1-Q200)*($G$7-$E$7)*($G$7-$F$7))))</f>
        <v>0.885504664819548</v>
      </c>
      <c r="D200" s="51" t="n">
        <f aca="false">1+IF($G$8=$E$8,$F$8,IF(R200&lt;($F$8-$E$8)/($G$8-$E$8),$E$8+SQRT(R200*($G$8-$E$8)*($F$8-$E$8)),$G$8-SQRT((1-R200)*($G$8-$E$8)*($G$8-$F$8))))</f>
        <v>1.04649855383065</v>
      </c>
      <c r="E200" s="51" t="n">
        <f aca="false">1+IF($G$9=$E$9,$F$9,IF(S200&lt;($F$9-$E$9)/($G$9-$E$9),$E$9+SQRT(S200*($G$9-$E$9)*($F$9-$E$9)),$G$9-SQRT((1-S200)*($G$9-$E$9)*($G$9-$F$9))))</f>
        <v>0.957417809639528</v>
      </c>
      <c r="F200" s="51" t="n">
        <f aca="false">1+IF($G$10=$E$10,$F$10,IF(T200&lt;($F$10-$E$10)/($G$10-$E$10),$E$10+SQRT(T200*($G$10-$E$10)*($F$10-$E$10)),$G$10-SQRT((1-T200)*($G$10-$E$10)*($G$10-$F$10))))</f>
        <v>1.08802631491589</v>
      </c>
      <c r="G200" s="52" t="n">
        <f aca="false">IF($G$11=$E$11,$F$11,IF(U200&lt;($F$11-$E$11)/($G$11-$E$11),$E$11+SQRT(U200*($G$11-$E$11)*($F$11-$E$11)),$G$11-SQRT((1-U200)*($G$11-$E$11)*($G$11-$F$11))))</f>
        <v>0.124725171293435</v>
      </c>
      <c r="H200" s="53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-2176052629.83178</v>
      </c>
      <c r="I200" s="53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-72256107.8969526</v>
      </c>
      <c r="J200" s="53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144156649.144843</v>
      </c>
      <c r="K200" s="53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414970721.932433</v>
      </c>
      <c r="L200" s="53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516255921.55731</v>
      </c>
      <c r="M200" s="53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676567798.250843</v>
      </c>
      <c r="N200" s="53" t="n">
        <f aca="false">IF(COUNT('Business Case'!B11:G11)=0,"",H200+NPV(G200,I200:M200))</f>
        <v>-1136160700.87274</v>
      </c>
      <c r="P200" s="54" t="n">
        <f aca="true">RAND()</f>
        <v>0.183342433485845</v>
      </c>
      <c r="Q200" s="54" t="n">
        <f aca="true">RAND()</f>
        <v>0.254903560517131</v>
      </c>
      <c r="R200" s="54" t="n">
        <f aca="true">RAND()</f>
        <v>0.809173017185905</v>
      </c>
      <c r="S200" s="54" t="n">
        <f aca="true">RAND()</f>
        <v>0.131872194552042</v>
      </c>
      <c r="T200" s="54" t="n">
        <f aca="true">RAND()</f>
        <v>0.650193671203647</v>
      </c>
      <c r="U200" s="54" t="n">
        <f aca="true">RAND()</f>
        <v>0.981450788077595</v>
      </c>
    </row>
    <row r="201" customFormat="false" ht="15" hidden="false" customHeight="false" outlineLevel="0" collapsed="false">
      <c r="A201" s="50" t="n">
        <v>121</v>
      </c>
      <c r="B201" s="51" t="n">
        <f aca="false">1+IF($G$6=$E$6,$F$6,IF(P201&lt;($F$6-$E$6)/($G$6-$E$6),$E$6+SQRT(P201*($G$6-$E$6)*($F$6-$E$6)),$G$6-SQRT((1-P201)*($G$6-$E$6)*($G$6-$F$6))))</f>
        <v>0.983751859116683</v>
      </c>
      <c r="C201" s="51" t="n">
        <f aca="false">1+IF($G$7=$E$7,$F$7,IF(Q201&lt;($F$7-$E$7)/($G$7-$E$7),$E$7+SQRT(Q201*($G$7-$E$7)*($F$7-$E$7)),$G$7-SQRT((1-Q201)*($G$7-$E$7)*($G$7-$F$7))))</f>
        <v>0.933951255416101</v>
      </c>
      <c r="D201" s="51" t="n">
        <f aca="false">1+IF($G$8=$E$8,$F$8,IF(R201&lt;($F$8-$E$8)/($G$8-$E$8),$E$8+SQRT(R201*($G$8-$E$8)*($F$8-$E$8)),$G$8-SQRT((1-R201)*($G$8-$E$8)*($G$8-$F$8))))</f>
        <v>1.00523376102268</v>
      </c>
      <c r="E201" s="51" t="n">
        <f aca="false">1+IF($G$9=$E$9,$F$9,IF(S201&lt;($F$9-$E$9)/($G$9-$E$9),$E$9+SQRT(S201*($G$9-$E$9)*($F$9-$E$9)),$G$9-SQRT((1-S201)*($G$9-$E$9)*($G$9-$F$9))))</f>
        <v>1.0070304552704</v>
      </c>
      <c r="F201" s="51" t="n">
        <f aca="false">1+IF($G$10=$E$10,$F$10,IF(T201&lt;($F$10-$E$10)/($G$10-$E$10),$E$10+SQRT(T201*($G$10-$E$10)*($F$10-$E$10)),$G$10-SQRT((1-T201)*($G$10-$E$10)*($G$10-$F$10))))</f>
        <v>1.18527898004746</v>
      </c>
      <c r="G201" s="52" t="n">
        <f aca="false">IF($G$11=$E$11,$F$11,IF(U201&lt;($F$11-$E$11)/($G$11-$E$11),$E$11+SQRT(U201*($G$11-$E$11)*($F$11-$E$11)),$G$11-SQRT((1-U201)*($G$11-$E$11)*($G$11-$F$11))))</f>
        <v>0.112972163713369</v>
      </c>
      <c r="H201" s="53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-2370557960.09493</v>
      </c>
      <c r="I201" s="53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-37423694.3384749</v>
      </c>
      <c r="J201" s="53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234509602.62151</v>
      </c>
      <c r="K201" s="53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565706848.583868</v>
      </c>
      <c r="L201" s="53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688104189.273372</v>
      </c>
      <c r="M201" s="53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862745185.305669</v>
      </c>
      <c r="N201" s="53" t="n">
        <f aca="false">IF(COUNT('Business Case'!B11:G11)=0,"",H201+NPV(G201,I201:M201))</f>
        <v>-850879571.039504</v>
      </c>
      <c r="P201" s="54" t="n">
        <f aca="true">RAND()</f>
        <v>0.467624927033382</v>
      </c>
      <c r="Q201" s="54" t="n">
        <f aca="true">RAND()</f>
        <v>0.405431036376073</v>
      </c>
      <c r="R201" s="54" t="n">
        <f aca="true">RAND()</f>
        <v>0.401290663339618</v>
      </c>
      <c r="S201" s="54" t="n">
        <f aca="true">RAND()</f>
        <v>0.454925580794931</v>
      </c>
      <c r="T201" s="54" t="n">
        <f aca="true">RAND()</f>
        <v>0.944149194350714</v>
      </c>
      <c r="U201" s="54" t="n">
        <f aca="true">RAND()</f>
        <v>0.806701860930473</v>
      </c>
    </row>
    <row r="202" customFormat="false" ht="15" hidden="false" customHeight="false" outlineLevel="0" collapsed="false">
      <c r="A202" s="50" t="n">
        <v>122</v>
      </c>
      <c r="B202" s="51" t="n">
        <f aca="false">1+IF($G$6=$E$6,$F$6,IF(P202&lt;($F$6-$E$6)/($G$6-$E$6),$E$6+SQRT(P202*($G$6-$E$6)*($F$6-$E$6)),$G$6-SQRT((1-P202)*($G$6-$E$6)*($G$6-$F$6))))</f>
        <v>1.0341810259917</v>
      </c>
      <c r="C202" s="51" t="n">
        <f aca="false">1+IF($G$7=$E$7,$F$7,IF(Q202&lt;($F$7-$E$7)/($G$7-$E$7),$E$7+SQRT(Q202*($G$7-$E$7)*($F$7-$E$7)),$G$7-SQRT((1-Q202)*($G$7-$E$7)*($G$7-$F$7))))</f>
        <v>1.01314709590312</v>
      </c>
      <c r="D202" s="51" t="n">
        <f aca="false">1+IF($G$8=$E$8,$F$8,IF(R202&lt;($F$8-$E$8)/($G$8-$E$8),$E$8+SQRT(R202*($G$8-$E$8)*($F$8-$E$8)),$G$8-SQRT((1-R202)*($G$8-$E$8)*($G$8-$F$8))))</f>
        <v>1.01139094085386</v>
      </c>
      <c r="E202" s="51" t="n">
        <f aca="false">1+IF($G$9=$E$9,$F$9,IF(S202&lt;($F$9-$E$9)/($G$9-$E$9),$E$9+SQRT(S202*($G$9-$E$9)*($F$9-$E$9)),$G$9-SQRT((1-S202)*($G$9-$E$9)*($G$9-$F$9))))</f>
        <v>0.981570597755092</v>
      </c>
      <c r="F202" s="51" t="n">
        <f aca="false">1+IF($G$10=$E$10,$F$10,IF(T202&lt;($F$10-$E$10)/($G$10-$E$10),$E$10+SQRT(T202*($G$10-$E$10)*($F$10-$E$10)),$G$10-SQRT((1-T202)*($G$10-$E$10)*($G$10-$F$10))))</f>
        <v>1.0310686329792</v>
      </c>
      <c r="G202" s="52" t="n">
        <f aca="false">IF($G$11=$E$11,$F$11,IF(U202&lt;($F$11-$E$11)/($G$11-$E$11),$E$11+SQRT(U202*($G$11-$E$11)*($F$11-$E$11)),$G$11-SQRT((1-U202)*($G$11-$E$11)*($G$11-$F$11))))</f>
        <v>0.109231068169072</v>
      </c>
      <c r="H202" s="53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-2062137265.95841</v>
      </c>
      <c r="I202" s="53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36644051.1908673</v>
      </c>
      <c r="J202" s="53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370291090.442253</v>
      </c>
      <c r="K202" s="53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755491561.342598</v>
      </c>
      <c r="L202" s="53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902918431.600942</v>
      </c>
      <c r="M202" s="53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1102079979.3943</v>
      </c>
      <c r="N202" s="53" t="n">
        <f aca="false">IF(COUNT('Business Case'!B11:G11)=0,"",H202+NPV(G202,I202:M202))</f>
        <v>78142341.6988812</v>
      </c>
      <c r="P202" s="54" t="n">
        <f aca="true">RAND()</f>
        <v>0.966634674843294</v>
      </c>
      <c r="Q202" s="54" t="n">
        <f aca="true">RAND()</f>
        <v>0.722537520596299</v>
      </c>
      <c r="R202" s="54" t="n">
        <f aca="true">RAND()</f>
        <v>0.476562309149082</v>
      </c>
      <c r="S202" s="54" t="n">
        <f aca="true">RAND()</f>
        <v>0.266150496724919</v>
      </c>
      <c r="T202" s="54" t="n">
        <f aca="true">RAND()</f>
        <v>0.36092075379207</v>
      </c>
      <c r="U202" s="54" t="n">
        <f aca="true">RAND()</f>
        <v>0.712434313734845</v>
      </c>
    </row>
    <row r="203" customFormat="false" ht="15" hidden="false" customHeight="false" outlineLevel="0" collapsed="false">
      <c r="A203" s="50" t="n">
        <v>123</v>
      </c>
      <c r="B203" s="51" t="n">
        <f aca="false">1+IF($G$6=$E$6,$F$6,IF(P203&lt;($F$6-$E$6)/($G$6-$E$6),$E$6+SQRT(P203*($G$6-$E$6)*($F$6-$E$6)),$G$6-SQRT((1-P203)*($G$6-$E$6)*($G$6-$F$6))))</f>
        <v>0.931217135327983</v>
      </c>
      <c r="C203" s="51" t="n">
        <f aca="false">1+IF($G$7=$E$7,$F$7,IF(Q203&lt;($F$7-$E$7)/($G$7-$E$7),$E$7+SQRT(Q203*($G$7-$E$7)*($F$7-$E$7)),$G$7-SQRT((1-Q203)*($G$7-$E$7)*($G$7-$F$7))))</f>
        <v>0.840531271630493</v>
      </c>
      <c r="D203" s="51" t="n">
        <f aca="false">1+IF($G$8=$E$8,$F$8,IF(R203&lt;($F$8-$E$8)/($G$8-$E$8),$E$8+SQRT(R203*($G$8-$E$8)*($F$8-$E$8)),$G$8-SQRT((1-R203)*($G$8-$E$8)*($G$8-$F$8))))</f>
        <v>1.03802479791464</v>
      </c>
      <c r="E203" s="51" t="n">
        <f aca="false">1+IF($G$9=$E$9,$F$9,IF(S203&lt;($F$9-$E$9)/($G$9-$E$9),$E$9+SQRT(S203*($G$9-$E$9)*($F$9-$E$9)),$G$9-SQRT((1-S203)*($G$9-$E$9)*($G$9-$F$9))))</f>
        <v>1.07323405633154</v>
      </c>
      <c r="F203" s="51" t="n">
        <f aca="false">1+IF($G$10=$E$10,$F$10,IF(T203&lt;($F$10-$E$10)/($G$10-$E$10),$E$10+SQRT(T203*($G$10-$E$10)*($F$10-$E$10)),$G$10-SQRT((1-T203)*($G$10-$E$10)*($G$10-$F$10))))</f>
        <v>1.02043647481506</v>
      </c>
      <c r="G203" s="52" t="n">
        <f aca="false">IF($G$11=$E$11,$F$11,IF(U203&lt;($F$11-$E$11)/($G$11-$E$11),$E$11+SQRT(U203*($G$11-$E$11)*($F$11-$E$11)),$G$11-SQRT((1-U203)*($G$11-$E$11)*($G$11-$F$11))))</f>
        <v>0.106725051539904</v>
      </c>
      <c r="H203" s="53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-2040872949.63011</v>
      </c>
      <c r="I203" s="53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-100778166.582491</v>
      </c>
      <c r="J203" s="53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93677252.7791102</v>
      </c>
      <c r="K203" s="53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339154495.881464</v>
      </c>
      <c r="L203" s="53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431023672.77016</v>
      </c>
      <c r="M203" s="53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579802543.495047</v>
      </c>
      <c r="N203" s="53" t="n">
        <f aca="false">IF(COUNT('Business Case'!B11:G11)=0,"",H203+NPV(G203,I203:M203))</f>
        <v>-1168746619.80862</v>
      </c>
      <c r="P203" s="54" t="n">
        <f aca="true">RAND()</f>
        <v>0.0649673025390402</v>
      </c>
      <c r="Q203" s="54" t="n">
        <f aca="true">RAND()</f>
        <v>0.146289172637654</v>
      </c>
      <c r="R203" s="54" t="n">
        <f aca="true">RAND()</f>
        <v>0.74393828843193</v>
      </c>
      <c r="S203" s="54" t="n">
        <f aca="true">RAND()</f>
        <v>0.842853063805102</v>
      </c>
      <c r="T203" s="54" t="n">
        <f aca="true">RAND()</f>
        <v>0.297341172062154</v>
      </c>
      <c r="U203" s="54" t="n">
        <f aca="true">RAND()</f>
        <v>0.638851182786577</v>
      </c>
    </row>
    <row r="204" customFormat="false" ht="15" hidden="false" customHeight="false" outlineLevel="0" collapsed="false">
      <c r="A204" s="50" t="n">
        <v>124</v>
      </c>
      <c r="B204" s="51" t="n">
        <f aca="false">1+IF($G$6=$E$6,$F$6,IF(P204&lt;($F$6-$E$6)/($G$6-$E$6),$E$6+SQRT(P204*($G$6-$E$6)*($F$6-$E$6)),$G$6-SQRT((1-P204)*($G$6-$E$6)*($G$6-$F$6))))</f>
        <v>0.979724975556605</v>
      </c>
      <c r="C204" s="51" t="n">
        <f aca="false">1+IF($G$7=$E$7,$F$7,IF(Q204&lt;($F$7-$E$7)/($G$7-$E$7),$E$7+SQRT(Q204*($G$7-$E$7)*($F$7-$E$7)),$G$7-SQRT((1-Q204)*($G$7-$E$7)*($G$7-$F$7))))</f>
        <v>1.07022486903253</v>
      </c>
      <c r="D204" s="51" t="n">
        <f aca="false">1+IF($G$8=$E$8,$F$8,IF(R204&lt;($F$8-$E$8)/($G$8-$E$8),$E$8+SQRT(R204*($G$8-$E$8)*($F$8-$E$8)),$G$8-SQRT((1-R204)*($G$8-$E$8)*($G$8-$F$8))))</f>
        <v>1.01446740540927</v>
      </c>
      <c r="E204" s="51" t="n">
        <f aca="false">1+IF($G$9=$E$9,$F$9,IF(S204&lt;($F$9-$E$9)/($G$9-$E$9),$E$9+SQRT(S204*($G$9-$E$9)*($F$9-$E$9)),$G$9-SQRT((1-S204)*($G$9-$E$9)*($G$9-$F$9))))</f>
        <v>1.09425127173446</v>
      </c>
      <c r="F204" s="51" t="n">
        <f aca="false">1+IF($G$10=$E$10,$F$10,IF(T204&lt;($F$10-$E$10)/($G$10-$E$10),$E$10+SQRT(T204*($G$10-$E$10)*($F$10-$E$10)),$G$10-SQRT((1-T204)*($G$10-$E$10)*($G$10-$F$10))))</f>
        <v>1.02550771443479</v>
      </c>
      <c r="G204" s="52" t="n">
        <f aca="false">IF($G$11=$E$11,$F$11,IF(U204&lt;($F$11-$E$11)/($G$11-$E$11),$E$11+SQRT(U204*($G$11-$E$11)*($F$11-$E$11)),$G$11-SQRT((1-U204)*($G$11-$E$11)*($G$11-$F$11))))</f>
        <v>0.109101346199814</v>
      </c>
      <c r="H204" s="53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-2051015428.86958</v>
      </c>
      <c r="I204" s="53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-9486341.77185243</v>
      </c>
      <c r="J204" s="53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293536208.324984</v>
      </c>
      <c r="K204" s="53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647834144.14356</v>
      </c>
      <c r="L204" s="53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785078720.565552</v>
      </c>
      <c r="M204" s="53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984382549.042308</v>
      </c>
      <c r="N204" s="53" t="n">
        <f aca="false">IF(COUNT('Business Case'!B11:G11)=0,"",H204+NPV(G204,I204:M204))</f>
        <v>-240711231.819092</v>
      </c>
      <c r="P204" s="54" t="n">
        <f aca="true">RAND()</f>
        <v>0.423738115166749</v>
      </c>
      <c r="Q204" s="54" t="n">
        <f aca="true">RAND()</f>
        <v>0.905717458949979</v>
      </c>
      <c r="R204" s="54" t="n">
        <f aca="true">RAND()</f>
        <v>0.512278350838487</v>
      </c>
      <c r="S204" s="54" t="n">
        <f aca="true">RAND()</f>
        <v>0.917122114580655</v>
      </c>
      <c r="T204" s="54" t="n">
        <f aca="true">RAND()</f>
        <v>0.328042849622775</v>
      </c>
      <c r="U204" s="54" t="n">
        <f aca="true">RAND()</f>
        <v>0.708830846226655</v>
      </c>
    </row>
    <row r="205" customFormat="false" ht="15" hidden="false" customHeight="false" outlineLevel="0" collapsed="false">
      <c r="A205" s="50" t="n">
        <v>125</v>
      </c>
      <c r="B205" s="51" t="n">
        <f aca="false">1+IF($G$6=$E$6,$F$6,IF(P205&lt;($F$6-$E$6)/($G$6-$E$6),$E$6+SQRT(P205*($G$6-$E$6)*($F$6-$E$6)),$G$6-SQRT((1-P205)*($G$6-$E$6)*($G$6-$F$6))))</f>
        <v>1.01668688594837</v>
      </c>
      <c r="C205" s="51" t="n">
        <f aca="false">1+IF($G$7=$E$7,$F$7,IF(Q205&lt;($F$7-$E$7)/($G$7-$E$7),$E$7+SQRT(Q205*($G$7-$E$7)*($F$7-$E$7)),$G$7-SQRT((1-Q205)*($G$7-$E$7)*($G$7-$F$7))))</f>
        <v>0.855595042010522</v>
      </c>
      <c r="D205" s="51" t="n">
        <f aca="false">1+IF($G$8=$E$8,$F$8,IF(R205&lt;($F$8-$E$8)/($G$8-$E$8),$E$8+SQRT(R205*($G$8-$E$8)*($F$8-$E$8)),$G$8-SQRT((1-R205)*($G$8-$E$8)*($G$8-$F$8))))</f>
        <v>0.978029614161667</v>
      </c>
      <c r="E205" s="51" t="n">
        <f aca="false">1+IF($G$9=$E$9,$F$9,IF(S205&lt;($F$9-$E$9)/($G$9-$E$9),$E$9+SQRT(S205*($G$9-$E$9)*($F$9-$E$9)),$G$9-SQRT((1-S205)*($G$9-$E$9)*($G$9-$F$9))))</f>
        <v>1.07038992078069</v>
      </c>
      <c r="F205" s="51" t="n">
        <f aca="false">1+IF($G$10=$E$10,$F$10,IF(T205&lt;($F$10-$E$10)/($G$10-$E$10),$E$10+SQRT(T205*($G$10-$E$10)*($F$10-$E$10)),$G$10-SQRT((1-T205)*($G$10-$E$10)*($G$10-$F$10))))</f>
        <v>1.00864829727477</v>
      </c>
      <c r="G205" s="52" t="n">
        <f aca="false">IF($G$11=$E$11,$F$11,IF(U205&lt;($F$11-$E$11)/($G$11-$E$11),$E$11+SQRT(U205*($G$11-$E$11)*($F$11-$E$11)),$G$11-SQRT((1-U205)*($G$11-$E$11)*($G$11-$F$11))))</f>
        <v>0.0931109312288234</v>
      </c>
      <c r="H205" s="53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-2017296594.54953</v>
      </c>
      <c r="I205" s="53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-14053711.6170916</v>
      </c>
      <c r="J205" s="53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270061031.1294</v>
      </c>
      <c r="K205" s="53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604608188.739631</v>
      </c>
      <c r="L205" s="53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729375888.255857</v>
      </c>
      <c r="M205" s="53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894721207.226532</v>
      </c>
      <c r="N205" s="53" t="n">
        <f aca="false">IF(COUNT('Business Case'!B11:G11)=0,"",H205+NPV(G205,I205:M205))</f>
        <v>-257115538.021979</v>
      </c>
      <c r="P205" s="54" t="n">
        <f aca="true">RAND()</f>
        <v>0.85203152429112</v>
      </c>
      <c r="Q205" s="54" t="n">
        <f aca="true">RAND()</f>
        <v>0.1793319785056</v>
      </c>
      <c r="R205" s="54" t="n">
        <f aca="true">RAND()</f>
        <v>0.104754569340255</v>
      </c>
      <c r="S205" s="54" t="n">
        <f aca="true">RAND()</f>
        <v>0.830992940978525</v>
      </c>
      <c r="T205" s="54" t="n">
        <f aca="true">RAND()</f>
        <v>0.223324741221733</v>
      </c>
      <c r="U205" s="54" t="n">
        <f aca="true">RAND()</f>
        <v>0.171896517686936</v>
      </c>
    </row>
    <row r="206" customFormat="false" ht="15" hidden="false" customHeight="false" outlineLevel="0" collapsed="false">
      <c r="A206" s="50" t="n">
        <v>126</v>
      </c>
      <c r="B206" s="51" t="n">
        <f aca="false">1+IF($G$6=$E$6,$F$6,IF(P206&lt;($F$6-$E$6)/($G$6-$E$6),$E$6+SQRT(P206*($G$6-$E$6)*($F$6-$E$6)),$G$6-SQRT((1-P206)*($G$6-$E$6)*($G$6-$F$6))))</f>
        <v>1.01755052683414</v>
      </c>
      <c r="C206" s="51" t="n">
        <f aca="false">1+IF($G$7=$E$7,$F$7,IF(Q206&lt;($F$7-$E$7)/($G$7-$E$7),$E$7+SQRT(Q206*($G$7-$E$7)*($F$7-$E$7)),$G$7-SQRT((1-Q206)*($G$7-$E$7)*($G$7-$F$7))))</f>
        <v>1.01751676995229</v>
      </c>
      <c r="D206" s="51" t="n">
        <f aca="false">1+IF($G$8=$E$8,$F$8,IF(R206&lt;($F$8-$E$8)/($G$8-$E$8),$E$8+SQRT(R206*($G$8-$E$8)*($F$8-$E$8)),$G$8-SQRT((1-R206)*($G$8-$E$8)*($G$8-$F$8))))</f>
        <v>0.987251067936174</v>
      </c>
      <c r="E206" s="51" t="n">
        <f aca="false">1+IF($G$9=$E$9,$F$9,IF(S206&lt;($F$9-$E$9)/($G$9-$E$9),$E$9+SQRT(S206*($G$9-$E$9)*($F$9-$E$9)),$G$9-SQRT((1-S206)*($G$9-$E$9)*($G$9-$F$9))))</f>
        <v>0.908778636812504</v>
      </c>
      <c r="F206" s="51" t="n">
        <f aca="false">1+IF($G$10=$E$10,$F$10,IF(T206&lt;($F$10-$E$10)/($G$10-$E$10),$E$10+SQRT(T206*($G$10-$E$10)*($F$10-$E$10)),$G$10-SQRT((1-T206)*($G$10-$E$10)*($G$10-$F$10))))</f>
        <v>1.11522353316387</v>
      </c>
      <c r="G206" s="52" t="n">
        <f aca="false">IF($G$11=$E$11,$F$11,IF(U206&lt;($F$11-$E$11)/($G$11-$E$11),$E$11+SQRT(U206*($G$11-$E$11)*($F$11-$E$11)),$G$11-SQRT((1-U206)*($G$11-$E$11)*($G$11-$F$11))))</f>
        <v>0.102259322385092</v>
      </c>
      <c r="H206" s="53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-2230447066.32773</v>
      </c>
      <c r="I206" s="53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39375516.250265</v>
      </c>
      <c r="J206" s="53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373175533.732634</v>
      </c>
      <c r="K206" s="53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762736727.873196</v>
      </c>
      <c r="L206" s="53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909785950.874638</v>
      </c>
      <c r="M206" s="53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1106589978.66489</v>
      </c>
      <c r="N206" s="53" t="n">
        <f aca="false">IF(COUNT('Business Case'!B11:G11)=0,"",H206+NPV(G206,I206:M206))</f>
        <v>-21629994.9575362</v>
      </c>
      <c r="P206" s="54" t="n">
        <f aca="true">RAND()</f>
        <v>0.859604225501126</v>
      </c>
      <c r="Q206" s="54" t="n">
        <f aca="true">RAND()</f>
        <v>0.739973240831469</v>
      </c>
      <c r="R206" s="54" t="n">
        <f aca="true">RAND()</f>
        <v>0.18501894165139</v>
      </c>
      <c r="S206" s="54" t="n">
        <f aca="true">RAND()</f>
        <v>0.00308257857143426</v>
      </c>
      <c r="T206" s="54" t="n">
        <f aca="true">RAND()</f>
        <v>0.757804053162251</v>
      </c>
      <c r="U206" s="54" t="n">
        <f aca="true">RAND()</f>
        <v>0.48696987031048</v>
      </c>
    </row>
    <row r="207" customFormat="false" ht="15" hidden="false" customHeight="false" outlineLevel="0" collapsed="false">
      <c r="A207" s="50" t="n">
        <v>127</v>
      </c>
      <c r="B207" s="51" t="n">
        <f aca="false">1+IF($G$6=$E$6,$F$6,IF(P207&lt;($F$6-$E$6)/($G$6-$E$6),$E$6+SQRT(P207*($G$6-$E$6)*($F$6-$E$6)),$G$6-SQRT((1-P207)*($G$6-$E$6)*($G$6-$F$6))))</f>
        <v>1.00600244840049</v>
      </c>
      <c r="C207" s="51" t="n">
        <f aca="false">1+IF($G$7=$E$7,$F$7,IF(Q207&lt;($F$7-$E$7)/($G$7-$E$7),$E$7+SQRT(Q207*($G$7-$E$7)*($F$7-$E$7)),$G$7-SQRT((1-Q207)*($G$7-$E$7)*($G$7-$F$7))))</f>
        <v>1.05447336037209</v>
      </c>
      <c r="D207" s="51" t="n">
        <f aca="false">1+IF($G$8=$E$8,$F$8,IF(R207&lt;($F$8-$E$8)/($G$8-$E$8),$E$8+SQRT(R207*($G$8-$E$8)*($F$8-$E$8)),$G$8-SQRT((1-R207)*($G$8-$E$8)*($G$8-$F$8))))</f>
        <v>1.07139344035236</v>
      </c>
      <c r="E207" s="51" t="n">
        <f aca="false">1+IF($G$9=$E$9,$F$9,IF(S207&lt;($F$9-$E$9)/($G$9-$E$9),$E$9+SQRT(S207*($G$9-$E$9)*($F$9-$E$9)),$G$9-SQRT((1-S207)*($G$9-$E$9)*($G$9-$F$9))))</f>
        <v>0.933144532209953</v>
      </c>
      <c r="F207" s="51" t="n">
        <f aca="false">1+IF($G$10=$E$10,$F$10,IF(T207&lt;($F$10-$E$10)/($G$10-$E$10),$E$10+SQRT(T207*($G$10-$E$10)*($F$10-$E$10)),$G$10-SQRT((1-T207)*($G$10-$E$10)*($G$10-$F$10))))</f>
        <v>1.04765525346325</v>
      </c>
      <c r="G207" s="52" t="n">
        <f aca="false">IF($G$11=$E$11,$F$11,IF(U207&lt;($F$11-$E$11)/($G$11-$E$11),$E$11+SQRT(U207*($G$11-$E$11)*($F$11-$E$11)),$G$11-SQRT((1-U207)*($G$11-$E$11)*($G$11-$F$11))))</f>
        <v>0.08815322458569</v>
      </c>
      <c r="H207" s="53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-2095310506.92651</v>
      </c>
      <c r="I207" s="53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-1921447.84442793</v>
      </c>
      <c r="J207" s="53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288607798.372541</v>
      </c>
      <c r="K207" s="53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631519807.262673</v>
      </c>
      <c r="L207" s="53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765024233.49154</v>
      </c>
      <c r="M207" s="53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966661626.352533</v>
      </c>
      <c r="N207" s="53" t="n">
        <f aca="false">IF(COUNT('Business Case'!B11:G11)=0,"",H207+NPV(G207,I207:M207))</f>
        <v>-183935185.520421</v>
      </c>
      <c r="P207" s="54" t="n">
        <f aca="true">RAND()</f>
        <v>0.741895393766422</v>
      </c>
      <c r="Q207" s="54" t="n">
        <f aca="true">RAND()</f>
        <v>0.864809794391104</v>
      </c>
      <c r="R207" s="54" t="n">
        <f aca="true">RAND()</f>
        <v>0.94544431634175</v>
      </c>
      <c r="S207" s="54" t="n">
        <f aca="true">RAND()</f>
        <v>0.0439424006166642</v>
      </c>
      <c r="T207" s="54" t="n">
        <f aca="true">RAND()</f>
        <v>0.454088047319731</v>
      </c>
      <c r="U207" s="54" t="n">
        <f aca="true">RAND()</f>
        <v>0.0664750711447003</v>
      </c>
    </row>
    <row r="208" customFormat="false" ht="15" hidden="false" customHeight="false" outlineLevel="0" collapsed="false">
      <c r="A208" s="50" t="n">
        <v>128</v>
      </c>
      <c r="B208" s="51" t="n">
        <f aca="false">1+IF($G$6=$E$6,$F$6,IF(P208&lt;($F$6-$E$6)/($G$6-$E$6),$E$6+SQRT(P208*($G$6-$E$6)*($F$6-$E$6)),$G$6-SQRT((1-P208)*($G$6-$E$6)*($G$6-$F$6))))</f>
        <v>0.954724153172713</v>
      </c>
      <c r="C208" s="51" t="n">
        <f aca="false">1+IF($G$7=$E$7,$F$7,IF(Q208&lt;($F$7-$E$7)/($G$7-$E$7),$E$7+SQRT(Q208*($G$7-$E$7)*($F$7-$E$7)),$G$7-SQRT((1-Q208)*($G$7-$E$7)*($G$7-$F$7))))</f>
        <v>0.997475530971375</v>
      </c>
      <c r="D208" s="51" t="n">
        <f aca="false">1+IF($G$8=$E$8,$F$8,IF(R208&lt;($F$8-$E$8)/($G$8-$E$8),$E$8+SQRT(R208*($G$8-$E$8)*($F$8-$E$8)),$G$8-SQRT((1-R208)*($G$8-$E$8)*($G$8-$F$8))))</f>
        <v>1.02839952870903</v>
      </c>
      <c r="E208" s="51" t="n">
        <f aca="false">1+IF($G$9=$E$9,$F$9,IF(S208&lt;($F$9-$E$9)/($G$9-$E$9),$E$9+SQRT(S208*($G$9-$E$9)*($F$9-$E$9)),$G$9-SQRT((1-S208)*($G$9-$E$9)*($G$9-$F$9))))</f>
        <v>1.0325585814434</v>
      </c>
      <c r="F208" s="51" t="n">
        <f aca="false">1+IF($G$10=$E$10,$F$10,IF(T208&lt;($F$10-$E$10)/($G$10-$E$10),$E$10+SQRT(T208*($G$10-$E$10)*($F$10-$E$10)),$G$10-SQRT((1-T208)*($G$10-$E$10)*($G$10-$F$10))))</f>
        <v>1.15765124767806</v>
      </c>
      <c r="G208" s="52" t="n">
        <f aca="false">IF($G$11=$E$11,$F$11,IF(U208&lt;($F$11-$E$11)/($G$11-$E$11),$E$11+SQRT(U208*($G$11-$E$11)*($F$11-$E$11)),$G$11-SQRT((1-U208)*($G$11-$E$11)*($G$11-$F$11))))</f>
        <v>0.115543661084172</v>
      </c>
      <c r="H208" s="53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-2315302495.35611</v>
      </c>
      <c r="I208" s="53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-57078453.4019645</v>
      </c>
      <c r="J208" s="53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197806005.052161</v>
      </c>
      <c r="K208" s="53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510573025.890189</v>
      </c>
      <c r="L208" s="53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628446483.246253</v>
      </c>
      <c r="M208" s="53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809462324.872041</v>
      </c>
      <c r="N208" s="53" t="n">
        <f aca="false">IF(COUNT('Business Case'!B11:G11)=0,"",H208+NPV(G208,I208:M208))</f>
        <v>-965360597.000383</v>
      </c>
      <c r="P208" s="54" t="n">
        <f aca="true">RAND()</f>
        <v>0.199648862698037</v>
      </c>
      <c r="Q208" s="54" t="n">
        <f aca="true">RAND()</f>
        <v>0.655494011308899</v>
      </c>
      <c r="R208" s="54" t="n">
        <f aca="true">RAND()</f>
        <v>0.658224834060705</v>
      </c>
      <c r="S208" s="54" t="n">
        <f aca="true">RAND()</f>
        <v>0.632200352197703</v>
      </c>
      <c r="T208" s="54" t="n">
        <f aca="true">RAND()</f>
        <v>0.886289439261068</v>
      </c>
      <c r="U208" s="54" t="n">
        <f aca="true">RAND()</f>
        <v>0.860676176767153</v>
      </c>
    </row>
    <row r="209" customFormat="false" ht="15" hidden="false" customHeight="false" outlineLevel="0" collapsed="false">
      <c r="A209" s="50" t="n">
        <v>129</v>
      </c>
      <c r="B209" s="51" t="n">
        <f aca="false">1+IF($G$6=$E$6,$F$6,IF(P209&lt;($F$6-$E$6)/($G$6-$E$6),$E$6+SQRT(P209*($G$6-$E$6)*($F$6-$E$6)),$G$6-SQRT((1-P209)*($G$6-$E$6)*($G$6-$F$6))))</f>
        <v>0.967495129984493</v>
      </c>
      <c r="C209" s="51" t="n">
        <f aca="false">1+IF($G$7=$E$7,$F$7,IF(Q209&lt;($F$7-$E$7)/($G$7-$E$7),$E$7+SQRT(Q209*($G$7-$E$7)*($F$7-$E$7)),$G$7-SQRT((1-Q209)*($G$7-$E$7)*($G$7-$F$7))))</f>
        <v>0.830947209280203</v>
      </c>
      <c r="D209" s="51" t="n">
        <f aca="false">1+IF($G$8=$E$8,$F$8,IF(R209&lt;($F$8-$E$8)/($G$8-$E$8),$E$8+SQRT(R209*($G$8-$E$8)*($F$8-$E$8)),$G$8-SQRT((1-R209)*($G$8-$E$8)*($G$8-$F$8))))</f>
        <v>1.03129667804559</v>
      </c>
      <c r="E209" s="51" t="n">
        <f aca="false">1+IF($G$9=$E$9,$F$9,IF(S209&lt;($F$9-$E$9)/($G$9-$E$9),$E$9+SQRT(S209*($G$9-$E$9)*($F$9-$E$9)),$G$9-SQRT((1-S209)*($G$9-$E$9)*($G$9-$F$9))))</f>
        <v>0.936591943302558</v>
      </c>
      <c r="F209" s="51" t="n">
        <f aca="false">1+IF($G$10=$E$10,$F$10,IF(T209&lt;($F$10-$E$10)/($G$10-$E$10),$E$10+SQRT(T209*($G$10-$E$10)*($F$10-$E$10)),$G$10-SQRT((1-T209)*($G$10-$E$10)*($G$10-$F$10))))</f>
        <v>1.01281103448012</v>
      </c>
      <c r="G209" s="52" t="n">
        <f aca="false">IF($G$11=$E$11,$F$11,IF(U209&lt;($F$11-$E$11)/($G$11-$E$11),$E$11+SQRT(U209*($G$11-$E$11)*($F$11-$E$11)),$G$11-SQRT((1-U209)*($G$11-$E$11)*($G$11-$F$11))))</f>
        <v>0.112523610306416</v>
      </c>
      <c r="H209" s="53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-2025622068.96024</v>
      </c>
      <c r="I209" s="53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-56349424.3859632</v>
      </c>
      <c r="J209" s="53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163441742.702335</v>
      </c>
      <c r="K209" s="53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433873461.514639</v>
      </c>
      <c r="L209" s="53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534921259.669822</v>
      </c>
      <c r="M209" s="53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687733676.528114</v>
      </c>
      <c r="N209" s="53" t="n">
        <f aca="false">IF(COUNT('Business Case'!B11:G11)=0,"",H209+NPV(G209,I209:M209))</f>
        <v>-876418497.174037</v>
      </c>
      <c r="P209" s="54" t="n">
        <f aca="true">RAND()</f>
        <v>0.303706171441577</v>
      </c>
      <c r="Q209" s="54" t="n">
        <f aca="true">RAND()</f>
        <v>0.127016086061284</v>
      </c>
      <c r="R209" s="54" t="n">
        <f aca="true">RAND()</f>
        <v>0.685323570161901</v>
      </c>
      <c r="S209" s="54" t="n">
        <f aca="true">RAND()</f>
        <v>0.0535588125863054</v>
      </c>
      <c r="T209" s="54" t="n">
        <f aca="true">RAND()</f>
        <v>0.24988526180813</v>
      </c>
      <c r="U209" s="54" t="n">
        <f aca="true">RAND()</f>
        <v>0.796383868851999</v>
      </c>
    </row>
    <row r="210" customFormat="false" ht="15" hidden="false" customHeight="false" outlineLevel="0" collapsed="false">
      <c r="A210" s="50" t="n">
        <v>130</v>
      </c>
      <c r="B210" s="51" t="n">
        <f aca="false">1+IF($G$6=$E$6,$F$6,IF(P210&lt;($F$6-$E$6)/($G$6-$E$6),$E$6+SQRT(P210*($G$6-$E$6)*($F$6-$E$6)),$G$6-SQRT((1-P210)*($G$6-$E$6)*($G$6-$F$6))))</f>
        <v>0.966340698233352</v>
      </c>
      <c r="C210" s="51" t="n">
        <f aca="false">1+IF($G$7=$E$7,$F$7,IF(Q210&lt;($F$7-$E$7)/($G$7-$E$7),$E$7+SQRT(Q210*($G$7-$E$7)*($F$7-$E$7)),$G$7-SQRT((1-Q210)*($G$7-$E$7)*($G$7-$F$7))))</f>
        <v>1.03178519738319</v>
      </c>
      <c r="D210" s="51" t="n">
        <f aca="false">1+IF($G$8=$E$8,$F$8,IF(R210&lt;($F$8-$E$8)/($G$8-$E$8),$E$8+SQRT(R210*($G$8-$E$8)*($F$8-$E$8)),$G$8-SQRT((1-R210)*($G$8-$E$8)*($G$8-$F$8))))</f>
        <v>1.01379282989296</v>
      </c>
      <c r="E210" s="51" t="n">
        <f aca="false">1+IF($G$9=$E$9,$F$9,IF(S210&lt;($F$9-$E$9)/($G$9-$E$9),$E$9+SQRT(S210*($G$9-$E$9)*($F$9-$E$9)),$G$9-SQRT((1-S210)*($G$9-$E$9)*($G$9-$F$9))))</f>
        <v>0.99297797176786</v>
      </c>
      <c r="F210" s="51" t="n">
        <f aca="false">1+IF($G$10=$E$10,$F$10,IF(T210&lt;($F$10-$E$10)/($G$10-$E$10),$E$10+SQRT(T210*($G$10-$E$10)*($F$10-$E$10)),$G$10-SQRT((1-T210)*($G$10-$E$10)*($G$10-$F$10))))</f>
        <v>1.01228534385032</v>
      </c>
      <c r="G210" s="52" t="n">
        <f aca="false">IF($G$11=$E$11,$F$11,IF(U210&lt;($F$11-$E$11)/($G$11-$E$11),$E$11+SQRT(U210*($G$11-$E$11)*($F$11-$E$11)),$G$11-SQRT((1-U210)*($G$11-$E$11)*($G$11-$F$11))))</f>
        <v>0.103220676711947</v>
      </c>
      <c r="H210" s="53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-2024570687.70064</v>
      </c>
      <c r="I210" s="53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-12933444.8999418</v>
      </c>
      <c r="J210" s="53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268250496.665485</v>
      </c>
      <c r="K210" s="53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600048705.423428</v>
      </c>
      <c r="L210" s="53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728234942.275202</v>
      </c>
      <c r="M210" s="53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917755352.090009</v>
      </c>
      <c r="N210" s="53" t="n">
        <f aca="false">IF(COUNT('Business Case'!B11:G11)=0,"",H210+NPV(G210,I210:M210))</f>
        <v>-315807578.457681</v>
      </c>
      <c r="P210" s="54" t="n">
        <f aca="true">RAND()</f>
        <v>0.293405882805914</v>
      </c>
      <c r="Q210" s="54" t="n">
        <f aca="true">RAND()</f>
        <v>0.792966821366951</v>
      </c>
      <c r="R210" s="54" t="n">
        <f aca="true">RAND()</f>
        <v>0.504554921475695</v>
      </c>
      <c r="S210" s="54" t="n">
        <f aca="true">RAND()</f>
        <v>0.345796129362601</v>
      </c>
      <c r="T210" s="54" t="n">
        <f aca="true">RAND()</f>
        <v>0.246556563355191</v>
      </c>
      <c r="U210" s="54" t="n">
        <f aca="true">RAND()</f>
        <v>0.521911896155949</v>
      </c>
    </row>
    <row r="211" customFormat="false" ht="15" hidden="false" customHeight="false" outlineLevel="0" collapsed="false">
      <c r="A211" s="50" t="n">
        <v>131</v>
      </c>
      <c r="B211" s="51" t="n">
        <f aca="false">1+IF($G$6=$E$6,$F$6,IF(P211&lt;($F$6-$E$6)/($G$6-$E$6),$E$6+SQRT(P211*($G$6-$E$6)*($F$6-$E$6)),$G$6-SQRT((1-P211)*($G$6-$E$6)*($G$6-$F$6))))</f>
        <v>1.00211287230726</v>
      </c>
      <c r="C211" s="51" t="n">
        <f aca="false">1+IF($G$7=$E$7,$F$7,IF(Q211&lt;($F$7-$E$7)/($G$7-$E$7),$E$7+SQRT(Q211*($G$7-$E$7)*($F$7-$E$7)),$G$7-SQRT((1-Q211)*($G$7-$E$7)*($G$7-$F$7))))</f>
        <v>1.00606860619894</v>
      </c>
      <c r="D211" s="51" t="n">
        <f aca="false">1+IF($G$8=$E$8,$F$8,IF(R211&lt;($F$8-$E$8)/($G$8-$E$8),$E$8+SQRT(R211*($G$8-$E$8)*($F$8-$E$8)),$G$8-SQRT((1-R211)*($G$8-$E$8)*($G$8-$F$8))))</f>
        <v>0.979448785875652</v>
      </c>
      <c r="E211" s="51" t="n">
        <f aca="false">1+IF($G$9=$E$9,$F$9,IF(S211&lt;($F$9-$E$9)/($G$9-$E$9),$E$9+SQRT(S211*($G$9-$E$9)*($F$9-$E$9)),$G$9-SQRT((1-S211)*($G$9-$E$9)*($G$9-$F$9))))</f>
        <v>1.0595125548064</v>
      </c>
      <c r="F211" s="51" t="n">
        <f aca="false">1+IF($G$10=$E$10,$F$10,IF(T211&lt;($F$10-$E$10)/($G$10-$E$10),$E$10+SQRT(T211*($G$10-$E$10)*($F$10-$E$10)),$G$10-SQRT((1-T211)*($G$10-$E$10)*($G$10-$F$10))))</f>
        <v>0.987426864595907</v>
      </c>
      <c r="G211" s="52" t="n">
        <f aca="false">IF($G$11=$E$11,$F$11,IF(U211&lt;($F$11-$E$11)/($G$11-$E$11),$E$11+SQRT(U211*($G$11-$E$11)*($F$11-$E$11)),$G$11-SQRT((1-U211)*($G$11-$E$11)*($G$11-$F$11))))</f>
        <v>0.101405785625627</v>
      </c>
      <c r="H211" s="53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-1974853729.19182</v>
      </c>
      <c r="I211" s="53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19671339.8498896</v>
      </c>
      <c r="J211" s="53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341012844.00093</v>
      </c>
      <c r="K211" s="53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711725691.381766</v>
      </c>
      <c r="L211" s="53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853682721.13084</v>
      </c>
      <c r="M211" s="53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1045320293.80717</v>
      </c>
      <c r="N211" s="53" t="n">
        <f aca="false">IF(COUNT('Business Case'!B11:G11)=0,"",H211+NPV(G211,I211:M211))</f>
        <v>81837129.2275317</v>
      </c>
      <c r="P211" s="54" t="n">
        <f aca="true">RAND()</f>
        <v>0.694243066845218</v>
      </c>
      <c r="Q211" s="54" t="n">
        <f aca="true">RAND()</f>
        <v>0.693092650051632</v>
      </c>
      <c r="R211" s="54" t="n">
        <f aca="true">RAND()</f>
        <v>0.115630798606665</v>
      </c>
      <c r="S211" s="54" t="n">
        <f aca="true">RAND()</f>
        <v>0.781653926995604</v>
      </c>
      <c r="T211" s="54" t="n">
        <f aca="true">RAND()</f>
        <v>0.0933846795653597</v>
      </c>
      <c r="U211" s="54" t="n">
        <f aca="true">RAND()</f>
        <v>0.454913936208257</v>
      </c>
    </row>
    <row r="212" customFormat="false" ht="15" hidden="false" customHeight="false" outlineLevel="0" collapsed="false">
      <c r="A212" s="50" t="n">
        <v>132</v>
      </c>
      <c r="B212" s="51" t="n">
        <f aca="false">1+IF($G$6=$E$6,$F$6,IF(P212&lt;($F$6-$E$6)/($G$6-$E$6),$E$6+SQRT(P212*($G$6-$E$6)*($F$6-$E$6)),$G$6-SQRT((1-P212)*($G$6-$E$6)*($G$6-$F$6))))</f>
        <v>0.977401978429626</v>
      </c>
      <c r="C212" s="51" t="n">
        <f aca="false">1+IF($G$7=$E$7,$F$7,IF(Q212&lt;($F$7-$E$7)/($G$7-$E$7),$E$7+SQRT(Q212*($G$7-$E$7)*($F$7-$E$7)),$G$7-SQRT((1-Q212)*($G$7-$E$7)*($G$7-$F$7))))</f>
        <v>0.77756541613345</v>
      </c>
      <c r="D212" s="51" t="n">
        <f aca="false">1+IF($G$8=$E$8,$F$8,IF(R212&lt;($F$8-$E$8)/($G$8-$E$8),$E$8+SQRT(R212*($G$8-$E$8)*($F$8-$E$8)),$G$8-SQRT((1-R212)*($G$8-$E$8)*($G$8-$F$8))))</f>
        <v>0.954234166613261</v>
      </c>
      <c r="E212" s="51" t="n">
        <f aca="false">1+IF($G$9=$E$9,$F$9,IF(S212&lt;($F$9-$E$9)/($G$9-$E$9),$E$9+SQRT(S212*($G$9-$E$9)*($F$9-$E$9)),$G$9-SQRT((1-S212)*($G$9-$E$9)*($G$9-$F$9))))</f>
        <v>0.978233962517603</v>
      </c>
      <c r="F212" s="51" t="n">
        <f aca="false">1+IF($G$10=$E$10,$F$10,IF(T212&lt;($F$10-$E$10)/($G$10-$E$10),$E$10+SQRT(T212*($G$10-$E$10)*($F$10-$E$10)),$G$10-SQRT((1-T212)*($G$10-$E$10)*($G$10-$F$10))))</f>
        <v>1.02787655871999</v>
      </c>
      <c r="G212" s="52" t="n">
        <f aca="false">IF($G$11=$E$11,$F$11,IF(U212&lt;($F$11-$E$11)/($G$11-$E$11),$E$11+SQRT(U212*($G$11-$E$11)*($F$11-$E$11)),$G$11-SQRT((1-U212)*($G$11-$E$11)*($G$11-$F$11))))</f>
        <v>0.11901354206762</v>
      </c>
      <c r="H212" s="53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-2055753117.43997</v>
      </c>
      <c r="I212" s="53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-38634965.9895654</v>
      </c>
      <c r="J212" s="53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204020681.083236</v>
      </c>
      <c r="K212" s="53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498070156.092037</v>
      </c>
      <c r="L212" s="53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605220763.596548</v>
      </c>
      <c r="M212" s="53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749680418.57122</v>
      </c>
      <c r="N212" s="53" t="n">
        <f aca="false">IF(COUNT('Business Case'!B11:G11)=0,"",H212+NPV(G212,I212:M212))</f>
        <v>-758639322.455647</v>
      </c>
      <c r="P212" s="54" t="n">
        <f aca="true">RAND()</f>
        <v>0.399404417654682</v>
      </c>
      <c r="Q212" s="54" t="n">
        <f aca="true">RAND()</f>
        <v>0.0445658798515207</v>
      </c>
      <c r="R212" s="54" t="n">
        <f aca="true">RAND()</f>
        <v>0.00239042225451367</v>
      </c>
      <c r="S212" s="54" t="n">
        <f aca="true">RAND()</f>
        <v>0.244822115648228</v>
      </c>
      <c r="T212" s="54" t="n">
        <f aca="true">RAND()</f>
        <v>0.34214902445233</v>
      </c>
      <c r="U212" s="54" t="n">
        <f aca="true">RAND()</f>
        <v>0.919531828066701</v>
      </c>
    </row>
    <row r="213" customFormat="false" ht="15" hidden="false" customHeight="false" outlineLevel="0" collapsed="false">
      <c r="A213" s="50" t="n">
        <v>133</v>
      </c>
      <c r="B213" s="51" t="n">
        <f aca="false">1+IF($G$6=$E$6,$F$6,IF(P213&lt;($F$6-$E$6)/($G$6-$E$6),$E$6+SQRT(P213*($G$6-$E$6)*($F$6-$E$6)),$G$6-SQRT((1-P213)*($G$6-$E$6)*($G$6-$F$6))))</f>
        <v>0.988103191125164</v>
      </c>
      <c r="C213" s="51" t="n">
        <f aca="false">1+IF($G$7=$E$7,$F$7,IF(Q213&lt;($F$7-$E$7)/($G$7-$E$7),$E$7+SQRT(Q213*($G$7-$E$7)*($F$7-$E$7)),$G$7-SQRT((1-Q213)*($G$7-$E$7)*($G$7-$F$7))))</f>
        <v>1.04661773661871</v>
      </c>
      <c r="D213" s="51" t="n">
        <f aca="false">1+IF($G$8=$E$8,$F$8,IF(R213&lt;($F$8-$E$8)/($G$8-$E$8),$E$8+SQRT(R213*($G$8-$E$8)*($F$8-$E$8)),$G$8-SQRT((1-R213)*($G$8-$E$8)*($G$8-$F$8))))</f>
        <v>1.07387529719211</v>
      </c>
      <c r="E213" s="51" t="n">
        <f aca="false">1+IF($G$9=$E$9,$F$9,IF(S213&lt;($F$9-$E$9)/($G$9-$E$9),$E$9+SQRT(S213*($G$9-$E$9)*($F$9-$E$9)),$G$9-SQRT((1-S213)*($G$9-$E$9)*($G$9-$F$9))))</f>
        <v>0.979399483592793</v>
      </c>
      <c r="F213" s="51" t="n">
        <f aca="false">1+IF($G$10=$E$10,$F$10,IF(T213&lt;($F$10-$E$10)/($G$10-$E$10),$E$10+SQRT(T213*($G$10-$E$10)*($F$10-$E$10)),$G$10-SQRT((1-T213)*($G$10-$E$10)*($G$10-$F$10))))</f>
        <v>1.02331353920144</v>
      </c>
      <c r="G213" s="52" t="n">
        <f aca="false">IF($G$11=$E$11,$F$11,IF(U213&lt;($F$11-$E$11)/($G$11-$E$11),$E$11+SQRT(U213*($G$11-$E$11)*($F$11-$E$11)),$G$11-SQRT((1-U213)*($G$11-$E$11)*($G$11-$F$11))))</f>
        <v>0.0875060778737012</v>
      </c>
      <c r="H213" s="53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-2046627078.40288</v>
      </c>
      <c r="I213" s="53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-23522257.0060153</v>
      </c>
      <c r="J213" s="53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248168628.785877</v>
      </c>
      <c r="K213" s="53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571025191.537842</v>
      </c>
      <c r="L213" s="53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697329608.342386</v>
      </c>
      <c r="M213" s="53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893903943.482238</v>
      </c>
      <c r="N213" s="53" t="n">
        <f aca="false">IF(COUNT('Business Case'!B11:G11)=0,"",H213+NPV(G213,I213:M213))</f>
        <v>-328220749.919367</v>
      </c>
      <c r="P213" s="54" t="n">
        <f aca="true">RAND()</f>
        <v>0.517478152429144</v>
      </c>
      <c r="Q213" s="54" t="n">
        <f aca="true">RAND()</f>
        <v>0.841660853602386</v>
      </c>
      <c r="R213" s="54" t="n">
        <f aca="true">RAND()</f>
        <v>0.954499993546634</v>
      </c>
      <c r="S213" s="54" t="n">
        <f aca="true">RAND()</f>
        <v>0.252171119792089</v>
      </c>
      <c r="T213" s="54" t="n">
        <f aca="true">RAND()</f>
        <v>0.314843313208308</v>
      </c>
      <c r="U213" s="54" t="n">
        <f aca="true">RAND()</f>
        <v>0.0563412050460671</v>
      </c>
    </row>
    <row r="214" customFormat="false" ht="15" hidden="false" customHeight="false" outlineLevel="0" collapsed="false">
      <c r="A214" s="50" t="n">
        <v>134</v>
      </c>
      <c r="B214" s="51" t="n">
        <f aca="false">1+IF($G$6=$E$6,$F$6,IF(P214&lt;($F$6-$E$6)/($G$6-$E$6),$E$6+SQRT(P214*($G$6-$E$6)*($F$6-$E$6)),$G$6-SQRT((1-P214)*($G$6-$E$6)*($G$6-$F$6))))</f>
        <v>0.985262685507193</v>
      </c>
      <c r="C214" s="51" t="n">
        <f aca="false">1+IF($G$7=$E$7,$F$7,IF(Q214&lt;($F$7-$E$7)/($G$7-$E$7),$E$7+SQRT(Q214*($G$7-$E$7)*($F$7-$E$7)),$G$7-SQRT((1-Q214)*($G$7-$E$7)*($G$7-$F$7))))</f>
        <v>0.990114682867442</v>
      </c>
      <c r="D214" s="51" t="n">
        <f aca="false">1+IF($G$8=$E$8,$F$8,IF(R214&lt;($F$8-$E$8)/($G$8-$E$8),$E$8+SQRT(R214*($G$8-$E$8)*($F$8-$E$8)),$G$8-SQRT((1-R214)*($G$8-$E$8)*($G$8-$F$8))))</f>
        <v>0.984030071683676</v>
      </c>
      <c r="E214" s="51" t="n">
        <f aca="false">1+IF($G$9=$E$9,$F$9,IF(S214&lt;($F$9-$E$9)/($G$9-$E$9),$E$9+SQRT(S214*($G$9-$E$9)*($F$9-$E$9)),$G$9-SQRT((1-S214)*($G$9-$E$9)*($G$9-$F$9))))</f>
        <v>0.924234474416033</v>
      </c>
      <c r="F214" s="51" t="n">
        <f aca="false">1+IF($G$10=$E$10,$F$10,IF(T214&lt;($F$10-$E$10)/($G$10-$E$10),$E$10+SQRT(T214*($G$10-$E$10)*($F$10-$E$10)),$G$10-SQRT((1-T214)*($G$10-$E$10)*($G$10-$F$10))))</f>
        <v>1.02919145946729</v>
      </c>
      <c r="G214" s="52" t="n">
        <f aca="false">IF($G$11=$E$11,$F$11,IF(U214&lt;($F$11-$E$11)/($G$11-$E$11),$E$11+SQRT(U214*($G$11-$E$11)*($F$11-$E$11)),$G$11-SQRT((1-U214)*($G$11-$E$11)*($G$11-$F$11))))</f>
        <v>0.0979114437947713</v>
      </c>
      <c r="H214" s="53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-2058382918.93458</v>
      </c>
      <c r="I214" s="53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15342215.1275798</v>
      </c>
      <c r="J214" s="53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315600833.448532</v>
      </c>
      <c r="K214" s="53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667319024.742849</v>
      </c>
      <c r="L214" s="53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801119307.506289</v>
      </c>
      <c r="M214" s="53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986546729.116796</v>
      </c>
      <c r="N214" s="53" t="n">
        <f aca="false">IF(COUNT('Business Case'!B11:G11)=0,"",H214+NPV(G214,I214:M214))</f>
        <v>-108587868.008921</v>
      </c>
      <c r="P214" s="54" t="n">
        <f aca="true">RAND()</f>
        <v>0.48464836932657</v>
      </c>
      <c r="Q214" s="54" t="n">
        <f aca="true">RAND()</f>
        <v>0.623455771965013</v>
      </c>
      <c r="R214" s="54" t="n">
        <f aca="true">RAND()</f>
        <v>0.154406103839486</v>
      </c>
      <c r="S214" s="54" t="n">
        <f aca="true">RAND()</f>
        <v>0.0234923900088547</v>
      </c>
      <c r="T214" s="54" t="n">
        <f aca="true">RAND()</f>
        <v>0.349914512370855</v>
      </c>
      <c r="U214" s="54" t="n">
        <f aca="true">RAND()</f>
        <v>0.320819818813249</v>
      </c>
    </row>
    <row r="215" customFormat="false" ht="15" hidden="false" customHeight="false" outlineLevel="0" collapsed="false">
      <c r="A215" s="50" t="n">
        <v>135</v>
      </c>
      <c r="B215" s="51" t="n">
        <f aca="false">1+IF($G$6=$E$6,$F$6,IF(P215&lt;($F$6-$E$6)/($G$6-$E$6),$E$6+SQRT(P215*($G$6-$E$6)*($F$6-$E$6)),$G$6-SQRT((1-P215)*($G$6-$E$6)*($G$6-$F$6))))</f>
        <v>0.960078748102046</v>
      </c>
      <c r="C215" s="51" t="n">
        <f aca="false">1+IF($G$7=$E$7,$F$7,IF(Q215&lt;($F$7-$E$7)/($G$7-$E$7),$E$7+SQRT(Q215*($G$7-$E$7)*($F$7-$E$7)),$G$7-SQRT((1-Q215)*($G$7-$E$7)*($G$7-$F$7))))</f>
        <v>1.00941246149961</v>
      </c>
      <c r="D215" s="51" t="n">
        <f aca="false">1+IF($G$8=$E$8,$F$8,IF(R215&lt;($F$8-$E$8)/($G$8-$E$8),$E$8+SQRT(R215*($G$8-$E$8)*($F$8-$E$8)),$G$8-SQRT((1-R215)*($G$8-$E$8)*($G$8-$F$8))))</f>
        <v>1.02223638107721</v>
      </c>
      <c r="E215" s="51" t="n">
        <f aca="false">1+IF($G$9=$E$9,$F$9,IF(S215&lt;($F$9-$E$9)/($G$9-$E$9),$E$9+SQRT(S215*($G$9-$E$9)*($F$9-$E$9)),$G$9-SQRT((1-S215)*($G$9-$E$9)*($G$9-$F$9))))</f>
        <v>1.07349290890056</v>
      </c>
      <c r="F215" s="51" t="n">
        <f aca="false">1+IF($G$10=$E$10,$F$10,IF(T215&lt;($F$10-$E$10)/($G$10-$E$10),$E$10+SQRT(T215*($G$10-$E$10)*($F$10-$E$10)),$G$10-SQRT((1-T215)*($G$10-$E$10)*($G$10-$F$10))))</f>
        <v>0.986486586051882</v>
      </c>
      <c r="G215" s="52" t="n">
        <f aca="false">IF($G$11=$E$11,$F$11,IF(U215&lt;($F$11-$E$11)/($G$11-$E$11),$E$11+SQRT(U215*($G$11-$E$11)*($F$11-$E$11)),$G$11-SQRT((1-U215)*($G$11-$E$11)*($G$11-$F$11))))</f>
        <v>0.09812870259433</v>
      </c>
      <c r="H215" s="53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-1972973172.10376</v>
      </c>
      <c r="I215" s="53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-35991783.3868595</v>
      </c>
      <c r="J215" s="53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229554728.52722</v>
      </c>
      <c r="K215" s="53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544425569.743892</v>
      </c>
      <c r="L215" s="53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666433703.748646</v>
      </c>
      <c r="M215" s="53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850643168.932313</v>
      </c>
      <c r="N215" s="53" t="n">
        <f aca="false">IF(COUNT('Business Case'!B11:G11)=0,"",H215+NPV(G215,I215:M215))</f>
        <v>-413265349.830839</v>
      </c>
      <c r="P215" s="54" t="n">
        <f aca="true">RAND()</f>
        <v>0.240630398233942</v>
      </c>
      <c r="Q215" s="54" t="n">
        <f aca="true">RAND()</f>
        <v>0.707187318791112</v>
      </c>
      <c r="R215" s="54" t="n">
        <f aca="true">RAND()</f>
        <v>0.596854638135391</v>
      </c>
      <c r="S215" s="54" t="n">
        <f aca="true">RAND()</f>
        <v>0.843911066973379</v>
      </c>
      <c r="T215" s="54" t="n">
        <f aca="true">RAND()</f>
        <v>0.0887513974480947</v>
      </c>
      <c r="U215" s="54" t="n">
        <f aca="true">RAND()</f>
        <v>0.328649857753669</v>
      </c>
    </row>
    <row r="216" customFormat="false" ht="15" hidden="false" customHeight="false" outlineLevel="0" collapsed="false">
      <c r="A216" s="50" t="n">
        <v>136</v>
      </c>
      <c r="B216" s="51" t="n">
        <f aca="false">1+IF($G$6=$E$6,$F$6,IF(P216&lt;($F$6-$E$6)/($G$6-$E$6),$E$6+SQRT(P216*($G$6-$E$6)*($F$6-$E$6)),$G$6-SQRT((1-P216)*($G$6-$E$6)*($G$6-$F$6))))</f>
        <v>0.977120779559123</v>
      </c>
      <c r="C216" s="51" t="n">
        <f aca="false">1+IF($G$7=$E$7,$F$7,IF(Q216&lt;($F$7-$E$7)/($G$7-$E$7),$E$7+SQRT(Q216*($G$7-$E$7)*($F$7-$E$7)),$G$7-SQRT((1-Q216)*($G$7-$E$7)*($G$7-$F$7))))</f>
        <v>0.767190107035862</v>
      </c>
      <c r="D216" s="51" t="n">
        <f aca="false">1+IF($G$8=$E$8,$F$8,IF(R216&lt;($F$8-$E$8)/($G$8-$E$8),$E$8+SQRT(R216*($G$8-$E$8)*($F$8-$E$8)),$G$8-SQRT((1-R216)*($G$8-$E$8)*($G$8-$F$8))))</f>
        <v>1.03890039975082</v>
      </c>
      <c r="E216" s="51" t="n">
        <f aca="false">1+IF($G$9=$E$9,$F$9,IF(S216&lt;($F$9-$E$9)/($G$9-$E$9),$E$9+SQRT(S216*($G$9-$E$9)*($F$9-$E$9)),$G$9-SQRT((1-S216)*($G$9-$E$9)*($G$9-$F$9))))</f>
        <v>0.931253076472925</v>
      </c>
      <c r="F216" s="51" t="n">
        <f aca="false">1+IF($G$10=$E$10,$F$10,IF(T216&lt;($F$10-$E$10)/($G$10-$E$10),$E$10+SQRT(T216*($G$10-$E$10)*($F$10-$E$10)),$G$10-SQRT((1-T216)*($G$10-$E$10)*($G$10-$F$10))))</f>
        <v>1.04091006510167</v>
      </c>
      <c r="G216" s="52" t="n">
        <f aca="false">IF($G$11=$E$11,$F$11,IF(U216&lt;($F$11-$E$11)/($G$11-$E$11),$E$11+SQRT(U216*($G$11-$E$11)*($F$11-$E$11)),$G$11-SQRT((1-U216)*($G$11-$E$11)*($G$11-$F$11))))</f>
        <v>0.105077288325668</v>
      </c>
      <c r="H216" s="53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-2081820130.20334</v>
      </c>
      <c r="I216" s="53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-69387096.8135253</v>
      </c>
      <c r="J216" s="53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136602202.938054</v>
      </c>
      <c r="K216" s="53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394637005.944716</v>
      </c>
      <c r="L216" s="53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489207574.248901</v>
      </c>
      <c r="M216" s="53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631698650.377353</v>
      </c>
      <c r="N216" s="53" t="n">
        <f aca="false">IF(COUNT('Business Case'!B11:G11)=0,"",H216+NPV(G216,I216:M216))</f>
        <v>-1028977778.33117</v>
      </c>
      <c r="P216" s="54" t="n">
        <f aca="true">RAND()</f>
        <v>0.396507642653788</v>
      </c>
      <c r="Q216" s="54" t="n">
        <f aca="true">RAND()</f>
        <v>0.0334408183962266</v>
      </c>
      <c r="R216" s="54" t="n">
        <f aca="true">RAND()</f>
        <v>0.751122589959362</v>
      </c>
      <c r="S216" s="54" t="n">
        <f aca="true">RAND()</f>
        <v>0.039070191560901</v>
      </c>
      <c r="T216" s="54" t="n">
        <f aca="true">RAND()</f>
        <v>0.417085321656174</v>
      </c>
      <c r="U216" s="54" t="n">
        <f aca="true">RAND()</f>
        <v>0.585905628532088</v>
      </c>
    </row>
    <row r="217" customFormat="false" ht="15" hidden="false" customHeight="false" outlineLevel="0" collapsed="false">
      <c r="A217" s="50" t="n">
        <v>137</v>
      </c>
      <c r="B217" s="51" t="n">
        <f aca="false">1+IF($G$6=$E$6,$F$6,IF(P217&lt;($F$6-$E$6)/($G$6-$E$6),$E$6+SQRT(P217*($G$6-$E$6)*($F$6-$E$6)),$G$6-SQRT((1-P217)*($G$6-$E$6)*($G$6-$F$6))))</f>
        <v>0.960296831646183</v>
      </c>
      <c r="C217" s="51" t="n">
        <f aca="false">1+IF($G$7=$E$7,$F$7,IF(Q217&lt;($F$7-$E$7)/($G$7-$E$7),$E$7+SQRT(Q217*($G$7-$E$7)*($F$7-$E$7)),$G$7-SQRT((1-Q217)*($G$7-$E$7)*($G$7-$F$7))))</f>
        <v>0.902273185346851</v>
      </c>
      <c r="D217" s="51" t="n">
        <f aca="false">1+IF($G$8=$E$8,$F$8,IF(R217&lt;($F$8-$E$8)/($G$8-$E$8),$E$8+SQRT(R217*($G$8-$E$8)*($F$8-$E$8)),$G$8-SQRT((1-R217)*($G$8-$E$8)*($G$8-$F$8))))</f>
        <v>0.998804854318102</v>
      </c>
      <c r="E217" s="51" t="n">
        <f aca="false">1+IF($G$9=$E$9,$F$9,IF(S217&lt;($F$9-$E$9)/($G$9-$E$9),$E$9+SQRT(S217*($G$9-$E$9)*($F$9-$E$9)),$G$9-SQRT((1-S217)*($G$9-$E$9)*($G$9-$F$9))))</f>
        <v>1.07151900105687</v>
      </c>
      <c r="F217" s="51" t="n">
        <f aca="false">1+IF($G$10=$E$10,$F$10,IF(T217&lt;($F$10-$E$10)/($G$10-$E$10),$E$10+SQRT(T217*($G$10-$E$10)*($F$10-$E$10)),$G$10-SQRT((1-T217)*($G$10-$E$10)*($G$10-$F$10))))</f>
        <v>0.975338387176233</v>
      </c>
      <c r="G217" s="52" t="n">
        <f aca="false">IF($G$11=$E$11,$F$11,IF(U217&lt;($F$11-$E$11)/($G$11-$E$11),$E$11+SQRT(U217*($G$11-$E$11)*($F$11-$E$11)),$G$11-SQRT((1-U217)*($G$11-$E$11)*($G$11-$F$11))))</f>
        <v>0.088065815336815</v>
      </c>
      <c r="H217" s="53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-1950676774.35247</v>
      </c>
      <c r="I217" s="53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-46475273.1784034</v>
      </c>
      <c r="J217" s="53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201870066.518847</v>
      </c>
      <c r="K217" s="53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498982325.574909</v>
      </c>
      <c r="L217" s="53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611708620.279154</v>
      </c>
      <c r="M217" s="53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776403451.707547</v>
      </c>
      <c r="N217" s="53" t="n">
        <f aca="false">IF(COUNT('Business Case'!B11:G11)=0,"",H217+NPV(G217,I217:M217))</f>
        <v>-489962073.616427</v>
      </c>
      <c r="P217" s="54" t="n">
        <f aca="true">RAND()</f>
        <v>0.242380527104542</v>
      </c>
      <c r="Q217" s="54" t="n">
        <f aca="true">RAND()</f>
        <v>0.30306993711379</v>
      </c>
      <c r="R217" s="54" t="n">
        <f aca="true">RAND()</f>
        <v>0.317588507334819</v>
      </c>
      <c r="S217" s="54" t="n">
        <f aca="true">RAND()</f>
        <v>0.835752874797027</v>
      </c>
      <c r="T217" s="54" t="n">
        <f aca="true">RAND()</f>
        <v>0.0428022576461779</v>
      </c>
      <c r="U217" s="54" t="n">
        <f aca="true">RAND()</f>
        <v>0.0650573770476006</v>
      </c>
    </row>
    <row r="218" customFormat="false" ht="15" hidden="false" customHeight="false" outlineLevel="0" collapsed="false">
      <c r="A218" s="50" t="n">
        <v>138</v>
      </c>
      <c r="B218" s="51" t="n">
        <f aca="false">1+IF($G$6=$E$6,$F$6,IF(P218&lt;($F$6-$E$6)/($G$6-$E$6),$E$6+SQRT(P218*($G$6-$E$6)*($F$6-$E$6)),$G$6-SQRT((1-P218)*($G$6-$E$6)*($G$6-$F$6))))</f>
        <v>0.962069572267887</v>
      </c>
      <c r="C218" s="51" t="n">
        <f aca="false">1+IF($G$7=$E$7,$F$7,IF(Q218&lt;($F$7-$E$7)/($G$7-$E$7),$E$7+SQRT(Q218*($G$7-$E$7)*($F$7-$E$7)),$G$7-SQRT((1-Q218)*($G$7-$E$7)*($G$7-$F$7))))</f>
        <v>0.99393282752667</v>
      </c>
      <c r="D218" s="51" t="n">
        <f aca="false">1+IF($G$8=$E$8,$F$8,IF(R218&lt;($F$8-$E$8)/($G$8-$E$8),$E$8+SQRT(R218*($G$8-$E$8)*($F$8-$E$8)),$G$8-SQRT((1-R218)*($G$8-$E$8)*($G$8-$F$8))))</f>
        <v>1.07512816601835</v>
      </c>
      <c r="E218" s="51" t="n">
        <f aca="false">1+IF($G$9=$E$9,$F$9,IF(S218&lt;($F$9-$E$9)/($G$9-$E$9),$E$9+SQRT(S218*($G$9-$E$9)*($F$9-$E$9)),$G$9-SQRT((1-S218)*($G$9-$E$9)*($G$9-$F$9))))</f>
        <v>1.00804162252923</v>
      </c>
      <c r="F218" s="51" t="n">
        <f aca="false">1+IF($G$10=$E$10,$F$10,IF(T218&lt;($F$10-$E$10)/($G$10-$E$10),$E$10+SQRT(T218*($G$10-$E$10)*($F$10-$E$10)),$G$10-SQRT((1-T218)*($G$10-$E$10)*($G$10-$F$10))))</f>
        <v>0.971252863778016</v>
      </c>
      <c r="G218" s="52" t="n">
        <f aca="false">IF($G$11=$E$11,$F$11,IF(U218&lt;($F$11-$E$11)/($G$11-$E$11),$E$11+SQRT(U218*($G$11-$E$11)*($F$11-$E$11)),$G$11-SQRT((1-U218)*($G$11-$E$11)*($G$11-$F$11))))</f>
        <v>0.111635482526469</v>
      </c>
      <c r="H218" s="53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-1942505727.55603</v>
      </c>
      <c r="I218" s="53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-53856971.1830381</v>
      </c>
      <c r="J218" s="53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182325957.103106</v>
      </c>
      <c r="K218" s="53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467071528.578151</v>
      </c>
      <c r="L218" s="53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578846567.585349</v>
      </c>
      <c r="M218" s="53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760607246.933671</v>
      </c>
      <c r="N218" s="53" t="n">
        <f aca="false">IF(COUNT('Business Case'!B11:G11)=0,"",H218+NPV(G218,I218:M218))</f>
        <v>-676258061.09688</v>
      </c>
      <c r="P218" s="54" t="n">
        <f aca="true">RAND()</f>
        <v>0.256842120101233</v>
      </c>
      <c r="Q218" s="54" t="n">
        <f aca="true">RAND()</f>
        <v>0.639974126650541</v>
      </c>
      <c r="R218" s="54" t="n">
        <f aca="true">RAND()</f>
        <v>0.95875945829261</v>
      </c>
      <c r="S218" s="54" t="n">
        <f aca="true">RAND()</f>
        <v>0.462608508423084</v>
      </c>
      <c r="T218" s="54" t="n">
        <f aca="true">RAND()</f>
        <v>0.0301122812511279</v>
      </c>
      <c r="U218" s="54" t="n">
        <f aca="true">RAND()</f>
        <v>0.775162998642906</v>
      </c>
    </row>
    <row r="219" customFormat="false" ht="15" hidden="false" customHeight="false" outlineLevel="0" collapsed="false">
      <c r="A219" s="50" t="n">
        <v>139</v>
      </c>
      <c r="B219" s="51" t="n">
        <f aca="false">1+IF($G$6=$E$6,$F$6,IF(P219&lt;($F$6-$E$6)/($G$6-$E$6),$E$6+SQRT(P219*($G$6-$E$6)*($F$6-$E$6)),$G$6-SQRT((1-P219)*($G$6-$E$6)*($G$6-$F$6))))</f>
        <v>0.986183451051224</v>
      </c>
      <c r="C219" s="51" t="n">
        <f aca="false">1+IF($G$7=$E$7,$F$7,IF(Q219&lt;($F$7-$E$7)/($G$7-$E$7),$E$7+SQRT(Q219*($G$7-$E$7)*($F$7-$E$7)),$G$7-SQRT((1-Q219)*($G$7-$E$7)*($G$7-$F$7))))</f>
        <v>1.00918553067625</v>
      </c>
      <c r="D219" s="51" t="n">
        <f aca="false">1+IF($G$8=$E$8,$F$8,IF(R219&lt;($F$8-$E$8)/($G$8-$E$8),$E$8+SQRT(R219*($G$8-$E$8)*($F$8-$E$8)),$G$8-SQRT((1-R219)*($G$8-$E$8)*($G$8-$F$8))))</f>
        <v>1.01535588192785</v>
      </c>
      <c r="E219" s="51" t="n">
        <f aca="false">1+IF($G$9=$E$9,$F$9,IF(S219&lt;($F$9-$E$9)/($G$9-$E$9),$E$9+SQRT(S219*($G$9-$E$9)*($F$9-$E$9)),$G$9-SQRT((1-S219)*($G$9-$E$9)*($G$9-$F$9))))</f>
        <v>0.938929567136129</v>
      </c>
      <c r="F219" s="51" t="n">
        <f aca="false">1+IF($G$10=$E$10,$F$10,IF(T219&lt;($F$10-$E$10)/($G$10-$E$10),$E$10+SQRT(T219*($G$10-$E$10)*($F$10-$E$10)),$G$10-SQRT((1-T219)*($G$10-$E$10)*($G$10-$F$10))))</f>
        <v>1.16877533561266</v>
      </c>
      <c r="G219" s="52" t="n">
        <f aca="false">IF($G$11=$E$11,$F$11,IF(U219&lt;($F$11-$E$11)/($G$11-$E$11),$E$11+SQRT(U219*($G$11-$E$11)*($F$11-$E$11)),$G$11-SQRT((1-U219)*($G$11-$E$11)*($G$11-$F$11))))</f>
        <v>0.101601279076854</v>
      </c>
      <c r="H219" s="53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-2337550671.22532</v>
      </c>
      <c r="I219" s="53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-11367201.8647772</v>
      </c>
      <c r="J219" s="53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279252263.155816</v>
      </c>
      <c r="K219" s="53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628310494.957042</v>
      </c>
      <c r="L219" s="53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759579215.882138</v>
      </c>
      <c r="M219" s="53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948754828.432409</v>
      </c>
      <c r="N219" s="53" t="n">
        <f aca="false">IF(COUNT('Business Case'!B11:G11)=0,"",H219+NPV(G219,I219:M219))</f>
        <v>-547123660.944233</v>
      </c>
      <c r="P219" s="54" t="n">
        <f aca="true">RAND()</f>
        <v>0.495172482339913</v>
      </c>
      <c r="Q219" s="54" t="n">
        <f aca="true">RAND()</f>
        <v>0.706241262652887</v>
      </c>
      <c r="R219" s="54" t="n">
        <f aca="true">RAND()</f>
        <v>0.522358218385878</v>
      </c>
      <c r="S219" s="54" t="n">
        <f aca="true">RAND()</f>
        <v>0.0606204478962555</v>
      </c>
      <c r="T219" s="54" t="n">
        <f aca="true">RAND()</f>
        <v>0.912034051935522</v>
      </c>
      <c r="U219" s="54" t="n">
        <f aca="true">RAND()</f>
        <v>0.462341766619519</v>
      </c>
    </row>
    <row r="220" customFormat="false" ht="15" hidden="false" customHeight="false" outlineLevel="0" collapsed="false">
      <c r="A220" s="50" t="n">
        <v>140</v>
      </c>
      <c r="B220" s="51" t="n">
        <f aca="false">1+IF($G$6=$E$6,$F$6,IF(P220&lt;($F$6-$E$6)/($G$6-$E$6),$E$6+SQRT(P220*($G$6-$E$6)*($F$6-$E$6)),$G$6-SQRT((1-P220)*($G$6-$E$6)*($G$6-$F$6))))</f>
        <v>1.00653351816454</v>
      </c>
      <c r="C220" s="51" t="n">
        <f aca="false">1+IF($G$7=$E$7,$F$7,IF(Q220&lt;($F$7-$E$7)/($G$7-$E$7),$E$7+SQRT(Q220*($G$7-$E$7)*($F$7-$E$7)),$G$7-SQRT((1-Q220)*($G$7-$E$7)*($G$7-$F$7))))</f>
        <v>0.878643833493021</v>
      </c>
      <c r="D220" s="51" t="n">
        <f aca="false">1+IF($G$8=$E$8,$F$8,IF(R220&lt;($F$8-$E$8)/($G$8-$E$8),$E$8+SQRT(R220*($G$8-$E$8)*($F$8-$E$8)),$G$8-SQRT((1-R220)*($G$8-$E$8)*($G$8-$F$8))))</f>
        <v>1.06637428479939</v>
      </c>
      <c r="E220" s="51" t="n">
        <f aca="false">1+IF($G$9=$E$9,$F$9,IF(S220&lt;($F$9-$E$9)/($G$9-$E$9),$E$9+SQRT(S220*($G$9-$E$9)*($F$9-$E$9)),$G$9-SQRT((1-S220)*($G$9-$E$9)*($G$9-$F$9))))</f>
        <v>0.984277001288919</v>
      </c>
      <c r="F220" s="51" t="n">
        <f aca="false">1+IF($G$10=$E$10,$F$10,IF(T220&lt;($F$10-$E$10)/($G$10-$E$10),$E$10+SQRT(T220*($G$10-$E$10)*($F$10-$E$10)),$G$10-SQRT((1-T220)*($G$10-$E$10)*($G$10-$F$10))))</f>
        <v>1.04088722251491</v>
      </c>
      <c r="G220" s="52" t="n">
        <f aca="false">IF($G$11=$E$11,$F$11,IF(U220&lt;($F$11-$E$11)/($G$11-$E$11),$E$11+SQRT(U220*($G$11-$E$11)*($F$11-$E$11)),$G$11-SQRT((1-U220)*($G$11-$E$11)*($G$11-$F$11))))</f>
        <v>0.0868565726704455</v>
      </c>
      <c r="H220" s="53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-2081774445.02981</v>
      </c>
      <c r="I220" s="53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-45175042.948037</v>
      </c>
      <c r="J220" s="53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199549316.808515</v>
      </c>
      <c r="K220" s="53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496318037.690812</v>
      </c>
      <c r="L220" s="53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608457151.522872</v>
      </c>
      <c r="M220" s="53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776560951.378856</v>
      </c>
      <c r="N220" s="53" t="n">
        <f aca="false">IF(COUNT('Business Case'!B11:G11)=0,"",H220+NPV(G220,I220:M220))</f>
        <v>-619719026.343857</v>
      </c>
      <c r="P220" s="54" t="n">
        <f aca="true">RAND()</f>
        <v>0.748088660913032</v>
      </c>
      <c r="Q220" s="54" t="n">
        <f aca="true">RAND()</f>
        <v>0.2363971795932</v>
      </c>
      <c r="R220" s="54" t="n">
        <f aca="true">RAND()</f>
        <v>0.924620751816477</v>
      </c>
      <c r="S220" s="54" t="n">
        <f aca="true">RAND()</f>
        <v>0.284104517850098</v>
      </c>
      <c r="T220" s="54" t="n">
        <f aca="true">RAND()</f>
        <v>0.416957950566267</v>
      </c>
      <c r="U220" s="54" t="n">
        <f aca="true">RAND()</f>
        <v>0.0470125887851004</v>
      </c>
    </row>
    <row r="221" customFormat="false" ht="15" hidden="false" customHeight="false" outlineLevel="0" collapsed="false">
      <c r="A221" s="50" t="n">
        <v>141</v>
      </c>
      <c r="B221" s="51" t="n">
        <f aca="false">1+IF($G$6=$E$6,$F$6,IF(P221&lt;($F$6-$E$6)/($G$6-$E$6),$E$6+SQRT(P221*($G$6-$E$6)*($F$6-$E$6)),$G$6-SQRT((1-P221)*($G$6-$E$6)*($G$6-$F$6))))</f>
        <v>0.971199757332625</v>
      </c>
      <c r="C221" s="51" t="n">
        <f aca="false">1+IF($G$7=$E$7,$F$7,IF(Q221&lt;($F$7-$E$7)/($G$7-$E$7),$E$7+SQRT(Q221*($G$7-$E$7)*($F$7-$E$7)),$G$7-SQRT((1-Q221)*($G$7-$E$7)*($G$7-$F$7))))</f>
        <v>0.942338209465422</v>
      </c>
      <c r="D221" s="51" t="n">
        <f aca="false">1+IF($G$8=$E$8,$F$8,IF(R221&lt;($F$8-$E$8)/($G$8-$E$8),$E$8+SQRT(R221*($G$8-$E$8)*($F$8-$E$8)),$G$8-SQRT((1-R221)*($G$8-$E$8)*($G$8-$F$8))))</f>
        <v>1.0091542284814</v>
      </c>
      <c r="E221" s="51" t="n">
        <f aca="false">1+IF($G$9=$E$9,$F$9,IF(S221&lt;($F$9-$E$9)/($G$9-$E$9),$E$9+SQRT(S221*($G$9-$E$9)*($F$9-$E$9)),$G$9-SQRT((1-S221)*($G$9-$E$9)*($G$9-$F$9))))</f>
        <v>1.0313953517148</v>
      </c>
      <c r="F221" s="51" t="n">
        <f aca="false">1+IF($G$10=$E$10,$F$10,IF(T221&lt;($F$10-$E$10)/($G$10-$E$10),$E$10+SQRT(T221*($G$10-$E$10)*($F$10-$E$10)),$G$10-SQRT((1-T221)*($G$10-$E$10)*($G$10-$F$10))))</f>
        <v>0.988227630139612</v>
      </c>
      <c r="G221" s="52" t="n">
        <f aca="false">IF($G$11=$E$11,$F$11,IF(U221&lt;($F$11-$E$11)/($G$11-$E$11),$E$11+SQRT(U221*($G$11-$E$11)*($F$11-$E$11)),$G$11-SQRT((1-U221)*($G$11-$E$11)*($G$11-$F$11))))</f>
        <v>0.109055264882657</v>
      </c>
      <c r="H221" s="53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-1976455260.27922</v>
      </c>
      <c r="I221" s="53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-30135291.0572097</v>
      </c>
      <c r="J221" s="53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232660497.429549</v>
      </c>
      <c r="K221" s="53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544867667.423289</v>
      </c>
      <c r="L221" s="53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664095528.596317</v>
      </c>
      <c r="M221" s="53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838056486.155581</v>
      </c>
      <c r="N221" s="53" t="n">
        <f aca="false">IF(COUNT('Business Case'!B11:G11)=0,"",H221+NPV(G221,I221:M221))</f>
        <v>-476631022.594795</v>
      </c>
      <c r="P221" s="54" t="n">
        <f aca="true">RAND()</f>
        <v>0.337960362948313</v>
      </c>
      <c r="Q221" s="54" t="n">
        <f aca="true">RAND()</f>
        <v>0.435020798273383</v>
      </c>
      <c r="R221" s="54" t="n">
        <f aca="true">RAND()</f>
        <v>0.449803053146062</v>
      </c>
      <c r="S221" s="54" t="n">
        <f aca="true">RAND()</f>
        <v>0.62487833080385</v>
      </c>
      <c r="T221" s="54" t="n">
        <f aca="true">RAND()</f>
        <v>0.0974234470727304</v>
      </c>
      <c r="U221" s="54" t="n">
        <f aca="true">RAND()</f>
        <v>0.707545380576215</v>
      </c>
    </row>
    <row r="222" customFormat="false" ht="15" hidden="false" customHeight="false" outlineLevel="0" collapsed="false">
      <c r="A222" s="50" t="n">
        <v>142</v>
      </c>
      <c r="B222" s="51" t="n">
        <f aca="false">1+IF($G$6=$E$6,$F$6,IF(P222&lt;($F$6-$E$6)/($G$6-$E$6),$E$6+SQRT(P222*($G$6-$E$6)*($F$6-$E$6)),$G$6-SQRT((1-P222)*($G$6-$E$6)*($G$6-$F$6))))</f>
        <v>0.983080563505663</v>
      </c>
      <c r="C222" s="51" t="n">
        <f aca="false">1+IF($G$7=$E$7,$F$7,IF(Q222&lt;($F$7-$E$7)/($G$7-$E$7),$E$7+SQRT(Q222*($G$7-$E$7)*($F$7-$E$7)),$G$7-SQRT((1-Q222)*($G$7-$E$7)*($G$7-$F$7))))</f>
        <v>0.779771003593061</v>
      </c>
      <c r="D222" s="51" t="n">
        <f aca="false">1+IF($G$8=$E$8,$F$8,IF(R222&lt;($F$8-$E$8)/($G$8-$E$8),$E$8+SQRT(R222*($G$8-$E$8)*($F$8-$E$8)),$G$8-SQRT((1-R222)*($G$8-$E$8)*($G$8-$F$8))))</f>
        <v>1.02898600245939</v>
      </c>
      <c r="E222" s="51" t="n">
        <f aca="false">1+IF($G$9=$E$9,$F$9,IF(S222&lt;($F$9-$E$9)/($G$9-$E$9),$E$9+SQRT(S222*($G$9-$E$9)*($F$9-$E$9)),$G$9-SQRT((1-S222)*($G$9-$E$9)*($G$9-$F$9))))</f>
        <v>0.987842429908938</v>
      </c>
      <c r="F222" s="51" t="n">
        <f aca="false">1+IF($G$10=$E$10,$F$10,IF(T222&lt;($F$10-$E$10)/($G$10-$E$10),$E$10+SQRT(T222*($G$10-$E$10)*($F$10-$E$10)),$G$10-SQRT((1-T222)*($G$10-$E$10)*($G$10-$F$10))))</f>
        <v>1.10890377554326</v>
      </c>
      <c r="G222" s="52" t="n">
        <f aca="false">IF($G$11=$E$11,$F$11,IF(U222&lt;($F$11-$E$11)/($G$11-$E$11),$E$11+SQRT(U222*($G$11-$E$11)*($F$11-$E$11)),$G$11-SQRT((1-U222)*($G$11-$E$11)*($G$11-$F$11))))</f>
        <v>0.0925743100193126</v>
      </c>
      <c r="H222" s="53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-2217807551.08652</v>
      </c>
      <c r="I222" s="53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-73969631.0526686</v>
      </c>
      <c r="J222" s="53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143161697.863338</v>
      </c>
      <c r="K222" s="53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415738215.556508</v>
      </c>
      <c r="L222" s="53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514608251.116043</v>
      </c>
      <c r="M222" s="53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660319343.680804</v>
      </c>
      <c r="N222" s="53" t="n">
        <f aca="false">IF(COUNT('Business Case'!B11:G11)=0,"",H222+NPV(G222,I222:M222))</f>
        <v>-1061550405.11469</v>
      </c>
      <c r="P222" s="54" t="n">
        <f aca="true">RAND()</f>
        <v>0.460158668827902</v>
      </c>
      <c r="Q222" s="54" t="n">
        <f aca="true">RAND()</f>
        <v>0.0471363926981045</v>
      </c>
      <c r="R222" s="54" t="n">
        <f aca="true">RAND()</f>
        <v>0.663800810220145</v>
      </c>
      <c r="S222" s="54" t="n">
        <f aca="true">RAND()</f>
        <v>0.308651699692269</v>
      </c>
      <c r="T222" s="54" t="n">
        <f aca="true">RAND()</f>
        <v>0.734558072587371</v>
      </c>
      <c r="U222" s="54" t="n">
        <f aca="true">RAND()</f>
        <v>0.158113272461785</v>
      </c>
    </row>
    <row r="223" customFormat="false" ht="15" hidden="false" customHeight="false" outlineLevel="0" collapsed="false">
      <c r="A223" s="50" t="n">
        <v>143</v>
      </c>
      <c r="B223" s="51" t="n">
        <f aca="false">1+IF($G$6=$E$6,$F$6,IF(P223&lt;($F$6-$E$6)/($G$6-$E$6),$E$6+SQRT(P223*($G$6-$E$6)*($F$6-$E$6)),$G$6-SQRT((1-P223)*($G$6-$E$6)*($G$6-$F$6))))</f>
        <v>0.972984653209623</v>
      </c>
      <c r="C223" s="51" t="n">
        <f aca="false">1+IF($G$7=$E$7,$F$7,IF(Q223&lt;($F$7-$E$7)/($G$7-$E$7),$E$7+SQRT(Q223*($G$7-$E$7)*($F$7-$E$7)),$G$7-SQRT((1-Q223)*($G$7-$E$7)*($G$7-$F$7))))</f>
        <v>1.11566870022969</v>
      </c>
      <c r="D223" s="51" t="n">
        <f aca="false">1+IF($G$8=$E$8,$F$8,IF(R223&lt;($F$8-$E$8)/($G$8-$E$8),$E$8+SQRT(R223*($G$8-$E$8)*($F$8-$E$8)),$G$8-SQRT((1-R223)*($G$8-$E$8)*($G$8-$F$8))))</f>
        <v>1.00351730887477</v>
      </c>
      <c r="E223" s="51" t="n">
        <f aca="false">1+IF($G$9=$E$9,$F$9,IF(S223&lt;($F$9-$E$9)/($G$9-$E$9),$E$9+SQRT(S223*($G$9-$E$9)*($F$9-$E$9)),$G$9-SQRT((1-S223)*($G$9-$E$9)*($G$9-$F$9))))</f>
        <v>1.05840607099695</v>
      </c>
      <c r="F223" s="51" t="n">
        <f aca="false">1+IF($G$10=$E$10,$F$10,IF(T223&lt;($F$10-$E$10)/($G$10-$E$10),$E$10+SQRT(T223*($G$10-$E$10)*($F$10-$E$10)),$G$10-SQRT((1-T223)*($G$10-$E$10)*($G$10-$F$10))))</f>
        <v>1.01550615136624</v>
      </c>
      <c r="G223" s="52" t="n">
        <f aca="false">IF($G$11=$E$11,$F$11,IF(U223&lt;($F$11-$E$11)/($G$11-$E$11),$E$11+SQRT(U223*($G$11-$E$11)*($F$11-$E$11)),$G$11-SQRT((1-U223)*($G$11-$E$11)*($G$11-$F$11))))</f>
        <v>0.0912697602794782</v>
      </c>
      <c r="H223" s="53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-2031012302.73247</v>
      </c>
      <c r="I223" s="53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7654289.00819816</v>
      </c>
      <c r="J223" s="53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323638335.101315</v>
      </c>
      <c r="K223" s="53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690397688.762744</v>
      </c>
      <c r="L223" s="53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833241569.895468</v>
      </c>
      <c r="M223" s="53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1039578831.62141</v>
      </c>
      <c r="N223" s="53" t="n">
        <f aca="false">IF(COUNT('Business Case'!B11:G11)=0,"",H223+NPV(G223,I223:M223))</f>
        <v>38303091.7266073</v>
      </c>
      <c r="P223" s="54" t="n">
        <f aca="true">RAND()</f>
        <v>0.355117306941931</v>
      </c>
      <c r="Q223" s="54" t="n">
        <f aca="true">RAND()</f>
        <v>0.982538694164168</v>
      </c>
      <c r="R223" s="54" t="n">
        <f aca="true">RAND()</f>
        <v>0.379406020882233</v>
      </c>
      <c r="S223" s="54" t="n">
        <f aca="true">RAND()</f>
        <v>0.776281391194266</v>
      </c>
      <c r="T223" s="54" t="n">
        <f aca="true">RAND()</f>
        <v>0.266835132705677</v>
      </c>
      <c r="U223" s="54" t="n">
        <f aca="true">RAND()</f>
        <v>0.127007496756903</v>
      </c>
    </row>
    <row r="224" customFormat="false" ht="15" hidden="false" customHeight="false" outlineLevel="0" collapsed="false">
      <c r="A224" s="50" t="n">
        <v>144</v>
      </c>
      <c r="B224" s="51" t="n">
        <f aca="false">1+IF($G$6=$E$6,$F$6,IF(P224&lt;($F$6-$E$6)/($G$6-$E$6),$E$6+SQRT(P224*($G$6-$E$6)*($F$6-$E$6)),$G$6-SQRT((1-P224)*($G$6-$E$6)*($G$6-$F$6))))</f>
        <v>1.01129310654419</v>
      </c>
      <c r="C224" s="51" t="n">
        <f aca="false">1+IF($G$7=$E$7,$F$7,IF(Q224&lt;($F$7-$E$7)/($G$7-$E$7),$E$7+SQRT(Q224*($G$7-$E$7)*($F$7-$E$7)),$G$7-SQRT((1-Q224)*($G$7-$E$7)*($G$7-$F$7))))</f>
        <v>0.930986610540618</v>
      </c>
      <c r="D224" s="51" t="n">
        <f aca="false">1+IF($G$8=$E$8,$F$8,IF(R224&lt;($F$8-$E$8)/($G$8-$E$8),$E$8+SQRT(R224*($G$8-$E$8)*($F$8-$E$8)),$G$8-SQRT((1-R224)*($G$8-$E$8)*($G$8-$F$8))))</f>
        <v>1.03042777256191</v>
      </c>
      <c r="E224" s="51" t="n">
        <f aca="false">1+IF($G$9=$E$9,$F$9,IF(S224&lt;($F$9-$E$9)/($G$9-$E$9),$E$9+SQRT(S224*($G$9-$E$9)*($F$9-$E$9)),$G$9-SQRT((1-S224)*($G$9-$E$9)*($G$9-$F$9))))</f>
        <v>0.990226872365212</v>
      </c>
      <c r="F224" s="51" t="n">
        <f aca="false">1+IF($G$10=$E$10,$F$10,IF(T224&lt;($F$10-$E$10)/($G$10-$E$10),$E$10+SQRT(T224*($G$10-$E$10)*($F$10-$E$10)),$G$10-SQRT((1-T224)*($G$10-$E$10)*($G$10-$F$10))))</f>
        <v>1.01615927989613</v>
      </c>
      <c r="G224" s="52" t="n">
        <f aca="false">IF($G$11=$E$11,$F$11,IF(U224&lt;($F$11-$E$11)/($G$11-$E$11),$E$11+SQRT(U224*($G$11-$E$11)*($F$11-$E$11)),$G$11-SQRT((1-U224)*($G$11-$E$11)*($G$11-$F$11))))</f>
        <v>0.0907763515147112</v>
      </c>
      <c r="H224" s="53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-2032318559.79225</v>
      </c>
      <c r="I224" s="53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-11169257.2593166</v>
      </c>
      <c r="J224" s="53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268895052.425952</v>
      </c>
      <c r="K224" s="53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599767326.106026</v>
      </c>
      <c r="L224" s="53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725660347.804208</v>
      </c>
      <c r="M224" s="53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904620732.721217</v>
      </c>
      <c r="N224" s="53" t="n">
        <f aca="false">IF(COUNT('Business Case'!B11:G11)=0,"",H224+NPV(G224,I224:M224))</f>
        <v>-255948364.584111</v>
      </c>
      <c r="P224" s="54" t="n">
        <f aca="true">RAND()</f>
        <v>0.800236853200097</v>
      </c>
      <c r="Q224" s="54" t="n">
        <f aca="true">RAND()</f>
        <v>0.395220846289209</v>
      </c>
      <c r="R224" s="54" t="n">
        <f aca="true">RAND()</f>
        <v>0.677313677953492</v>
      </c>
      <c r="S224" s="54" t="n">
        <f aca="true">RAND()</f>
        <v>0.325635539872327</v>
      </c>
      <c r="T224" s="54" t="n">
        <f aca="true">RAND()</f>
        <v>0.270913568284029</v>
      </c>
      <c r="U224" s="54" t="n">
        <f aca="true">RAND()</f>
        <v>0.116129751968618</v>
      </c>
    </row>
    <row r="225" customFormat="false" ht="15" hidden="false" customHeight="false" outlineLevel="0" collapsed="false">
      <c r="A225" s="50" t="n">
        <v>145</v>
      </c>
      <c r="B225" s="51" t="n">
        <f aca="false">1+IF($G$6=$E$6,$F$6,IF(P225&lt;($F$6-$E$6)/($G$6-$E$6),$E$6+SQRT(P225*($G$6-$E$6)*($F$6-$E$6)),$G$6-SQRT((1-P225)*($G$6-$E$6)*($G$6-$F$6))))</f>
        <v>0.995494215757199</v>
      </c>
      <c r="C225" s="51" t="n">
        <f aca="false">1+IF($G$7=$E$7,$F$7,IF(Q225&lt;($F$7-$E$7)/($G$7-$E$7),$E$7+SQRT(Q225*($G$7-$E$7)*($F$7-$E$7)),$G$7-SQRT((1-Q225)*($G$7-$E$7)*($G$7-$F$7))))</f>
        <v>1.01492470953073</v>
      </c>
      <c r="D225" s="51" t="n">
        <f aca="false">1+IF($G$8=$E$8,$F$8,IF(R225&lt;($F$8-$E$8)/($G$8-$E$8),$E$8+SQRT(R225*($G$8-$E$8)*($F$8-$E$8)),$G$8-SQRT((1-R225)*($G$8-$E$8)*($G$8-$F$8))))</f>
        <v>0.997714004207572</v>
      </c>
      <c r="E225" s="51" t="n">
        <f aca="false">1+IF($G$9=$E$9,$F$9,IF(S225&lt;($F$9-$E$9)/($G$9-$E$9),$E$9+SQRT(S225*($G$9-$E$9)*($F$9-$E$9)),$G$9-SQRT((1-S225)*($G$9-$E$9)*($G$9-$F$9))))</f>
        <v>1.05579866620314</v>
      </c>
      <c r="F225" s="51" t="n">
        <f aca="false">1+IF($G$10=$E$10,$F$10,IF(T225&lt;($F$10-$E$10)/($G$10-$E$10),$E$10+SQRT(T225*($G$10-$E$10)*($F$10-$E$10)),$G$10-SQRT((1-T225)*($G$10-$E$10)*($G$10-$F$10))))</f>
        <v>1.0253414092849</v>
      </c>
      <c r="G225" s="52" t="n">
        <f aca="false">IF($G$11=$E$11,$F$11,IF(U225&lt;($F$11-$E$11)/($G$11-$E$11),$E$11+SQRT(U225*($G$11-$E$11)*($F$11-$E$11)),$G$11-SQRT((1-U225)*($G$11-$E$11)*($G$11-$F$11))))</f>
        <v>0.0929494081761614</v>
      </c>
      <c r="H225" s="53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-2050682818.5698</v>
      </c>
      <c r="I225" s="53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4132882.43301187</v>
      </c>
      <c r="J225" s="53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313311107.104036</v>
      </c>
      <c r="K225" s="53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673756402.239306</v>
      </c>
      <c r="L225" s="53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811733564.446604</v>
      </c>
      <c r="M225" s="53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1003781211.35654</v>
      </c>
      <c r="N225" s="53" t="n">
        <f aca="false">IF(COUNT('Business Case'!B11:G11)=0,"",H225+NPV(G225,I225:M225))</f>
        <v>-56048074.7782238</v>
      </c>
      <c r="P225" s="54" t="n">
        <f aca="true">RAND()</f>
        <v>0.607943016205502</v>
      </c>
      <c r="Q225" s="54" t="n">
        <f aca="true">RAND()</f>
        <v>0.729698754142854</v>
      </c>
      <c r="R225" s="54" t="n">
        <f aca="true">RAND()</f>
        <v>0.303550159669363</v>
      </c>
      <c r="S225" s="54" t="n">
        <f aca="true">RAND()</f>
        <v>0.763362898957146</v>
      </c>
      <c r="T225" s="54" t="n">
        <f aca="true">RAND()</f>
        <v>0.32704690157206</v>
      </c>
      <c r="U225" s="54" t="n">
        <f aca="true">RAND()</f>
        <v>0.167687172112834</v>
      </c>
    </row>
    <row r="226" customFormat="false" ht="15" hidden="false" customHeight="false" outlineLevel="0" collapsed="false">
      <c r="A226" s="50" t="n">
        <v>146</v>
      </c>
      <c r="B226" s="51" t="n">
        <f aca="false">1+IF($G$6=$E$6,$F$6,IF(P226&lt;($F$6-$E$6)/($G$6-$E$6),$E$6+SQRT(P226*($G$6-$E$6)*($F$6-$E$6)),$G$6-SQRT((1-P226)*($G$6-$E$6)*($G$6-$F$6))))</f>
        <v>1.00473277601088</v>
      </c>
      <c r="C226" s="51" t="n">
        <f aca="false">1+IF($G$7=$E$7,$F$7,IF(Q226&lt;($F$7-$E$7)/($G$7-$E$7),$E$7+SQRT(Q226*($G$7-$E$7)*($F$7-$E$7)),$G$7-SQRT((1-Q226)*($G$7-$E$7)*($G$7-$F$7))))</f>
        <v>0.97568123830875</v>
      </c>
      <c r="D226" s="51" t="n">
        <f aca="false">1+IF($G$8=$E$8,$F$8,IF(R226&lt;($F$8-$E$8)/($G$8-$E$8),$E$8+SQRT(R226*($G$8-$E$8)*($F$8-$E$8)),$G$8-SQRT((1-R226)*($G$8-$E$8)*($G$8-$F$8))))</f>
        <v>0.973608731490483</v>
      </c>
      <c r="E226" s="51" t="n">
        <f aca="false">1+IF($G$9=$E$9,$F$9,IF(S226&lt;($F$9-$E$9)/($G$9-$E$9),$E$9+SQRT(S226*($G$9-$E$9)*($F$9-$E$9)),$G$9-SQRT((1-S226)*($G$9-$E$9)*($G$9-$F$9))))</f>
        <v>1.07770966222472</v>
      </c>
      <c r="F226" s="51" t="n">
        <f aca="false">1+IF($G$10=$E$10,$F$10,IF(T226&lt;($F$10-$E$10)/($G$10-$E$10),$E$10+SQRT(T226*($G$10-$E$10)*($F$10-$E$10)),$G$10-SQRT((1-T226)*($G$10-$E$10)*($G$10-$F$10))))</f>
        <v>0.983518335395104</v>
      </c>
      <c r="G226" s="52" t="n">
        <f aca="false">IF($G$11=$E$11,$F$11,IF(U226&lt;($F$11-$E$11)/($G$11-$E$11),$E$11+SQRT(U226*($G$11-$E$11)*($F$11-$E$11)),$G$11-SQRT((1-U226)*($G$11-$E$11)*($G$11-$F$11))))</f>
        <v>0.119719988371027</v>
      </c>
      <c r="H226" s="53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-1967036670.79021</v>
      </c>
      <c r="I226" s="53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14225479.6504411</v>
      </c>
      <c r="J226" s="53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330871802.773216</v>
      </c>
      <c r="K226" s="53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696694042.665747</v>
      </c>
      <c r="L226" s="53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836121947.682984</v>
      </c>
      <c r="M226" s="53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1022457166.21937</v>
      </c>
      <c r="N226" s="53" t="n">
        <f aca="false">IF(COUNT('Business Case'!B11:G11)=0,"",H226+NPV(G226,I226:M226))</f>
        <v>-81368299.0369198</v>
      </c>
      <c r="P226" s="54" t="n">
        <f aca="true">RAND()</f>
        <v>0.726783790975803</v>
      </c>
      <c r="Q226" s="54" t="n">
        <f aca="true">RAND()</f>
        <v>0.562964038188487</v>
      </c>
      <c r="R226" s="54" t="n">
        <f aca="true">RAND()</f>
        <v>0.0743162936786298</v>
      </c>
      <c r="S226" s="54" t="n">
        <f aca="true">RAND()</f>
        <v>0.860642855048955</v>
      </c>
      <c r="T226" s="54" t="n">
        <f aca="true">RAND()</f>
        <v>0.0748985871772468</v>
      </c>
      <c r="U226" s="54" t="n">
        <f aca="true">RAND()</f>
        <v>0.929547573938782</v>
      </c>
    </row>
    <row r="227" customFormat="false" ht="15" hidden="false" customHeight="false" outlineLevel="0" collapsed="false">
      <c r="A227" s="50" t="n">
        <v>147</v>
      </c>
      <c r="B227" s="51" t="n">
        <f aca="false">1+IF($G$6=$E$6,$F$6,IF(P227&lt;($F$6-$E$6)/($G$6-$E$6),$E$6+SQRT(P227*($G$6-$E$6)*($F$6-$E$6)),$G$6-SQRT((1-P227)*($G$6-$E$6)*($G$6-$F$6))))</f>
        <v>1.0297531169851</v>
      </c>
      <c r="C227" s="51" t="n">
        <f aca="false">1+IF($G$7=$E$7,$F$7,IF(Q227&lt;($F$7-$E$7)/($G$7-$E$7),$E$7+SQRT(Q227*($G$7-$E$7)*($F$7-$E$7)),$G$7-SQRT((1-Q227)*($G$7-$E$7)*($G$7-$F$7))))</f>
        <v>0.914380230600724</v>
      </c>
      <c r="D227" s="51" t="n">
        <f aca="false">1+IF($G$8=$E$8,$F$8,IF(R227&lt;($F$8-$E$8)/($G$8-$E$8),$E$8+SQRT(R227*($G$8-$E$8)*($F$8-$E$8)),$G$8-SQRT((1-R227)*($G$8-$E$8)*($G$8-$F$8))))</f>
        <v>1.04089678708849</v>
      </c>
      <c r="E227" s="51" t="n">
        <f aca="false">1+IF($G$9=$E$9,$F$9,IF(S227&lt;($F$9-$E$9)/($G$9-$E$9),$E$9+SQRT(S227*($G$9-$E$9)*($F$9-$E$9)),$G$9-SQRT((1-S227)*($G$9-$E$9)*($G$9-$F$9))))</f>
        <v>1.05845336886298</v>
      </c>
      <c r="F227" s="51" t="n">
        <f aca="false">1+IF($G$10=$E$10,$F$10,IF(T227&lt;($F$10-$E$10)/($G$10-$E$10),$E$10+SQRT(T227*($G$10-$E$10)*($F$10-$E$10)),$G$10-SQRT((1-T227)*($G$10-$E$10)*($G$10-$F$10))))</f>
        <v>1.17602415569235</v>
      </c>
      <c r="G227" s="52" t="n">
        <f aca="false">IF($G$11=$E$11,$F$11,IF(U227&lt;($F$11-$E$11)/($G$11-$E$11),$E$11+SQRT(U227*($G$11-$E$11)*($F$11-$E$11)),$G$11-SQRT((1-U227)*($G$11-$E$11)*($G$11-$F$11))))</f>
        <v>0.0825430060618304</v>
      </c>
      <c r="H227" s="53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-2352048311.3847</v>
      </c>
      <c r="I227" s="53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-32932542.4925265</v>
      </c>
      <c r="J227" s="53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251061212.307361</v>
      </c>
      <c r="K227" s="53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593856174.891866</v>
      </c>
      <c r="L227" s="53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721061968.272403</v>
      </c>
      <c r="M227" s="53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900038614.732232</v>
      </c>
      <c r="N227" s="53" t="n">
        <f aca="false">IF(COUNT('Business Case'!B11:G11)=0,"",H227+NPV(G227,I227:M227))</f>
        <v>-569697987.289607</v>
      </c>
      <c r="P227" s="54" t="n">
        <f aca="true">RAND()</f>
        <v>0.945341830424123</v>
      </c>
      <c r="Q227" s="54" t="n">
        <f aca="true">RAND()</f>
        <v>0.340436172388292</v>
      </c>
      <c r="R227" s="54" t="n">
        <f aca="true">RAND()</f>
        <v>0.767120681569096</v>
      </c>
      <c r="S227" s="54" t="n">
        <f aca="true">RAND()</f>
        <v>0.776512382065674</v>
      </c>
      <c r="T227" s="54" t="n">
        <f aca="true">RAND()</f>
        <v>0.927034326119608</v>
      </c>
      <c r="U227" s="54" t="n">
        <f aca="true">RAND()</f>
        <v>0.00646687983050619</v>
      </c>
    </row>
    <row r="228" customFormat="false" ht="15" hidden="false" customHeight="false" outlineLevel="0" collapsed="false">
      <c r="A228" s="50" t="n">
        <v>148</v>
      </c>
      <c r="B228" s="51" t="n">
        <f aca="false">1+IF($G$6=$E$6,$F$6,IF(P228&lt;($F$6-$E$6)/($G$6-$E$6),$E$6+SQRT(P228*($G$6-$E$6)*($F$6-$E$6)),$G$6-SQRT((1-P228)*($G$6-$E$6)*($G$6-$F$6))))</f>
        <v>1.0407749843492</v>
      </c>
      <c r="C228" s="51" t="n">
        <f aca="false">1+IF($G$7=$E$7,$F$7,IF(Q228&lt;($F$7-$E$7)/($G$7-$E$7),$E$7+SQRT(Q228*($G$7-$E$7)*($F$7-$E$7)),$G$7-SQRT((1-Q228)*($G$7-$E$7)*($G$7-$F$7))))</f>
        <v>0.802027584616368</v>
      </c>
      <c r="D228" s="51" t="n">
        <f aca="false">1+IF($G$8=$E$8,$F$8,IF(R228&lt;($F$8-$E$8)/($G$8-$E$8),$E$8+SQRT(R228*($G$8-$E$8)*($F$8-$E$8)),$G$8-SQRT((1-R228)*($G$8-$E$8)*($G$8-$F$8))))</f>
        <v>1.03662011306395</v>
      </c>
      <c r="E228" s="51" t="n">
        <f aca="false">1+IF($G$9=$E$9,$F$9,IF(S228&lt;($F$9-$E$9)/($G$9-$E$9),$E$9+SQRT(S228*($G$9-$E$9)*($F$9-$E$9)),$G$9-SQRT((1-S228)*($G$9-$E$9)*($G$9-$F$9))))</f>
        <v>1.01532366862933</v>
      </c>
      <c r="F228" s="51" t="n">
        <f aca="false">1+IF($G$10=$E$10,$F$10,IF(T228&lt;($F$10-$E$10)/($G$10-$E$10),$E$10+SQRT(T228*($G$10-$E$10)*($F$10-$E$10)),$G$10-SQRT((1-T228)*($G$10-$E$10)*($G$10-$F$10))))</f>
        <v>1.1541535138177</v>
      </c>
      <c r="G228" s="52" t="n">
        <f aca="false">IF($G$11=$E$11,$F$11,IF(U228&lt;($F$11-$E$11)/($G$11-$E$11),$E$11+SQRT(U228*($G$11-$E$11)*($F$11-$E$11)),$G$11-SQRT((1-U228)*($G$11-$E$11)*($G$11-$F$11))))</f>
        <v>0.107266048691559</v>
      </c>
      <c r="H228" s="53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-2308307027.6354</v>
      </c>
      <c r="I228" s="53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-44971846.3215202</v>
      </c>
      <c r="J228" s="53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213123100.413318</v>
      </c>
      <c r="K228" s="53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528925722.83904</v>
      </c>
      <c r="L228" s="53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643805649.080985</v>
      </c>
      <c r="M228" s="53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802471174.397808</v>
      </c>
      <c r="N228" s="53" t="n">
        <f aca="false">IF(COUNT('Business Case'!B11:G11)=0,"",H228+NPV(G228,I228:M228))</f>
        <v>-875039006.863765</v>
      </c>
      <c r="P228" s="54" t="n">
        <f aca="true">RAND()</f>
        <v>0.988653211498995</v>
      </c>
      <c r="Q228" s="54" t="n">
        <f aca="true">RAND()</f>
        <v>0.0771083557233342</v>
      </c>
      <c r="R228" s="54" t="n">
        <f aca="true">RAND()</f>
        <v>0.732199328798224</v>
      </c>
      <c r="S228" s="54" t="n">
        <f aca="true">RAND()</f>
        <v>0.516327620494329</v>
      </c>
      <c r="T228" s="54" t="n">
        <f aca="true">RAND()</f>
        <v>0.877512681153412</v>
      </c>
      <c r="U228" s="54" t="n">
        <f aca="true">RAND()</f>
        <v>0.655444971936949</v>
      </c>
    </row>
    <row r="229" customFormat="false" ht="15" hidden="false" customHeight="false" outlineLevel="0" collapsed="false">
      <c r="A229" s="50" t="n">
        <v>149</v>
      </c>
      <c r="B229" s="51" t="n">
        <f aca="false">1+IF($G$6=$E$6,$F$6,IF(P229&lt;($F$6-$E$6)/($G$6-$E$6),$E$6+SQRT(P229*($G$6-$E$6)*($F$6-$E$6)),$G$6-SQRT((1-P229)*($G$6-$E$6)*($G$6-$F$6))))</f>
        <v>0.965411960005341</v>
      </c>
      <c r="C229" s="51" t="n">
        <f aca="false">1+IF($G$7=$E$7,$F$7,IF(Q229&lt;($F$7-$E$7)/($G$7-$E$7),$E$7+SQRT(Q229*($G$7-$E$7)*($F$7-$E$7)),$G$7-SQRT((1-Q229)*($G$7-$E$7)*($G$7-$F$7))))</f>
        <v>0.899066771497695</v>
      </c>
      <c r="D229" s="51" t="n">
        <f aca="false">1+IF($G$8=$E$8,$F$8,IF(R229&lt;($F$8-$E$8)/($G$8-$E$8),$E$8+SQRT(R229*($G$8-$E$8)*($F$8-$E$8)),$G$8-SQRT((1-R229)*($G$8-$E$8)*($G$8-$F$8))))</f>
        <v>1.03471329232032</v>
      </c>
      <c r="E229" s="51" t="n">
        <f aca="false">1+IF($G$9=$E$9,$F$9,IF(S229&lt;($F$9-$E$9)/($G$9-$E$9),$E$9+SQRT(S229*($G$9-$E$9)*($F$9-$E$9)),$G$9-SQRT((1-S229)*($G$9-$E$9)*($G$9-$F$9))))</f>
        <v>1.04420946132299</v>
      </c>
      <c r="F229" s="51" t="n">
        <f aca="false">1+IF($G$10=$E$10,$F$10,IF(T229&lt;($F$10-$E$10)/($G$10-$E$10),$E$10+SQRT(T229*($G$10-$E$10)*($F$10-$E$10)),$G$10-SQRT((1-T229)*($G$10-$E$10)*($G$10-$F$10))))</f>
        <v>1.04926856509007</v>
      </c>
      <c r="G229" s="52" t="n">
        <f aca="false">IF($G$11=$E$11,$F$11,IF(U229&lt;($F$11-$E$11)/($G$11-$E$11),$E$11+SQRT(U229*($G$11-$E$11)*($F$11-$E$11)),$G$11-SQRT((1-U229)*($G$11-$E$11)*($G$11-$F$11))))</f>
        <v>0.115623877189575</v>
      </c>
      <c r="H229" s="53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-2098537130.18014</v>
      </c>
      <c r="I229" s="53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-63706289.0768104</v>
      </c>
      <c r="J229" s="53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170996418.915725</v>
      </c>
      <c r="K229" s="53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458162555.162764</v>
      </c>
      <c r="L229" s="53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566393827.933749</v>
      </c>
      <c r="M229" s="53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731377530.187853</v>
      </c>
      <c r="N229" s="53" t="n">
        <f aca="false">IF(COUNT('Business Case'!B11:G11)=0,"",H229+NPV(G229,I229:M229))</f>
        <v>-899446925.614394</v>
      </c>
      <c r="P229" s="54" t="n">
        <f aca="true">RAND()</f>
        <v>0.285248300782684</v>
      </c>
      <c r="Q229" s="54" t="n">
        <f aca="true">RAND()</f>
        <v>0.293537626033447</v>
      </c>
      <c r="R229" s="54" t="n">
        <f aca="true">RAND()</f>
        <v>0.715843053356536</v>
      </c>
      <c r="S229" s="54" t="n">
        <f aca="true">RAND()</f>
        <v>0.701556318038067</v>
      </c>
      <c r="T229" s="54" t="n">
        <f aca="true">RAND()</f>
        <v>0.462758547186666</v>
      </c>
      <c r="U229" s="54" t="n">
        <f aca="true">RAND()</f>
        <v>0.862218061959719</v>
      </c>
    </row>
    <row r="230" customFormat="false" ht="15" hidden="false" customHeight="false" outlineLevel="0" collapsed="false">
      <c r="A230" s="50" t="n">
        <v>150</v>
      </c>
      <c r="B230" s="51" t="n">
        <f aca="false">1+IF($G$6=$E$6,$F$6,IF(P230&lt;($F$6-$E$6)/($G$6-$E$6),$E$6+SQRT(P230*($G$6-$E$6)*($F$6-$E$6)),$G$6-SQRT((1-P230)*($G$6-$E$6)*($G$6-$F$6))))</f>
        <v>1.03675736486988</v>
      </c>
      <c r="C230" s="51" t="n">
        <f aca="false">1+IF($G$7=$E$7,$F$7,IF(Q230&lt;($F$7-$E$7)/($G$7-$E$7),$E$7+SQRT(Q230*($G$7-$E$7)*($F$7-$E$7)),$G$7-SQRT((1-Q230)*($G$7-$E$7)*($G$7-$F$7))))</f>
        <v>1.04140546649401</v>
      </c>
      <c r="D230" s="51" t="n">
        <f aca="false">1+IF($G$8=$E$8,$F$8,IF(R230&lt;($F$8-$E$8)/($G$8-$E$8),$E$8+SQRT(R230*($G$8-$E$8)*($F$8-$E$8)),$G$8-SQRT((1-R230)*($G$8-$E$8)*($G$8-$F$8))))</f>
        <v>1.03666973088294</v>
      </c>
      <c r="E230" s="51" t="n">
        <f aca="false">1+IF($G$9=$E$9,$F$9,IF(S230&lt;($F$9-$E$9)/($G$9-$E$9),$E$9+SQRT(S230*($G$9-$E$9)*($F$9-$E$9)),$G$9-SQRT((1-S230)*($G$9-$E$9)*($G$9-$F$9))))</f>
        <v>1.00732628264752</v>
      </c>
      <c r="F230" s="51" t="n">
        <f aca="false">1+IF($G$10=$E$10,$F$10,IF(T230&lt;($F$10-$E$10)/($G$10-$E$10),$E$10+SQRT(T230*($G$10-$E$10)*($F$10-$E$10)),$G$10-SQRT((1-T230)*($G$10-$E$10)*($G$10-$F$10))))</f>
        <v>1.12129804797379</v>
      </c>
      <c r="G230" s="52" t="n">
        <f aca="false">IF($G$11=$E$11,$F$11,IF(U230&lt;($F$11-$E$11)/($G$11-$E$11),$E$11+SQRT(U230*($G$11-$E$11)*($F$11-$E$11)),$G$11-SQRT((1-U230)*($G$11-$E$11)*($G$11-$F$11))))</f>
        <v>0.106292405512746</v>
      </c>
      <c r="H230" s="53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-2242596095.94759</v>
      </c>
      <c r="I230" s="53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20331599.3063085</v>
      </c>
      <c r="J230" s="53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352005660.1711</v>
      </c>
      <c r="K230" s="53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739744623.434581</v>
      </c>
      <c r="L230" s="53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887616549.968595</v>
      </c>
      <c r="M230" s="53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1092843034.32022</v>
      </c>
      <c r="N230" s="53" t="n">
        <f aca="false">IF(COUNT('Business Case'!B11:G11)=0,"",H230+NPV(G230,I230:M230))</f>
        <v>-138184684.489077</v>
      </c>
      <c r="P230" s="54" t="n">
        <f aca="true">RAND()</f>
        <v>0.976617681974751</v>
      </c>
      <c r="Q230" s="54" t="n">
        <f aca="true">RAND()</f>
        <v>0.82529225618691</v>
      </c>
      <c r="R230" s="54" t="n">
        <f aca="true">RAND()</f>
        <v>0.732618467570677</v>
      </c>
      <c r="S230" s="54" t="n">
        <f aca="true">RAND()</f>
        <v>0.457178943382024</v>
      </c>
      <c r="T230" s="54" t="n">
        <f aca="true">RAND()</f>
        <v>0.779144100595255</v>
      </c>
      <c r="U230" s="54" t="n">
        <f aca="true">RAND()</f>
        <v>0.625299975751954</v>
      </c>
    </row>
    <row r="231" customFormat="false" ht="15" hidden="false" customHeight="false" outlineLevel="0" collapsed="false">
      <c r="A231" s="50" t="n">
        <v>151</v>
      </c>
      <c r="B231" s="51" t="n">
        <f aca="false">1+IF($G$6=$E$6,$F$6,IF(P231&lt;($F$6-$E$6)/($G$6-$E$6),$E$6+SQRT(P231*($G$6-$E$6)*($F$6-$E$6)),$G$6-SQRT((1-P231)*($G$6-$E$6)*($G$6-$F$6))))</f>
        <v>1.00644152768089</v>
      </c>
      <c r="C231" s="51" t="n">
        <f aca="false">1+IF($G$7=$E$7,$F$7,IF(Q231&lt;($F$7-$E$7)/($G$7-$E$7),$E$7+SQRT(Q231*($G$7-$E$7)*($F$7-$E$7)),$G$7-SQRT((1-Q231)*($G$7-$E$7)*($G$7-$F$7))))</f>
        <v>0.766094839645606</v>
      </c>
      <c r="D231" s="51" t="n">
        <f aca="false">1+IF($G$8=$E$8,$F$8,IF(R231&lt;($F$8-$E$8)/($G$8-$E$8),$E$8+SQRT(R231*($G$8-$E$8)*($F$8-$E$8)),$G$8-SQRT((1-R231)*($G$8-$E$8)*($G$8-$F$8))))</f>
        <v>1.01189220873157</v>
      </c>
      <c r="E231" s="51" t="n">
        <f aca="false">1+IF($G$9=$E$9,$F$9,IF(S231&lt;($F$9-$E$9)/($G$9-$E$9),$E$9+SQRT(S231*($G$9-$E$9)*($F$9-$E$9)),$G$9-SQRT((1-S231)*($G$9-$E$9)*($G$9-$F$9))))</f>
        <v>0.975189576613105</v>
      </c>
      <c r="F231" s="51" t="n">
        <f aca="false">1+IF($G$10=$E$10,$F$10,IF(T231&lt;($F$10-$E$10)/($G$10-$E$10),$E$10+SQRT(T231*($G$10-$E$10)*($F$10-$E$10)),$G$10-SQRT((1-T231)*($G$10-$E$10)*($G$10-$F$10))))</f>
        <v>1.05597450320792</v>
      </c>
      <c r="G231" s="52" t="n">
        <f aca="false">IF($G$11=$E$11,$F$11,IF(U231&lt;($F$11-$E$11)/($G$11-$E$11),$E$11+SQRT(U231*($G$11-$E$11)*($F$11-$E$11)),$G$11-SQRT((1-U231)*($G$11-$E$11)*($G$11-$F$11))))</f>
        <v>0.110768948362085</v>
      </c>
      <c r="H231" s="53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-2111949006.41585</v>
      </c>
      <c r="I231" s="53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-49553927.4840238</v>
      </c>
      <c r="J231" s="53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185131730.760998</v>
      </c>
      <c r="K231" s="53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472616114.166417</v>
      </c>
      <c r="L231" s="53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577491451.99067</v>
      </c>
      <c r="M231" s="53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724048769.908192</v>
      </c>
      <c r="N231" s="53" t="n">
        <f aca="false">IF(COUNT('Business Case'!B11:G11)=0,"",H231+NPV(G231,I231:M231))</f>
        <v>-854094852.530043</v>
      </c>
      <c r="P231" s="54" t="n">
        <f aca="true">RAND()</f>
        <v>0.747021265230097</v>
      </c>
      <c r="Q231" s="54" t="n">
        <f aca="true">RAND()</f>
        <v>0.0323594653909511</v>
      </c>
      <c r="R231" s="54" t="n">
        <f aca="true">RAND()</f>
        <v>0.482467807853304</v>
      </c>
      <c r="S231" s="54" t="n">
        <f aca="true">RAND()</f>
        <v>0.22613889725032</v>
      </c>
      <c r="T231" s="54" t="n">
        <f aca="true">RAND()</f>
        <v>0.498054754594513</v>
      </c>
      <c r="U231" s="54" t="n">
        <f aca="true">RAND()</f>
        <v>0.753444435266564</v>
      </c>
    </row>
    <row r="232" customFormat="false" ht="15" hidden="false" customHeight="false" outlineLevel="0" collapsed="false">
      <c r="A232" s="50" t="n">
        <v>152</v>
      </c>
      <c r="B232" s="51" t="n">
        <f aca="false">1+IF($G$6=$E$6,$F$6,IF(P232&lt;($F$6-$E$6)/($G$6-$E$6),$E$6+SQRT(P232*($G$6-$E$6)*($F$6-$E$6)),$G$6-SQRT((1-P232)*($G$6-$E$6)*($G$6-$F$6))))</f>
        <v>0.978499643704159</v>
      </c>
      <c r="C232" s="51" t="n">
        <f aca="false">1+IF($G$7=$E$7,$F$7,IF(Q232&lt;($F$7-$E$7)/($G$7-$E$7),$E$7+SQRT(Q232*($G$7-$E$7)*($F$7-$E$7)),$G$7-SQRT((1-Q232)*($G$7-$E$7)*($G$7-$F$7))))</f>
        <v>1.05934856051049</v>
      </c>
      <c r="D232" s="51" t="n">
        <f aca="false">1+IF($G$8=$E$8,$F$8,IF(R232&lt;($F$8-$E$8)/($G$8-$E$8),$E$8+SQRT(R232*($G$8-$E$8)*($F$8-$E$8)),$G$8-SQRT((1-R232)*($G$8-$E$8)*($G$8-$F$8))))</f>
        <v>0.989625536680076</v>
      </c>
      <c r="E232" s="51" t="n">
        <f aca="false">1+IF($G$9=$E$9,$F$9,IF(S232&lt;($F$9-$E$9)/($G$9-$E$9),$E$9+SQRT(S232*($G$9-$E$9)*($F$9-$E$9)),$G$9-SQRT((1-S232)*($G$9-$E$9)*($G$9-$F$9))))</f>
        <v>0.951204458404067</v>
      </c>
      <c r="F232" s="51" t="n">
        <f aca="false">1+IF($G$10=$E$10,$F$10,IF(T232&lt;($F$10-$E$10)/($G$10-$E$10),$E$10+SQRT(T232*($G$10-$E$10)*($F$10-$E$10)),$G$10-SQRT((1-T232)*($G$10-$E$10)*($G$10-$F$10))))</f>
        <v>1.10903695094685</v>
      </c>
      <c r="G232" s="52" t="n">
        <f aca="false">IF($G$11=$E$11,$F$11,IF(U232&lt;($F$11-$E$11)/($G$11-$E$11),$E$11+SQRT(U232*($G$11-$E$11)*($F$11-$E$11)),$G$11-SQRT((1-U232)*($G$11-$E$11)*($G$11-$F$11))))</f>
        <v>0.0969050733645944</v>
      </c>
      <c r="H232" s="53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-2218073901.89369</v>
      </c>
      <c r="I232" s="53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12450758.8000086</v>
      </c>
      <c r="J232" s="53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324802388.958455</v>
      </c>
      <c r="K232" s="53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692605866.664244</v>
      </c>
      <c r="L232" s="53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832547011.569522</v>
      </c>
      <c r="M232" s="53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1029578653.25807</v>
      </c>
      <c r="N232" s="53" t="n">
        <f aca="false">IF(COUNT('Business Case'!B11:G11)=0,"",H232+NPV(G232,I232:M232))</f>
        <v>-188549473.924908</v>
      </c>
      <c r="P232" s="54" t="n">
        <f aca="true">RAND()</f>
        <v>0.410812937445326</v>
      </c>
      <c r="Q232" s="54" t="n">
        <f aca="true">RAND()</f>
        <v>0.878256541014525</v>
      </c>
      <c r="R232" s="54" t="n">
        <f aca="true">RAND()</f>
        <v>0.209357754291207</v>
      </c>
      <c r="S232" s="54" t="n">
        <f aca="true">RAND()</f>
        <v>0.104875862418153</v>
      </c>
      <c r="T232" s="54" t="n">
        <f aca="true">RAND()</f>
        <v>0.735058917355175</v>
      </c>
      <c r="U232" s="54" t="n">
        <f aca="true">RAND()</f>
        <v>0.28578150546232</v>
      </c>
    </row>
    <row r="233" customFormat="false" ht="15" hidden="false" customHeight="false" outlineLevel="0" collapsed="false">
      <c r="A233" s="50" t="n">
        <v>153</v>
      </c>
      <c r="B233" s="51" t="n">
        <f aca="false">1+IF($G$6=$E$6,$F$6,IF(P233&lt;($F$6-$E$6)/($G$6-$E$6),$E$6+SQRT(P233*($G$6-$E$6)*($F$6-$E$6)),$G$6-SQRT((1-P233)*($G$6-$E$6)*($G$6-$F$6))))</f>
        <v>0.959239845746214</v>
      </c>
      <c r="C233" s="51" t="n">
        <f aca="false">1+IF($G$7=$E$7,$F$7,IF(Q233&lt;($F$7-$E$7)/($G$7-$E$7),$E$7+SQRT(Q233*($G$7-$E$7)*($F$7-$E$7)),$G$7-SQRT((1-Q233)*($G$7-$E$7)*($G$7-$F$7))))</f>
        <v>1.11019178421536</v>
      </c>
      <c r="D233" s="51" t="n">
        <f aca="false">1+IF($G$8=$E$8,$F$8,IF(R233&lt;($F$8-$E$8)/($G$8-$E$8),$E$8+SQRT(R233*($G$8-$E$8)*($F$8-$E$8)),$G$8-SQRT((1-R233)*($G$8-$E$8)*($G$8-$F$8))))</f>
        <v>1.003137584181</v>
      </c>
      <c r="E233" s="51" t="n">
        <f aca="false">1+IF($G$9=$E$9,$F$9,IF(S233&lt;($F$9-$E$9)/($G$9-$E$9),$E$9+SQRT(S233*($G$9-$E$9)*($F$9-$E$9)),$G$9-SQRT((1-S233)*($G$9-$E$9)*($G$9-$F$9))))</f>
        <v>1.00222652459015</v>
      </c>
      <c r="F233" s="51" t="n">
        <f aca="false">1+IF($G$10=$E$10,$F$10,IF(T233&lt;($F$10-$E$10)/($G$10-$E$10),$E$10+SQRT(T233*($G$10-$E$10)*($F$10-$E$10)),$G$10-SQRT((1-T233)*($G$10-$E$10)*($G$10-$F$10))))</f>
        <v>1.04832931326156</v>
      </c>
      <c r="G233" s="52" t="n">
        <f aca="false">IF($G$11=$E$11,$F$11,IF(U233&lt;($F$11-$E$11)/($G$11-$E$11),$E$11+SQRT(U233*($G$11-$E$11)*($F$11-$E$11)),$G$11-SQRT((1-U233)*($G$11-$E$11)*($G$11-$F$11))))</f>
        <v>0.113000533805586</v>
      </c>
      <c r="H233" s="53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-2096658626.52313</v>
      </c>
      <c r="I233" s="53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-405906.230669171</v>
      </c>
      <c r="J233" s="53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301744230.413854</v>
      </c>
      <c r="K233" s="53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656310832.721456</v>
      </c>
      <c r="L233" s="53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793831878.104508</v>
      </c>
      <c r="M233" s="53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996255710.529671</v>
      </c>
      <c r="N233" s="53" t="n">
        <f aca="false">IF(COUNT('Business Case'!B11:G11)=0,"",H233+NPV(G233,I233:M233))</f>
        <v>-276813427.527826</v>
      </c>
      <c r="P233" s="54" t="n">
        <f aca="true">RAND()</f>
        <v>0.233957288269014</v>
      </c>
      <c r="Q233" s="54" t="n">
        <f aca="true">RAND()</f>
        <v>0.976523051200639</v>
      </c>
      <c r="R233" s="54" t="n">
        <f aca="true">RAND()</f>
        <v>0.374511493447188</v>
      </c>
      <c r="S233" s="54" t="n">
        <f aca="true">RAND()</f>
        <v>0.417679999074494</v>
      </c>
      <c r="T233" s="54" t="n">
        <f aca="true">RAND()</f>
        <v>0.457719121472636</v>
      </c>
      <c r="U233" s="54" t="n">
        <f aca="true">RAND()</f>
        <v>0.807345432736644</v>
      </c>
    </row>
    <row r="234" customFormat="false" ht="15" hidden="false" customHeight="false" outlineLevel="0" collapsed="false">
      <c r="A234" s="50" t="n">
        <v>154</v>
      </c>
      <c r="B234" s="51" t="n">
        <f aca="false">1+IF($G$6=$E$6,$F$6,IF(P234&lt;($F$6-$E$6)/($G$6-$E$6),$E$6+SQRT(P234*($G$6-$E$6)*($F$6-$E$6)),$G$6-SQRT((1-P234)*($G$6-$E$6)*($G$6-$F$6))))</f>
        <v>0.952692628987784</v>
      </c>
      <c r="C234" s="51" t="n">
        <f aca="false">1+IF($G$7=$E$7,$F$7,IF(Q234&lt;($F$7-$E$7)/($G$7-$E$7),$E$7+SQRT(Q234*($G$7-$E$7)*($F$7-$E$7)),$G$7-SQRT((1-Q234)*($G$7-$E$7)*($G$7-$F$7))))</f>
        <v>1.04988844686149</v>
      </c>
      <c r="D234" s="51" t="n">
        <f aca="false">1+IF($G$8=$E$8,$F$8,IF(R234&lt;($F$8-$E$8)/($G$8-$E$8),$E$8+SQRT(R234*($G$8-$E$8)*($F$8-$E$8)),$G$8-SQRT((1-R234)*($G$8-$E$8)*($G$8-$F$8))))</f>
        <v>1.03829913385098</v>
      </c>
      <c r="E234" s="51" t="n">
        <f aca="false">1+IF($G$9=$E$9,$F$9,IF(S234&lt;($F$9-$E$9)/($G$9-$E$9),$E$9+SQRT(S234*($G$9-$E$9)*($F$9-$E$9)),$G$9-SQRT((1-S234)*($G$9-$E$9)*($G$9-$F$9))))</f>
        <v>0.987204957079712</v>
      </c>
      <c r="F234" s="51" t="n">
        <f aca="false">1+IF($G$10=$E$10,$F$10,IF(T234&lt;($F$10-$E$10)/($G$10-$E$10),$E$10+SQRT(T234*($G$10-$E$10)*($F$10-$E$10)),$G$10-SQRT((1-T234)*($G$10-$E$10)*($G$10-$F$10))))</f>
        <v>1.05764436894963</v>
      </c>
      <c r="G234" s="52" t="n">
        <f aca="false">IF($G$11=$E$11,$F$11,IF(U234&lt;($F$11-$E$11)/($G$11-$E$11),$E$11+SQRT(U234*($G$11-$E$11)*($F$11-$E$11)),$G$11-SQRT((1-U234)*($G$11-$E$11)*($G$11-$F$11))))</f>
        <v>0.102744488638147</v>
      </c>
      <c r="H234" s="53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-2115288737.89926</v>
      </c>
      <c r="I234" s="53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-36786539.1742724</v>
      </c>
      <c r="J234" s="53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224423359.284007</v>
      </c>
      <c r="K234" s="53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538515476.189768</v>
      </c>
      <c r="L234" s="53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660153079.569764</v>
      </c>
      <c r="M234" s="53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850275084.319562</v>
      </c>
      <c r="N234" s="53" t="n">
        <f aca="false">IF(COUNT('Business Case'!B11:G11)=0,"",H234+NPV(G234,I234:M234))</f>
        <v>-594676494.322878</v>
      </c>
      <c r="P234" s="54" t="n">
        <f aca="true">RAND()</f>
        <v>0.185100876642947</v>
      </c>
      <c r="Q234" s="54" t="n">
        <f aca="true">RAND()</f>
        <v>0.851521139676971</v>
      </c>
      <c r="R234" s="54" t="n">
        <f aca="true">RAND()</f>
        <v>0.746200207764034</v>
      </c>
      <c r="S234" s="54" t="n">
        <f aca="true">RAND()</f>
        <v>0.304188181570979</v>
      </c>
      <c r="T234" s="54" t="n">
        <f aca="true">RAND()</f>
        <v>0.506657482709509</v>
      </c>
      <c r="U234" s="54" t="n">
        <f aca="true">RAND()</f>
        <v>0.504758066935924</v>
      </c>
    </row>
    <row r="235" customFormat="false" ht="15" hidden="false" customHeight="false" outlineLevel="0" collapsed="false">
      <c r="A235" s="50" t="n">
        <v>155</v>
      </c>
      <c r="B235" s="51" t="n">
        <f aca="false">1+IF($G$6=$E$6,$F$6,IF(P235&lt;($F$6-$E$6)/($G$6-$E$6),$E$6+SQRT(P235*($G$6-$E$6)*($F$6-$E$6)),$G$6-SQRT((1-P235)*($G$6-$E$6)*($G$6-$F$6))))</f>
        <v>1.01916555789075</v>
      </c>
      <c r="C235" s="51" t="n">
        <f aca="false">1+IF($G$7=$E$7,$F$7,IF(Q235&lt;($F$7-$E$7)/($G$7-$E$7),$E$7+SQRT(Q235*($G$7-$E$7)*($F$7-$E$7)),$G$7-SQRT((1-Q235)*($G$7-$E$7)*($G$7-$F$7))))</f>
        <v>1.01732622181182</v>
      </c>
      <c r="D235" s="51" t="n">
        <f aca="false">1+IF($G$8=$E$8,$F$8,IF(R235&lt;($F$8-$E$8)/($G$8-$E$8),$E$8+SQRT(R235*($G$8-$E$8)*($F$8-$E$8)),$G$8-SQRT((1-R235)*($G$8-$E$8)*($G$8-$F$8))))</f>
        <v>1.03801860576712</v>
      </c>
      <c r="E235" s="51" t="n">
        <f aca="false">1+IF($G$9=$E$9,$F$9,IF(S235&lt;($F$9-$E$9)/($G$9-$E$9),$E$9+SQRT(S235*($G$9-$E$9)*($F$9-$E$9)),$G$9-SQRT((1-S235)*($G$9-$E$9)*($G$9-$F$9))))</f>
        <v>1.10460094400084</v>
      </c>
      <c r="F235" s="51" t="n">
        <f aca="false">1+IF($G$10=$E$10,$F$10,IF(T235&lt;($F$10-$E$10)/($G$10-$E$10),$E$10+SQRT(T235*($G$10-$E$10)*($F$10-$E$10)),$G$10-SQRT((1-T235)*($G$10-$E$10)*($G$10-$F$10))))</f>
        <v>1.05366782963675</v>
      </c>
      <c r="G235" s="52" t="n">
        <f aca="false">IF($G$11=$E$11,$F$11,IF(U235&lt;($F$11-$E$11)/($G$11-$E$11),$E$11+SQRT(U235*($G$11-$E$11)*($F$11-$E$11)),$G$11-SQRT((1-U235)*($G$11-$E$11)*($G$11-$F$11))))</f>
        <v>0.111980997721232</v>
      </c>
      <c r="H235" s="53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-2107335659.2735</v>
      </c>
      <c r="I235" s="53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-7545939.33247651</v>
      </c>
      <c r="J235" s="53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301098106.733522</v>
      </c>
      <c r="K235" s="53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662425544.281357</v>
      </c>
      <c r="L235" s="53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801139525.101943</v>
      </c>
      <c r="M235" s="53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998219001.827505</v>
      </c>
      <c r="N235" s="53" t="n">
        <f aca="false">IF(COUNT('Business Case'!B11:G11)=0,"",H235+NPV(G235,I235:M235))</f>
        <v>-277716661.424762</v>
      </c>
      <c r="P235" s="54" t="n">
        <f aca="true">RAND()</f>
        <v>0.873231623974819</v>
      </c>
      <c r="Q235" s="54" t="n">
        <f aca="true">RAND()</f>
        <v>0.739224719722571</v>
      </c>
      <c r="R235" s="54" t="n">
        <f aca="true">RAND()</f>
        <v>0.743887117929854</v>
      </c>
      <c r="S235" s="54" t="n">
        <f aca="true">RAND()</f>
        <v>0.945038019050265</v>
      </c>
      <c r="T235" s="54" t="n">
        <f aca="true">RAND()</f>
        <v>0.486049051739421</v>
      </c>
      <c r="U235" s="54" t="n">
        <f aca="true">RAND()</f>
        <v>0.783543704585169</v>
      </c>
    </row>
    <row r="236" customFormat="false" ht="15" hidden="false" customHeight="false" outlineLevel="0" collapsed="false">
      <c r="A236" s="50" t="n">
        <v>156</v>
      </c>
      <c r="B236" s="51" t="n">
        <f aca="false">1+IF($G$6=$E$6,$F$6,IF(P236&lt;($F$6-$E$6)/($G$6-$E$6),$E$6+SQRT(P236*($G$6-$E$6)*($F$6-$E$6)),$G$6-SQRT((1-P236)*($G$6-$E$6)*($G$6-$F$6))))</f>
        <v>0.984134511595952</v>
      </c>
      <c r="C236" s="51" t="n">
        <f aca="false">1+IF($G$7=$E$7,$F$7,IF(Q236&lt;($F$7-$E$7)/($G$7-$E$7),$E$7+SQRT(Q236*($G$7-$E$7)*($F$7-$E$7)),$G$7-SQRT((1-Q236)*($G$7-$E$7)*($G$7-$F$7))))</f>
        <v>0.84300561416719</v>
      </c>
      <c r="D236" s="51" t="n">
        <f aca="false">1+IF($G$8=$E$8,$F$8,IF(R236&lt;($F$8-$E$8)/($G$8-$E$8),$E$8+SQRT(R236*($G$8-$E$8)*($F$8-$E$8)),$G$8-SQRT((1-R236)*($G$8-$E$8)*($G$8-$F$8))))</f>
        <v>1.01186147405748</v>
      </c>
      <c r="E236" s="51" t="n">
        <f aca="false">1+IF($G$9=$E$9,$F$9,IF(S236&lt;($F$9-$E$9)/($G$9-$E$9),$E$9+SQRT(S236*($G$9-$E$9)*($F$9-$E$9)),$G$9-SQRT((1-S236)*($G$9-$E$9)*($G$9-$F$9))))</f>
        <v>1.01358418920675</v>
      </c>
      <c r="F236" s="51" t="n">
        <f aca="false">1+IF($G$10=$E$10,$F$10,IF(T236&lt;($F$10-$E$10)/($G$10-$E$10),$E$10+SQRT(T236*($G$10-$E$10)*($F$10-$E$10)),$G$10-SQRT((1-T236)*($G$10-$E$10)*($G$10-$F$10))))</f>
        <v>1.21772497189681</v>
      </c>
      <c r="G236" s="52" t="n">
        <f aca="false">IF($G$11=$E$11,$F$11,IF(U236&lt;($F$11-$E$11)/($G$11-$E$11),$E$11+SQRT(U236*($G$11-$E$11)*($F$11-$E$11)),$G$11-SQRT((1-U236)*($G$11-$E$11)*($G$11-$F$11))))</f>
        <v>0.107488454947568</v>
      </c>
      <c r="H236" s="53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-2435449943.79362</v>
      </c>
      <c r="I236" s="53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-66055050.2745832</v>
      </c>
      <c r="J236" s="53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176802135.15407</v>
      </c>
      <c r="K236" s="53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480545569.177564</v>
      </c>
      <c r="L236" s="53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590170008.859353</v>
      </c>
      <c r="M236" s="53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747866253.823326</v>
      </c>
      <c r="N236" s="53" t="n">
        <f aca="false">IF(COUNT('Business Case'!B11:G11)=0,"",H236+NPV(G236,I236:M236))</f>
        <v>-1155999724.60433</v>
      </c>
      <c r="P236" s="54" t="n">
        <f aca="true">RAND()</f>
        <v>0.471907736099289</v>
      </c>
      <c r="Q236" s="54" t="n">
        <f aca="true">RAND()</f>
        <v>0.151485968024706</v>
      </c>
      <c r="R236" s="54" t="n">
        <f aca="true">RAND()</f>
        <v>0.482106682978594</v>
      </c>
      <c r="S236" s="54" t="n">
        <f aca="true">RAND()</f>
        <v>0.503752708416503</v>
      </c>
      <c r="T236" s="54" t="n">
        <f aca="true">RAND()</f>
        <v>0.986110967479177</v>
      </c>
      <c r="U236" s="54" t="n">
        <f aca="true">RAND()</f>
        <v>0.662153559568207</v>
      </c>
    </row>
    <row r="237" customFormat="false" ht="15" hidden="false" customHeight="false" outlineLevel="0" collapsed="false">
      <c r="A237" s="50" t="n">
        <v>157</v>
      </c>
      <c r="B237" s="51" t="n">
        <f aca="false">1+IF($G$6=$E$6,$F$6,IF(P237&lt;($F$6-$E$6)/($G$6-$E$6),$E$6+SQRT(P237*($G$6-$E$6)*($F$6-$E$6)),$G$6-SQRT((1-P237)*($G$6-$E$6)*($G$6-$F$6))))</f>
        <v>0.983629604873517</v>
      </c>
      <c r="C237" s="51" t="n">
        <f aca="false">1+IF($G$7=$E$7,$F$7,IF(Q237&lt;($F$7-$E$7)/($G$7-$E$7),$E$7+SQRT(Q237*($G$7-$E$7)*($F$7-$E$7)),$G$7-SQRT((1-Q237)*($G$7-$E$7)*($G$7-$F$7))))</f>
        <v>0.950798423631751</v>
      </c>
      <c r="D237" s="51" t="n">
        <f aca="false">1+IF($G$8=$E$8,$F$8,IF(R237&lt;($F$8-$E$8)/($G$8-$E$8),$E$8+SQRT(R237*($G$8-$E$8)*($F$8-$E$8)),$G$8-SQRT((1-R237)*($G$8-$E$8)*($G$8-$F$8))))</f>
        <v>1.0204185578921</v>
      </c>
      <c r="E237" s="51" t="n">
        <f aca="false">1+IF($G$9=$E$9,$F$9,IF(S237&lt;($F$9-$E$9)/($G$9-$E$9),$E$9+SQRT(S237*($G$9-$E$9)*($F$9-$E$9)),$G$9-SQRT((1-S237)*($G$9-$E$9)*($G$9-$F$9))))</f>
        <v>1.01512713777831</v>
      </c>
      <c r="F237" s="51" t="n">
        <f aca="false">1+IF($G$10=$E$10,$F$10,IF(T237&lt;($F$10-$E$10)/($G$10-$E$10),$E$10+SQRT(T237*($G$10-$E$10)*($F$10-$E$10)),$G$10-SQRT((1-T237)*($G$10-$E$10)*($G$10-$F$10))))</f>
        <v>1.02994927215966</v>
      </c>
      <c r="G237" s="52" t="n">
        <f aca="false">IF($G$11=$E$11,$F$11,IF(U237&lt;($F$11-$E$11)/($G$11-$E$11),$E$11+SQRT(U237*($G$11-$E$11)*($F$11-$E$11)),$G$11-SQRT((1-U237)*($G$11-$E$11)*($G$11-$F$11))))</f>
        <v>0.106116997497912</v>
      </c>
      <c r="H237" s="53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-2059898544.31933</v>
      </c>
      <c r="I237" s="53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-26476064.0371376</v>
      </c>
      <c r="J237" s="53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242876381.620392</v>
      </c>
      <c r="K237" s="53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563726290.885905</v>
      </c>
      <c r="L237" s="53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685832108.429499</v>
      </c>
      <c r="M237" s="53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863601287.880459</v>
      </c>
      <c r="N237" s="53" t="n">
        <f aca="false">IF(COUNT('Business Case'!B11:G11)=0,"",H237+NPV(G237,I237:M237))</f>
        <v>-489055609.968696</v>
      </c>
      <c r="P237" s="54" t="n">
        <f aca="true">RAND()</f>
        <v>0.466260720753374</v>
      </c>
      <c r="Q237" s="54" t="n">
        <f aca="true">RAND()</f>
        <v>0.465924809601268</v>
      </c>
      <c r="R237" s="54" t="n">
        <f aca="true">RAND()</f>
        <v>0.577786271468411</v>
      </c>
      <c r="S237" s="54" t="n">
        <f aca="true">RAND()</f>
        <v>0.514914960963454</v>
      </c>
      <c r="T237" s="54" t="n">
        <f aca="true">RAND()</f>
        <v>0.354369029025838</v>
      </c>
      <c r="U237" s="54" t="n">
        <f aca="true">RAND()</f>
        <v>0.619734794323503</v>
      </c>
    </row>
    <row r="238" customFormat="false" ht="15" hidden="false" customHeight="false" outlineLevel="0" collapsed="false">
      <c r="A238" s="50" t="n">
        <v>158</v>
      </c>
      <c r="B238" s="51" t="n">
        <f aca="false">1+IF($G$6=$E$6,$F$6,IF(P238&lt;($F$6-$E$6)/($G$6-$E$6),$E$6+SQRT(P238*($G$6-$E$6)*($F$6-$E$6)),$G$6-SQRT((1-P238)*($G$6-$E$6)*($G$6-$F$6))))</f>
        <v>0.993402409064801</v>
      </c>
      <c r="C238" s="51" t="n">
        <f aca="false">1+IF($G$7=$E$7,$F$7,IF(Q238&lt;($F$7-$E$7)/($G$7-$E$7),$E$7+SQRT(Q238*($G$7-$E$7)*($F$7-$E$7)),$G$7-SQRT((1-Q238)*($G$7-$E$7)*($G$7-$F$7))))</f>
        <v>1.01274297706248</v>
      </c>
      <c r="D238" s="51" t="n">
        <f aca="false">1+IF($G$8=$E$8,$F$8,IF(R238&lt;($F$8-$E$8)/($G$8-$E$8),$E$8+SQRT(R238*($G$8-$E$8)*($F$8-$E$8)),$G$8-SQRT((1-R238)*($G$8-$E$8)*($G$8-$F$8))))</f>
        <v>1.06612226301213</v>
      </c>
      <c r="E238" s="51" t="n">
        <f aca="false">1+IF($G$9=$E$9,$F$9,IF(S238&lt;($F$9-$E$9)/($G$9-$E$9),$E$9+SQRT(S238*($G$9-$E$9)*($F$9-$E$9)),$G$9-SQRT((1-S238)*($G$9-$E$9)*($G$9-$F$9))))</f>
        <v>1.01594487579586</v>
      </c>
      <c r="F238" s="51" t="n">
        <f aca="false">1+IF($G$10=$E$10,$F$10,IF(T238&lt;($F$10-$E$10)/($G$10-$E$10),$E$10+SQRT(T238*($G$10-$E$10)*($F$10-$E$10)),$G$10-SQRT((1-T238)*($G$10-$E$10)*($G$10-$F$10))))</f>
        <v>0.99028027118782</v>
      </c>
      <c r="G238" s="52" t="n">
        <f aca="false">IF($G$11=$E$11,$F$11,IF(U238&lt;($F$11-$E$11)/($G$11-$E$11),$E$11+SQRT(U238*($G$11-$E$11)*($F$11-$E$11)),$G$11-SQRT((1-U238)*($G$11-$E$11)*($G$11-$F$11))))</f>
        <v>0.108793758209375</v>
      </c>
      <c r="H238" s="53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-1980560542.37564</v>
      </c>
      <c r="I238" s="53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-24336989.6909328</v>
      </c>
      <c r="J238" s="53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246975627.5502</v>
      </c>
      <c r="K238" s="53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567802258.350723</v>
      </c>
      <c r="L238" s="53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693009276.414509</v>
      </c>
      <c r="M238" s="53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884241410.823254</v>
      </c>
      <c r="N238" s="53" t="n">
        <f aca="false">IF(COUNT('Business Case'!B11:G11)=0,"",H238+NPV(G238,I238:M238))</f>
        <v>-398982453.284356</v>
      </c>
      <c r="P238" s="54" t="n">
        <f aca="true">RAND()</f>
        <v>0.581600667940565</v>
      </c>
      <c r="Q238" s="54" t="n">
        <f aca="true">RAND()</f>
        <v>0.720896439323375</v>
      </c>
      <c r="R238" s="54" t="n">
        <f aca="true">RAND()</f>
        <v>0.923486595772027</v>
      </c>
      <c r="S238" s="54" t="n">
        <f aca="true">RAND()</f>
        <v>0.520779297989642</v>
      </c>
      <c r="T238" s="54" t="n">
        <f aca="true">RAND()</f>
        <v>0.108166683130956</v>
      </c>
      <c r="U238" s="54" t="n">
        <f aca="true">RAND()</f>
        <v>0.700196872745026</v>
      </c>
    </row>
    <row r="239" customFormat="false" ht="15" hidden="false" customHeight="false" outlineLevel="0" collapsed="false">
      <c r="A239" s="50" t="n">
        <v>159</v>
      </c>
      <c r="B239" s="51" t="n">
        <f aca="false">1+IF($G$6=$E$6,$F$6,IF(P239&lt;($F$6-$E$6)/($G$6-$E$6),$E$6+SQRT(P239*($G$6-$E$6)*($F$6-$E$6)),$G$6-SQRT((1-P239)*($G$6-$E$6)*($G$6-$F$6))))</f>
        <v>1.02108861724707</v>
      </c>
      <c r="C239" s="51" t="n">
        <f aca="false">1+IF($G$7=$E$7,$F$7,IF(Q239&lt;($F$7-$E$7)/($G$7-$E$7),$E$7+SQRT(Q239*($G$7-$E$7)*($F$7-$E$7)),$G$7-SQRT((1-Q239)*($G$7-$E$7)*($G$7-$F$7))))</f>
        <v>0.914723998831521</v>
      </c>
      <c r="D239" s="51" t="n">
        <f aca="false">1+IF($G$8=$E$8,$F$8,IF(R239&lt;($F$8-$E$8)/($G$8-$E$8),$E$8+SQRT(R239*($G$8-$E$8)*($F$8-$E$8)),$G$8-SQRT((1-R239)*($G$8-$E$8)*($G$8-$F$8))))</f>
        <v>1.07142146658724</v>
      </c>
      <c r="E239" s="51" t="n">
        <f aca="false">1+IF($G$9=$E$9,$F$9,IF(S239&lt;($F$9-$E$9)/($G$9-$E$9),$E$9+SQRT(S239*($G$9-$E$9)*($F$9-$E$9)),$G$9-SQRT((1-S239)*($G$9-$E$9)*($G$9-$F$9))))</f>
        <v>0.964628407039748</v>
      </c>
      <c r="F239" s="51" t="n">
        <f aca="false">1+IF($G$10=$E$10,$F$10,IF(T239&lt;($F$10-$E$10)/($G$10-$E$10),$E$10+SQRT(T239*($G$10-$E$10)*($F$10-$E$10)),$G$10-SQRT((1-T239)*($G$10-$E$10)*($G$10-$F$10))))</f>
        <v>1.04047234108822</v>
      </c>
      <c r="G239" s="52" t="n">
        <f aca="false">IF($G$11=$E$11,$F$11,IF(U239&lt;($F$11-$E$11)/($G$11-$E$11),$E$11+SQRT(U239*($G$11-$E$11)*($F$11-$E$11)),$G$11-SQRT((1-U239)*($G$11-$E$11)*($G$11-$F$11))))</f>
        <v>0.0996147704731407</v>
      </c>
      <c r="H239" s="53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-2080944682.17645</v>
      </c>
      <c r="I239" s="53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-26321481.3816812</v>
      </c>
      <c r="J239" s="53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236993730.22715</v>
      </c>
      <c r="K239" s="53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552332558.890392</v>
      </c>
      <c r="L239" s="53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672383829.027094</v>
      </c>
      <c r="M239" s="53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849921260.162766</v>
      </c>
      <c r="N239" s="53" t="n">
        <f aca="false">IF(COUNT('Business Case'!B11:G11)=0,"",H239+NPV(G239,I239:M239))</f>
        <v>-504919537.765183</v>
      </c>
      <c r="P239" s="54" t="n">
        <f aca="true">RAND()</f>
        <v>0.888550926308452</v>
      </c>
      <c r="Q239" s="54" t="n">
        <f aca="true">RAND()</f>
        <v>0.34152885684592</v>
      </c>
      <c r="R239" s="54" t="n">
        <f aca="true">RAND()</f>
        <v>0.945551161865041</v>
      </c>
      <c r="S239" s="54" t="n">
        <f aca="true">RAND()</f>
        <v>0.167073239859814</v>
      </c>
      <c r="T239" s="54" t="n">
        <f aca="true">RAND()</f>
        <v>0.414642135345999</v>
      </c>
      <c r="U239" s="54" t="n">
        <f aca="true">RAND()</f>
        <v>0.38473922071399</v>
      </c>
    </row>
    <row r="240" customFormat="false" ht="15" hidden="false" customHeight="false" outlineLevel="0" collapsed="false">
      <c r="A240" s="50" t="n">
        <v>160</v>
      </c>
      <c r="B240" s="51" t="n">
        <f aca="false">1+IF($G$6=$E$6,$F$6,IF(P240&lt;($F$6-$E$6)/($G$6-$E$6),$E$6+SQRT(P240*($G$6-$E$6)*($F$6-$E$6)),$G$6-SQRT((1-P240)*($G$6-$E$6)*($G$6-$F$6))))</f>
        <v>1.00263133907182</v>
      </c>
      <c r="C240" s="51" t="n">
        <f aca="false">1+IF($G$7=$E$7,$F$7,IF(Q240&lt;($F$7-$E$7)/($G$7-$E$7),$E$7+SQRT(Q240*($G$7-$E$7)*($F$7-$E$7)),$G$7-SQRT((1-Q240)*($G$7-$E$7)*($G$7-$F$7))))</f>
        <v>1.1213361673982</v>
      </c>
      <c r="D240" s="51" t="n">
        <f aca="false">1+IF($G$8=$E$8,$F$8,IF(R240&lt;($F$8-$E$8)/($G$8-$E$8),$E$8+SQRT(R240*($G$8-$E$8)*($F$8-$E$8)),$G$8-SQRT((1-R240)*($G$8-$E$8)*($G$8-$F$8))))</f>
        <v>0.989816307238068</v>
      </c>
      <c r="E240" s="51" t="n">
        <f aca="false">1+IF($G$9=$E$9,$F$9,IF(S240&lt;($F$9-$E$9)/($G$9-$E$9),$E$9+SQRT(S240*($G$9-$E$9)*($F$9-$E$9)),$G$9-SQRT((1-S240)*($G$9-$E$9)*($G$9-$F$9))))</f>
        <v>1.00292634986559</v>
      </c>
      <c r="F240" s="51" t="n">
        <f aca="false">1+IF($G$10=$E$10,$F$10,IF(T240&lt;($F$10-$E$10)/($G$10-$E$10),$E$10+SQRT(T240*($G$10-$E$10)*($F$10-$E$10)),$G$10-SQRT((1-T240)*($G$10-$E$10)*($G$10-$F$10))))</f>
        <v>1.20951819673337</v>
      </c>
      <c r="G240" s="52" t="n">
        <f aca="false">IF($G$11=$E$11,$F$11,IF(U240&lt;($F$11-$E$11)/($G$11-$E$11),$E$11+SQRT(U240*($G$11-$E$11)*($F$11-$E$11)),$G$11-SQRT((1-U240)*($G$11-$E$11)*($G$11-$F$11))))</f>
        <v>0.111894828564222</v>
      </c>
      <c r="H240" s="53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-2419036393.46675</v>
      </c>
      <c r="I240" s="53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30832229.7827189</v>
      </c>
      <c r="J240" s="53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383515433.023913</v>
      </c>
      <c r="K240" s="53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796674546.101776</v>
      </c>
      <c r="L240" s="53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953090965.071675</v>
      </c>
      <c r="M240" s="53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1166795396.79726</v>
      </c>
      <c r="N240" s="53" t="n">
        <f aca="false">IF(COUNT('Business Case'!B11:G11)=0,"",H240+NPV(G240,I240:M240))</f>
        <v>-191430565.222765</v>
      </c>
      <c r="P240" s="54" t="n">
        <f aca="true">RAND()</f>
        <v>0.700827994916136</v>
      </c>
      <c r="Q240" s="54" t="n">
        <f aca="true">RAND()</f>
        <v>0.987827921490013</v>
      </c>
      <c r="R240" s="54" t="n">
        <f aca="true">RAND()</f>
        <v>0.211378442943495</v>
      </c>
      <c r="S240" s="54" t="n">
        <f aca="true">RAND()</f>
        <v>0.423182438297102</v>
      </c>
      <c r="T240" s="54" t="n">
        <f aca="true">RAND()</f>
        <v>0.978149648057094</v>
      </c>
      <c r="U240" s="54" t="n">
        <f aca="true">RAND()</f>
        <v>0.781468511520714</v>
      </c>
    </row>
    <row r="241" customFormat="false" ht="15" hidden="false" customHeight="false" outlineLevel="0" collapsed="false">
      <c r="A241" s="50" t="n">
        <v>161</v>
      </c>
      <c r="B241" s="51" t="n">
        <f aca="false">1+IF($G$6=$E$6,$F$6,IF(P241&lt;($F$6-$E$6)/($G$6-$E$6),$E$6+SQRT(P241*($G$6-$E$6)*($F$6-$E$6)),$G$6-SQRT((1-P241)*($G$6-$E$6)*($G$6-$F$6))))</f>
        <v>0.972799277105172</v>
      </c>
      <c r="C241" s="51" t="n">
        <f aca="false">1+IF($G$7=$E$7,$F$7,IF(Q241&lt;($F$7-$E$7)/($G$7-$E$7),$E$7+SQRT(Q241*($G$7-$E$7)*($F$7-$E$7)),$G$7-SQRT((1-Q241)*($G$7-$E$7)*($G$7-$F$7))))</f>
        <v>0.811481625763454</v>
      </c>
      <c r="D241" s="51" t="n">
        <f aca="false">1+IF($G$8=$E$8,$F$8,IF(R241&lt;($F$8-$E$8)/($G$8-$E$8),$E$8+SQRT(R241*($G$8-$E$8)*($F$8-$E$8)),$G$8-SQRT((1-R241)*($G$8-$E$8)*($G$8-$F$8))))</f>
        <v>1.02926661818974</v>
      </c>
      <c r="E241" s="51" t="n">
        <f aca="false">1+IF($G$9=$E$9,$F$9,IF(S241&lt;($F$9-$E$9)/($G$9-$E$9),$E$9+SQRT(S241*($G$9-$E$9)*($F$9-$E$9)),$G$9-SQRT((1-S241)*($G$9-$E$9)*($G$9-$F$9))))</f>
        <v>1.00045303669098</v>
      </c>
      <c r="F241" s="51" t="n">
        <f aca="false">1+IF($G$10=$E$10,$F$10,IF(T241&lt;($F$10-$E$10)/($G$10-$E$10),$E$10+SQRT(T241*($G$10-$E$10)*($F$10-$E$10)),$G$10-SQRT((1-T241)*($G$10-$E$10)*($G$10-$F$10))))</f>
        <v>1.00151608140644</v>
      </c>
      <c r="G241" s="52" t="n">
        <f aca="false">IF($G$11=$E$11,$F$11,IF(U241&lt;($F$11-$E$11)/($G$11-$E$11),$E$11+SQRT(U241*($G$11-$E$11)*($F$11-$E$11)),$G$11-SQRT((1-U241)*($G$11-$E$11)*($G$11-$F$11))))</f>
        <v>0.108459534993439</v>
      </c>
      <c r="H241" s="53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-2003032162.81288</v>
      </c>
      <c r="I241" s="53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-64327811.6183108</v>
      </c>
      <c r="J241" s="53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154683355.747446</v>
      </c>
      <c r="K241" s="53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423770327.183525</v>
      </c>
      <c r="L241" s="53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524056015.656088</v>
      </c>
      <c r="M241" s="53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674106828.751298</v>
      </c>
      <c r="N241" s="53" t="n">
        <f aca="false">IF(COUNT('Business Case'!B11:G11)=0,"",H241+NPV(G241,I241:M241))</f>
        <v>-874049058.378559</v>
      </c>
      <c r="P241" s="54" t="n">
        <f aca="true">RAND()</f>
        <v>0.353315649802372</v>
      </c>
      <c r="Q241" s="54" t="n">
        <f aca="true">RAND()</f>
        <v>0.0920603917249104</v>
      </c>
      <c r="R241" s="54" t="n">
        <f aca="true">RAND()</f>
        <v>0.666452579845603</v>
      </c>
      <c r="S241" s="54" t="n">
        <f aca="true">RAND()</f>
        <v>0.403618820401358</v>
      </c>
      <c r="T241" s="54" t="n">
        <f aca="true">RAND()</f>
        <v>0.176743229338515</v>
      </c>
      <c r="U241" s="54" t="n">
        <f aca="true">RAND()</f>
        <v>0.6906722448674</v>
      </c>
    </row>
    <row r="242" customFormat="false" ht="15" hidden="false" customHeight="false" outlineLevel="0" collapsed="false">
      <c r="A242" s="50" t="n">
        <v>162</v>
      </c>
      <c r="B242" s="51" t="n">
        <f aca="false">1+IF($G$6=$E$6,$F$6,IF(P242&lt;($F$6-$E$6)/($G$6-$E$6),$E$6+SQRT(P242*($G$6-$E$6)*($F$6-$E$6)),$G$6-SQRT((1-P242)*($G$6-$E$6)*($G$6-$F$6))))</f>
        <v>1.0085573336393</v>
      </c>
      <c r="C242" s="51" t="n">
        <f aca="false">1+IF($G$7=$E$7,$F$7,IF(Q242&lt;($F$7-$E$7)/($G$7-$E$7),$E$7+SQRT(Q242*($G$7-$E$7)*($F$7-$E$7)),$G$7-SQRT((1-Q242)*($G$7-$E$7)*($G$7-$F$7))))</f>
        <v>0.788710207275258</v>
      </c>
      <c r="D242" s="51" t="n">
        <f aca="false">1+IF($G$8=$E$8,$F$8,IF(R242&lt;($F$8-$E$8)/($G$8-$E$8),$E$8+SQRT(R242*($G$8-$E$8)*($F$8-$E$8)),$G$8-SQRT((1-R242)*($G$8-$E$8)*($G$8-$F$8))))</f>
        <v>1.0522374262995</v>
      </c>
      <c r="E242" s="51" t="n">
        <f aca="false">1+IF($G$9=$E$9,$F$9,IF(S242&lt;($F$9-$E$9)/($G$9-$E$9),$E$9+SQRT(S242*($G$9-$E$9)*($F$9-$E$9)),$G$9-SQRT((1-S242)*($G$9-$E$9)*($G$9-$F$9))))</f>
        <v>0.990073447374419</v>
      </c>
      <c r="F242" s="51" t="n">
        <f aca="false">1+IF($G$10=$E$10,$F$10,IF(T242&lt;($F$10-$E$10)/($G$10-$E$10),$E$10+SQRT(T242*($G$10-$E$10)*($F$10-$E$10)),$G$10-SQRT((1-T242)*($G$10-$E$10)*($G$10-$F$10))))</f>
        <v>1.12849570642075</v>
      </c>
      <c r="G242" s="52" t="n">
        <f aca="false">IF($G$11=$E$11,$F$11,IF(U242&lt;($F$11-$E$11)/($G$11-$E$11),$E$11+SQRT(U242*($G$11-$E$11)*($F$11-$E$11)),$G$11-SQRT((1-U242)*($G$11-$E$11)*($G$11-$F$11))))</f>
        <v>0.0962231565943846</v>
      </c>
      <c r="H242" s="53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-2256991412.84149</v>
      </c>
      <c r="I242" s="53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-68183790.8841769</v>
      </c>
      <c r="J242" s="53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158507051.686686</v>
      </c>
      <c r="K242" s="53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441622679.578586</v>
      </c>
      <c r="L242" s="53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544677372.833089</v>
      </c>
      <c r="M242" s="53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695878307.686272</v>
      </c>
      <c r="N242" s="53" t="n">
        <f aca="false">IF(COUNT('Business Case'!B11:G11)=0,"",H242+NPV(G242,I242:M242))</f>
        <v>-1035293528.26797</v>
      </c>
      <c r="P242" s="54" t="n">
        <f aca="true">RAND()</f>
        <v>0.771000720655392</v>
      </c>
      <c r="Q242" s="54" t="n">
        <f aca="true">RAND()</f>
        <v>0.0582925990727346</v>
      </c>
      <c r="R242" s="54" t="n">
        <f aca="true">RAND()</f>
        <v>0.847915770233588</v>
      </c>
      <c r="S242" s="54" t="n">
        <f aca="true">RAND()</f>
        <v>0.32452903687649</v>
      </c>
      <c r="T242" s="54" t="n">
        <f aca="true">RAND()</f>
        <v>0.80315608855742</v>
      </c>
      <c r="U242" s="54" t="n">
        <f aca="true">RAND()</f>
        <v>0.263190809885924</v>
      </c>
    </row>
    <row r="243" customFormat="false" ht="15" hidden="false" customHeight="false" outlineLevel="0" collapsed="false">
      <c r="A243" s="50" t="n">
        <v>163</v>
      </c>
      <c r="B243" s="51" t="n">
        <f aca="false">1+IF($G$6=$E$6,$F$6,IF(P243&lt;($F$6-$E$6)/($G$6-$E$6),$E$6+SQRT(P243*($G$6-$E$6)*($F$6-$E$6)),$G$6-SQRT((1-P243)*($G$6-$E$6)*($G$6-$F$6))))</f>
        <v>1.02833651846002</v>
      </c>
      <c r="C243" s="51" t="n">
        <f aca="false">1+IF($G$7=$E$7,$F$7,IF(Q243&lt;($F$7-$E$7)/($G$7-$E$7),$E$7+SQRT(Q243*($G$7-$E$7)*($F$7-$E$7)),$G$7-SQRT((1-Q243)*($G$7-$E$7)*($G$7-$F$7))))</f>
        <v>0.825244430865287</v>
      </c>
      <c r="D243" s="51" t="n">
        <f aca="false">1+IF($G$8=$E$8,$F$8,IF(R243&lt;($F$8-$E$8)/($G$8-$E$8),$E$8+SQRT(R243*($G$8-$E$8)*($F$8-$E$8)),$G$8-SQRT((1-R243)*($G$8-$E$8)*($G$8-$F$8))))</f>
        <v>1.02025723742726</v>
      </c>
      <c r="E243" s="51" t="n">
        <f aca="false">1+IF($G$9=$E$9,$F$9,IF(S243&lt;($F$9-$E$9)/($G$9-$E$9),$E$9+SQRT(S243*($G$9-$E$9)*($F$9-$E$9)),$G$9-SQRT((1-S243)*($G$9-$E$9)*($G$9-$F$9))))</f>
        <v>0.938749352548712</v>
      </c>
      <c r="F243" s="51" t="n">
        <f aca="false">1+IF($G$10=$E$10,$F$10,IF(T243&lt;($F$10-$E$10)/($G$10-$E$10),$E$10+SQRT(T243*($G$10-$E$10)*($F$10-$E$10)),$G$10-SQRT((1-T243)*($G$10-$E$10)*($G$10-$F$10))))</f>
        <v>1.07310962614911</v>
      </c>
      <c r="G243" s="52" t="n">
        <f aca="false">IF($G$11=$E$11,$F$11,IF(U243&lt;($F$11-$E$11)/($G$11-$E$11),$E$11+SQRT(U243*($G$11-$E$11)*($F$11-$E$11)),$G$11-SQRT((1-U243)*($G$11-$E$11)*($G$11-$F$11))))</f>
        <v>0.09306804764101</v>
      </c>
      <c r="H243" s="53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-2146219252.29823</v>
      </c>
      <c r="I243" s="53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-20722791.1223999</v>
      </c>
      <c r="J243" s="53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243348464.880508</v>
      </c>
      <c r="K243" s="53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561075202.190871</v>
      </c>
      <c r="L243" s="53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678427571.910486</v>
      </c>
      <c r="M243" s="53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839734969.36304</v>
      </c>
      <c r="N243" s="53" t="n">
        <f aca="false">IF(COUNT('Business Case'!B11:G11)=0,"",H243+NPV(G243,I243:M243))</f>
        <v>-518493774.696051</v>
      </c>
      <c r="P243" s="54" t="n">
        <f aca="true">RAND()</f>
        <v>0.937425809008941</v>
      </c>
      <c r="Q243" s="54" t="n">
        <f aca="true">RAND()</f>
        <v>0.116193833057553</v>
      </c>
      <c r="R243" s="54" t="n">
        <f aca="true">RAND()</f>
        <v>0.576072787817843</v>
      </c>
      <c r="S243" s="54" t="n">
        <f aca="true">RAND()</f>
        <v>0.0600604929177748</v>
      </c>
      <c r="T243" s="54" t="n">
        <f aca="true">RAND()</f>
        <v>0.582797275185248</v>
      </c>
      <c r="U243" s="54" t="n">
        <f aca="true">RAND()</f>
        <v>0.170773869147706</v>
      </c>
    </row>
    <row r="244" customFormat="false" ht="15" hidden="false" customHeight="false" outlineLevel="0" collapsed="false">
      <c r="A244" s="50" t="n">
        <v>164</v>
      </c>
      <c r="B244" s="51" t="n">
        <f aca="false">1+IF($G$6=$E$6,$F$6,IF(P244&lt;($F$6-$E$6)/($G$6-$E$6),$E$6+SQRT(P244*($G$6-$E$6)*($F$6-$E$6)),$G$6-SQRT((1-P244)*($G$6-$E$6)*($G$6-$F$6))))</f>
        <v>1.00586794388498</v>
      </c>
      <c r="C244" s="51" t="n">
        <f aca="false">1+IF($G$7=$E$7,$F$7,IF(Q244&lt;($F$7-$E$7)/($G$7-$E$7),$E$7+SQRT(Q244*($G$7-$E$7)*($F$7-$E$7)),$G$7-SQRT((1-Q244)*($G$7-$E$7)*($G$7-$F$7))))</f>
        <v>0.981917576145162</v>
      </c>
      <c r="D244" s="51" t="n">
        <f aca="false">1+IF($G$8=$E$8,$F$8,IF(R244&lt;($F$8-$E$8)/($G$8-$E$8),$E$8+SQRT(R244*($G$8-$E$8)*($F$8-$E$8)),$G$8-SQRT((1-R244)*($G$8-$E$8)*($G$8-$F$8))))</f>
        <v>1.02152023946422</v>
      </c>
      <c r="E244" s="51" t="n">
        <f aca="false">1+IF($G$9=$E$9,$F$9,IF(S244&lt;($F$9-$E$9)/($G$9-$E$9),$E$9+SQRT(S244*($G$9-$E$9)*($F$9-$E$9)),$G$9-SQRT((1-S244)*($G$9-$E$9)*($G$9-$F$9))))</f>
        <v>1.00956144365166</v>
      </c>
      <c r="F244" s="51" t="n">
        <f aca="false">1+IF($G$10=$E$10,$F$10,IF(T244&lt;($F$10-$E$10)/($G$10-$E$10),$E$10+SQRT(T244*($G$10-$E$10)*($F$10-$E$10)),$G$10-SQRT((1-T244)*($G$10-$E$10)*($G$10-$F$10))))</f>
        <v>0.987806203485272</v>
      </c>
      <c r="G244" s="52" t="n">
        <f aca="false">IF($G$11=$E$11,$F$11,IF(U244&lt;($F$11-$E$11)/($G$11-$E$11),$E$11+SQRT(U244*($G$11-$E$11)*($F$11-$E$11)),$G$11-SQRT((1-U244)*($G$11-$E$11)*($G$11-$F$11))))</f>
        <v>0.101765445367737</v>
      </c>
      <c r="H244" s="53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-1975612406.97054</v>
      </c>
      <c r="I244" s="53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1958315.05686267</v>
      </c>
      <c r="J244" s="53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297458188.539224</v>
      </c>
      <c r="K244" s="53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642348372.19585</v>
      </c>
      <c r="L244" s="53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774982530.549774</v>
      </c>
      <c r="M244" s="53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962720633.44536</v>
      </c>
      <c r="N244" s="53" t="n">
        <f aca="false">IF(COUNT('Business Case'!B11:G11)=0,"",H244+NPV(G244,I244:M244))</f>
        <v>-129560631.790393</v>
      </c>
      <c r="P244" s="54" t="n">
        <f aca="true">RAND()</f>
        <v>0.740314883074811</v>
      </c>
      <c r="Q244" s="54" t="n">
        <f aca="true">RAND()</f>
        <v>0.588722368441209</v>
      </c>
      <c r="R244" s="54" t="n">
        <f aca="true">RAND()</f>
        <v>0.589395145749823</v>
      </c>
      <c r="S244" s="54" t="n">
        <f aca="true">RAND()</f>
        <v>0.474053650421204</v>
      </c>
      <c r="T244" s="54" t="n">
        <f aca="true">RAND()</f>
        <v>0.0952872681313187</v>
      </c>
      <c r="U244" s="54" t="n">
        <f aca="true">RAND()</f>
        <v>0.468539949811841</v>
      </c>
    </row>
    <row r="245" customFormat="false" ht="15" hidden="false" customHeight="false" outlineLevel="0" collapsed="false">
      <c r="A245" s="50" t="n">
        <v>165</v>
      </c>
      <c r="B245" s="51" t="n">
        <f aca="false">1+IF($G$6=$E$6,$F$6,IF(P245&lt;($F$6-$E$6)/($G$6-$E$6),$E$6+SQRT(P245*($G$6-$E$6)*($F$6-$E$6)),$G$6-SQRT((1-P245)*($G$6-$E$6)*($G$6-$F$6))))</f>
        <v>1.00488159977528</v>
      </c>
      <c r="C245" s="51" t="n">
        <f aca="false">1+IF($G$7=$E$7,$F$7,IF(Q245&lt;($F$7-$E$7)/($G$7-$E$7),$E$7+SQRT(Q245*($G$7-$E$7)*($F$7-$E$7)),$G$7-SQRT((1-Q245)*($G$7-$E$7)*($G$7-$F$7))))</f>
        <v>0.803100609794228</v>
      </c>
      <c r="D245" s="51" t="n">
        <f aca="false">1+IF($G$8=$E$8,$F$8,IF(R245&lt;($F$8-$E$8)/($G$8-$E$8),$E$8+SQRT(R245*($G$8-$E$8)*($F$8-$E$8)),$G$8-SQRT((1-R245)*($G$8-$E$8)*($G$8-$F$8))))</f>
        <v>0.980513444652987</v>
      </c>
      <c r="E245" s="51" t="n">
        <f aca="false">1+IF($G$9=$E$9,$F$9,IF(S245&lt;($F$9-$E$9)/($G$9-$E$9),$E$9+SQRT(S245*($G$9-$E$9)*($F$9-$E$9)),$G$9-SQRT((1-S245)*($G$9-$E$9)*($G$9-$F$9))))</f>
        <v>0.950932985925573</v>
      </c>
      <c r="F245" s="51" t="n">
        <f aca="false">1+IF($G$10=$E$10,$F$10,IF(T245&lt;($F$10-$E$10)/($G$10-$E$10),$E$10+SQRT(T245*($G$10-$E$10)*($F$10-$E$10)),$G$10-SQRT((1-T245)*($G$10-$E$10)*($G$10-$F$10))))</f>
        <v>1.22946415401416</v>
      </c>
      <c r="G245" s="52" t="n">
        <f aca="false">IF($G$11=$E$11,$F$11,IF(U245&lt;($F$11-$E$11)/($G$11-$E$11),$E$11+SQRT(U245*($G$11-$E$11)*($F$11-$E$11)),$G$11-SQRT((1-U245)*($G$11-$E$11)*($G$11-$F$11))))</f>
        <v>0.115908860122951</v>
      </c>
      <c r="H245" s="53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-2458928308.02831</v>
      </c>
      <c r="I245" s="53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-42108618.4490973</v>
      </c>
      <c r="J245" s="53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215787819.066377</v>
      </c>
      <c r="K245" s="53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535157464.282559</v>
      </c>
      <c r="L245" s="53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649013590.09741</v>
      </c>
      <c r="M245" s="53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802412146.634055</v>
      </c>
      <c r="N245" s="53" t="n">
        <f aca="false">IF(COUNT('Business Case'!B11:G11)=0,"",H245+NPV(G245,I245:M245))</f>
        <v>-1055995568.69199</v>
      </c>
      <c r="P245" s="54" t="n">
        <f aca="true">RAND()</f>
        <v>0.728577328154965</v>
      </c>
      <c r="Q245" s="54" t="n">
        <f aca="true">RAND()</f>
        <v>0.0787387832588276</v>
      </c>
      <c r="R245" s="54" t="n">
        <f aca="true">RAND()</f>
        <v>0.124142707278788</v>
      </c>
      <c r="S245" s="54" t="n">
        <f aca="true">RAND()</f>
        <v>0.103766762211785</v>
      </c>
      <c r="T245" s="54" t="n">
        <f aca="true">RAND()</f>
        <v>0.99437705372861</v>
      </c>
      <c r="U245" s="54" t="n">
        <f aca="true">RAND()</f>
        <v>0.867626517976968</v>
      </c>
    </row>
    <row r="246" customFormat="false" ht="15" hidden="false" customHeight="false" outlineLevel="0" collapsed="false">
      <c r="A246" s="50" t="n">
        <v>166</v>
      </c>
      <c r="B246" s="51" t="n">
        <f aca="false">1+IF($G$6=$E$6,$F$6,IF(P246&lt;($F$6-$E$6)/($G$6-$E$6),$E$6+SQRT(P246*($G$6-$E$6)*($F$6-$E$6)),$G$6-SQRT((1-P246)*($G$6-$E$6)*($G$6-$F$6))))</f>
        <v>0.962870261198188</v>
      </c>
      <c r="C246" s="51" t="n">
        <f aca="false">1+IF($G$7=$E$7,$F$7,IF(Q246&lt;($F$7-$E$7)/($G$7-$E$7),$E$7+SQRT(Q246*($G$7-$E$7)*($F$7-$E$7)),$G$7-SQRT((1-Q246)*($G$7-$E$7)*($G$7-$F$7))))</f>
        <v>0.904338279231843</v>
      </c>
      <c r="D246" s="51" t="n">
        <f aca="false">1+IF($G$8=$E$8,$F$8,IF(R246&lt;($F$8-$E$8)/($G$8-$E$8),$E$8+SQRT(R246*($G$8-$E$8)*($F$8-$E$8)),$G$8-SQRT((1-R246)*($G$8-$E$8)*($G$8-$F$8))))</f>
        <v>1.03175247411672</v>
      </c>
      <c r="E246" s="51" t="n">
        <f aca="false">1+IF($G$9=$E$9,$F$9,IF(S246&lt;($F$9-$E$9)/($G$9-$E$9),$E$9+SQRT(S246*($G$9-$E$9)*($F$9-$E$9)),$G$9-SQRT((1-S246)*($G$9-$E$9)*($G$9-$F$9))))</f>
        <v>0.927949070716766</v>
      </c>
      <c r="F246" s="51" t="n">
        <f aca="false">1+IF($G$10=$E$10,$F$10,IF(T246&lt;($F$10-$E$10)/($G$10-$E$10),$E$10+SQRT(T246*($G$10-$E$10)*($F$10-$E$10)),$G$10-SQRT((1-T246)*($G$10-$E$10)*($G$10-$F$10))))</f>
        <v>1.09737444549961</v>
      </c>
      <c r="G246" s="52" t="n">
        <f aca="false">IF($G$11=$E$11,$F$11,IF(U246&lt;($F$11-$E$11)/($G$11-$E$11),$E$11+SQRT(U246*($G$11-$E$11)*($F$11-$E$11)),$G$11-SQRT((1-U246)*($G$11-$E$11)*($G$11-$F$11))))</f>
        <v>0.111872598336093</v>
      </c>
      <c r="H246" s="53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-2194748890.99922</v>
      </c>
      <c r="I246" s="53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-51265155.5778383</v>
      </c>
      <c r="J246" s="53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184301712.207632</v>
      </c>
      <c r="K246" s="53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474737302.268082</v>
      </c>
      <c r="L246" s="53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583353072.168189</v>
      </c>
      <c r="M246" s="53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748867215.678741</v>
      </c>
      <c r="N246" s="53" t="n">
        <f aca="false">IF(COUNT('Business Case'!B11:G11)=0,"",H246+NPV(G246,I246:M246))</f>
        <v>-924026081.53811</v>
      </c>
      <c r="P246" s="54" t="n">
        <f aca="true">RAND()</f>
        <v>0.26351131620856</v>
      </c>
      <c r="Q246" s="54" t="n">
        <f aca="true">RAND()</f>
        <v>0.309289869329115</v>
      </c>
      <c r="R246" s="54" t="n">
        <f aca="true">RAND()</f>
        <v>0.689485014054024</v>
      </c>
      <c r="S246" s="54" t="n">
        <f aca="true">RAND()</f>
        <v>0.0312460221572305</v>
      </c>
      <c r="T246" s="54" t="n">
        <f aca="true">RAND()</f>
        <v>0.689405868179307</v>
      </c>
      <c r="U246" s="54" t="n">
        <f aca="true">RAND()</f>
        <v>0.780931539276912</v>
      </c>
    </row>
    <row r="247" customFormat="false" ht="15" hidden="false" customHeight="false" outlineLevel="0" collapsed="false">
      <c r="A247" s="50" t="n">
        <v>167</v>
      </c>
      <c r="B247" s="51" t="n">
        <f aca="false">1+IF($G$6=$E$6,$F$6,IF(P247&lt;($F$6-$E$6)/($G$6-$E$6),$E$6+SQRT(P247*($G$6-$E$6)*($F$6-$E$6)),$G$6-SQRT((1-P247)*($G$6-$E$6)*($G$6-$F$6))))</f>
        <v>0.975324706233135</v>
      </c>
      <c r="C247" s="51" t="n">
        <f aca="false">1+IF($G$7=$E$7,$F$7,IF(Q247&lt;($F$7-$E$7)/($G$7-$E$7),$E$7+SQRT(Q247*($G$7-$E$7)*($F$7-$E$7)),$G$7-SQRT((1-Q247)*($G$7-$E$7)*($G$7-$F$7))))</f>
        <v>0.88231616326962</v>
      </c>
      <c r="D247" s="51" t="n">
        <f aca="false">1+IF($G$8=$E$8,$F$8,IF(R247&lt;($F$8-$E$8)/($G$8-$E$8),$E$8+SQRT(R247*($G$8-$E$8)*($F$8-$E$8)),$G$8-SQRT((1-R247)*($G$8-$E$8)*($G$8-$F$8))))</f>
        <v>0.975311507050172</v>
      </c>
      <c r="E247" s="51" t="n">
        <f aca="false">1+IF($G$9=$E$9,$F$9,IF(S247&lt;($F$9-$E$9)/($G$9-$E$9),$E$9+SQRT(S247*($G$9-$E$9)*($F$9-$E$9)),$G$9-SQRT((1-S247)*($G$9-$E$9)*($G$9-$F$9))))</f>
        <v>1.06647304430161</v>
      </c>
      <c r="F247" s="51" t="n">
        <f aca="false">1+IF($G$10=$E$10,$F$10,IF(T247&lt;($F$10-$E$10)/($G$10-$E$10),$E$10+SQRT(T247*($G$10-$E$10)*($F$10-$E$10)),$G$10-SQRT((1-T247)*($G$10-$E$10)*($G$10-$F$10))))</f>
        <v>1.20793874214772</v>
      </c>
      <c r="G247" s="52" t="n">
        <f aca="false">IF($G$11=$E$11,$F$11,IF(U247&lt;($F$11-$E$11)/($G$11-$E$11),$E$11+SQRT(U247*($G$11-$E$11)*($F$11-$E$11)),$G$11-SQRT((1-U247)*($G$11-$E$11)*($G$11-$F$11))))</f>
        <v>0.115340481826549</v>
      </c>
      <c r="H247" s="53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-2415877484.29544</v>
      </c>
      <c r="I247" s="53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-52732977.4566578</v>
      </c>
      <c r="J247" s="53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211591026.183482</v>
      </c>
      <c r="K247" s="53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536311966.931008</v>
      </c>
      <c r="L247" s="53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654160394.79928</v>
      </c>
      <c r="M247" s="53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817732741.40118</v>
      </c>
      <c r="N247" s="53" t="n">
        <f aca="false">IF(COUNT('Business Case'!B11:G11)=0,"",H247+NPV(G247,I247:M247))</f>
        <v>-1010026594.61598</v>
      </c>
      <c r="P247" s="54" t="n">
        <f aca="true">RAND()</f>
        <v>0.378254091273869</v>
      </c>
      <c r="Q247" s="54" t="n">
        <f aca="true">RAND()</f>
        <v>0.24621617325448</v>
      </c>
      <c r="R247" s="54" t="n">
        <f aca="true">RAND()</f>
        <v>0.0854229852201199</v>
      </c>
      <c r="S247" s="54" t="n">
        <f aca="true">RAND()</f>
        <v>0.813953271246926</v>
      </c>
      <c r="T247" s="54" t="n">
        <f aca="true">RAND()</f>
        <v>0.976411341171789</v>
      </c>
      <c r="U247" s="54" t="n">
        <f aca="true">RAND()</f>
        <v>0.856732351281499</v>
      </c>
    </row>
    <row r="248" customFormat="false" ht="15" hidden="false" customHeight="false" outlineLevel="0" collapsed="false">
      <c r="A248" s="50" t="n">
        <v>168</v>
      </c>
      <c r="B248" s="51" t="n">
        <f aca="false">1+IF($G$6=$E$6,$F$6,IF(P248&lt;($F$6-$E$6)/($G$6-$E$6),$E$6+SQRT(P248*($G$6-$E$6)*($F$6-$E$6)),$G$6-SQRT((1-P248)*($G$6-$E$6)*($G$6-$F$6))))</f>
        <v>0.963544142646916</v>
      </c>
      <c r="C248" s="51" t="n">
        <f aca="false">1+IF($G$7=$E$7,$F$7,IF(Q248&lt;($F$7-$E$7)/($G$7-$E$7),$E$7+SQRT(Q248*($G$7-$E$7)*($F$7-$E$7)),$G$7-SQRT((1-Q248)*($G$7-$E$7)*($G$7-$F$7))))</f>
        <v>0.916745421874352</v>
      </c>
      <c r="D248" s="51" t="n">
        <f aca="false">1+IF($G$8=$E$8,$F$8,IF(R248&lt;($F$8-$E$8)/($G$8-$E$8),$E$8+SQRT(R248*($G$8-$E$8)*($F$8-$E$8)),$G$8-SQRT((1-R248)*($G$8-$E$8)*($G$8-$F$8))))</f>
        <v>1.00025584599704</v>
      </c>
      <c r="E248" s="51" t="n">
        <f aca="false">1+IF($G$9=$E$9,$F$9,IF(S248&lt;($F$9-$E$9)/($G$9-$E$9),$E$9+SQRT(S248*($G$9-$E$9)*($F$9-$E$9)),$G$9-SQRT((1-S248)*($G$9-$E$9)*($G$9-$F$9))))</f>
        <v>0.981434498592534</v>
      </c>
      <c r="F248" s="51" t="n">
        <f aca="false">1+IF($G$10=$E$10,$F$10,IF(T248&lt;($F$10-$E$10)/($G$10-$E$10),$E$10+SQRT(T248*($G$10-$E$10)*($F$10-$E$10)),$G$10-SQRT((1-T248)*($G$10-$E$10)*($G$10-$F$10))))</f>
        <v>1.12623374547056</v>
      </c>
      <c r="G248" s="52" t="n">
        <f aca="false">IF($G$11=$E$11,$F$11,IF(U248&lt;($F$11-$E$11)/($G$11-$E$11),$E$11+SQRT(U248*($G$11-$E$11)*($F$11-$E$11)),$G$11-SQRT((1-U248)*($G$11-$E$11)*($G$11-$F$11))))</f>
        <v>0.0990581066085683</v>
      </c>
      <c r="H248" s="53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-2252467490.94111</v>
      </c>
      <c r="I248" s="53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-43888783.1487362</v>
      </c>
      <c r="J248" s="53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210197345.440756</v>
      </c>
      <c r="K248" s="53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520595161.303775</v>
      </c>
      <c r="L248" s="53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635818238.494481</v>
      </c>
      <c r="M248" s="53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803720593.962632</v>
      </c>
      <c r="N248" s="53" t="n">
        <f aca="false">IF(COUNT('Business Case'!B11:G11)=0,"",H248+NPV(G248,I248:M248))</f>
        <v>-789296219.789545</v>
      </c>
      <c r="P248" s="54" t="n">
        <f aca="true">RAND()</f>
        <v>0.269190537648771</v>
      </c>
      <c r="Q248" s="54" t="n">
        <f aca="true">RAND()</f>
        <v>0.347989465951783</v>
      </c>
      <c r="R248" s="54" t="n">
        <f aca="true">RAND()</f>
        <v>0.336740249482199</v>
      </c>
      <c r="S248" s="54" t="n">
        <f aca="true">RAND()</f>
        <v>0.265263102440699</v>
      </c>
      <c r="T248" s="54" t="n">
        <f aca="true">RAND()</f>
        <v>0.795758856530039</v>
      </c>
      <c r="U248" s="54" t="n">
        <f aca="true">RAND()</f>
        <v>0.363211427503555</v>
      </c>
    </row>
    <row r="249" customFormat="false" ht="15" hidden="false" customHeight="false" outlineLevel="0" collapsed="false">
      <c r="A249" s="50" t="n">
        <v>169</v>
      </c>
      <c r="B249" s="51" t="n">
        <f aca="false">1+IF($G$6=$E$6,$F$6,IF(P249&lt;($F$6-$E$6)/($G$6-$E$6),$E$6+SQRT(P249*($G$6-$E$6)*($F$6-$E$6)),$G$6-SQRT((1-P249)*($G$6-$E$6)*($G$6-$F$6))))</f>
        <v>0.943271738922432</v>
      </c>
      <c r="C249" s="51" t="n">
        <f aca="false">1+IF($G$7=$E$7,$F$7,IF(Q249&lt;($F$7-$E$7)/($G$7-$E$7),$E$7+SQRT(Q249*($G$7-$E$7)*($F$7-$E$7)),$G$7-SQRT((1-Q249)*($G$7-$E$7)*($G$7-$F$7))))</f>
        <v>0.790838642695095</v>
      </c>
      <c r="D249" s="51" t="n">
        <f aca="false">1+IF($G$8=$E$8,$F$8,IF(R249&lt;($F$8-$E$8)/($G$8-$E$8),$E$8+SQRT(R249*($G$8-$E$8)*($F$8-$E$8)),$G$8-SQRT((1-R249)*($G$8-$E$8)*($G$8-$F$8))))</f>
        <v>1.01482633823123</v>
      </c>
      <c r="E249" s="51" t="n">
        <f aca="false">1+IF($G$9=$E$9,$F$9,IF(S249&lt;($F$9-$E$9)/($G$9-$E$9),$E$9+SQRT(S249*($G$9-$E$9)*($F$9-$E$9)),$G$9-SQRT((1-S249)*($G$9-$E$9)*($G$9-$F$9))))</f>
        <v>0.943133232410995</v>
      </c>
      <c r="F249" s="51" t="n">
        <f aca="false">1+IF($G$10=$E$10,$F$10,IF(T249&lt;($F$10-$E$10)/($G$10-$E$10),$E$10+SQRT(T249*($G$10-$E$10)*($F$10-$E$10)),$G$10-SQRT((1-T249)*($G$10-$E$10)*($G$10-$F$10))))</f>
        <v>0.996007036341204</v>
      </c>
      <c r="G249" s="52" t="n">
        <f aca="false">IF($G$11=$E$11,$F$11,IF(U249&lt;($F$11-$E$11)/($G$11-$E$11),$E$11+SQRT(U249*($G$11-$E$11)*($F$11-$E$11)),$G$11-SQRT((1-U249)*($G$11-$E$11)*($G$11-$F$11))))</f>
        <v>0.0934696004273976</v>
      </c>
      <c r="H249" s="53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-1992014072.68241</v>
      </c>
      <c r="I249" s="53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-72226292.4704855</v>
      </c>
      <c r="J249" s="53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127933046.791828</v>
      </c>
      <c r="K249" s="53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377892737.871201</v>
      </c>
      <c r="L249" s="53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470393439.258528</v>
      </c>
      <c r="M249" s="53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612188508.241255</v>
      </c>
      <c r="N249" s="53" t="n">
        <f aca="false">IF(COUNT('Business Case'!B11:G11)=0,"",H249+NPV(G249,I249:M249))</f>
        <v>-941399174.746463</v>
      </c>
      <c r="P249" s="54" t="n">
        <f aca="true">RAND()</f>
        <v>0.124829559291406</v>
      </c>
      <c r="Q249" s="54" t="n">
        <f aca="true">RAND()</f>
        <v>0.0611234000495341</v>
      </c>
      <c r="R249" s="54" t="n">
        <f aca="true">RAND()</f>
        <v>0.516363156059968</v>
      </c>
      <c r="S249" s="54" t="n">
        <f aca="true">RAND()</f>
        <v>0.0744190295288359</v>
      </c>
      <c r="T249" s="54" t="n">
        <f aca="true">RAND()</f>
        <v>0.14110982619339</v>
      </c>
      <c r="U249" s="54" t="n">
        <f aca="true">RAND()</f>
        <v>0.181430135673749</v>
      </c>
    </row>
    <row r="250" customFormat="false" ht="15" hidden="false" customHeight="false" outlineLevel="0" collapsed="false">
      <c r="A250" s="50" t="n">
        <v>170</v>
      </c>
      <c r="B250" s="51" t="n">
        <f aca="false">1+IF($G$6=$E$6,$F$6,IF(P250&lt;($F$6-$E$6)/($G$6-$E$6),$E$6+SQRT(P250*($G$6-$E$6)*($F$6-$E$6)),$G$6-SQRT((1-P250)*($G$6-$E$6)*($G$6-$F$6))))</f>
        <v>0.986813574582143</v>
      </c>
      <c r="C250" s="51" t="n">
        <f aca="false">1+IF($G$7=$E$7,$F$7,IF(Q250&lt;($F$7-$E$7)/($G$7-$E$7),$E$7+SQRT(Q250*($G$7-$E$7)*($F$7-$E$7)),$G$7-SQRT((1-Q250)*($G$7-$E$7)*($G$7-$F$7))))</f>
        <v>1.08416514893247</v>
      </c>
      <c r="D250" s="51" t="n">
        <f aca="false">1+IF($G$8=$E$8,$F$8,IF(R250&lt;($F$8-$E$8)/($G$8-$E$8),$E$8+SQRT(R250*($G$8-$E$8)*($F$8-$E$8)),$G$8-SQRT((1-R250)*($G$8-$E$8)*($G$8-$F$8))))</f>
        <v>1.0407317148169</v>
      </c>
      <c r="E250" s="51" t="n">
        <f aca="false">1+IF($G$9=$E$9,$F$9,IF(S250&lt;($F$9-$E$9)/($G$9-$E$9),$E$9+SQRT(S250*($G$9-$E$9)*($F$9-$E$9)),$G$9-SQRT((1-S250)*($G$9-$E$9)*($G$9-$F$9))))</f>
        <v>0.973795805377496</v>
      </c>
      <c r="F250" s="51" t="n">
        <f aca="false">1+IF($G$10=$E$10,$F$10,IF(T250&lt;($F$10-$E$10)/($G$10-$E$10),$E$10+SQRT(T250*($G$10-$E$10)*($F$10-$E$10)),$G$10-SQRT((1-T250)*($G$10-$E$10)*($G$10-$F$10))))</f>
        <v>0.991792990448056</v>
      </c>
      <c r="G250" s="52" t="n">
        <f aca="false">IF($G$11=$E$11,$F$11,IF(U250&lt;($F$11-$E$11)/($G$11-$E$11),$E$11+SQRT(U250*($G$11-$E$11)*($F$11-$E$11)),$G$11-SQRT((1-U250)*($G$11-$E$11)*($G$11-$F$11))))</f>
        <v>0.0932684780459322</v>
      </c>
      <c r="H250" s="53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-1983585980.89611</v>
      </c>
      <c r="I250" s="53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5572420.66924171</v>
      </c>
      <c r="J250" s="53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304259906.961083</v>
      </c>
      <c r="K250" s="53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652537042.775327</v>
      </c>
      <c r="L250" s="53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789074206.908016</v>
      </c>
      <c r="M250" s="53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992434884.769433</v>
      </c>
      <c r="N250" s="53" t="n">
        <f aca="false">IF(COUNT('Business Case'!B11:G11)=0,"",H250+NPV(G250,I250:M250))</f>
        <v>-36780435.9279823</v>
      </c>
      <c r="P250" s="54" t="n">
        <f aca="true">RAND()</f>
        <v>0.502439782115292</v>
      </c>
      <c r="Q250" s="54" t="n">
        <f aca="true">RAND()</f>
        <v>0.935789220517282</v>
      </c>
      <c r="R250" s="54" t="n">
        <f aca="true">RAND()</f>
        <v>0.765818024763637</v>
      </c>
      <c r="S250" s="54" t="n">
        <f aca="true">RAND()</f>
        <v>0.21783283565253</v>
      </c>
      <c r="T250" s="54" t="n">
        <f aca="true">RAND()</f>
        <v>0.11644360337275</v>
      </c>
      <c r="U250" s="54" t="n">
        <f aca="true">RAND()</f>
        <v>0.176052509655386</v>
      </c>
    </row>
    <row r="251" customFormat="false" ht="15" hidden="false" customHeight="false" outlineLevel="0" collapsed="false">
      <c r="A251" s="50" t="n">
        <v>171</v>
      </c>
      <c r="B251" s="51" t="n">
        <f aca="false">1+IF($G$6=$E$6,$F$6,IF(P251&lt;($F$6-$E$6)/($G$6-$E$6),$E$6+SQRT(P251*($G$6-$E$6)*($F$6-$E$6)),$G$6-SQRT((1-P251)*($G$6-$E$6)*($G$6-$F$6))))</f>
        <v>0.983435941618063</v>
      </c>
      <c r="C251" s="51" t="n">
        <f aca="false">1+IF($G$7=$E$7,$F$7,IF(Q251&lt;($F$7-$E$7)/($G$7-$E$7),$E$7+SQRT(Q251*($G$7-$E$7)*($F$7-$E$7)),$G$7-SQRT((1-Q251)*($G$7-$E$7)*($G$7-$F$7))))</f>
        <v>0.777614472534443</v>
      </c>
      <c r="D251" s="51" t="n">
        <f aca="false">1+IF($G$8=$E$8,$F$8,IF(R251&lt;($F$8-$E$8)/($G$8-$E$8),$E$8+SQRT(R251*($G$8-$E$8)*($F$8-$E$8)),$G$8-SQRT((1-R251)*($G$8-$E$8)*($G$8-$F$8))))</f>
        <v>0.965845664486901</v>
      </c>
      <c r="E251" s="51" t="n">
        <f aca="false">1+IF($G$9=$E$9,$F$9,IF(S251&lt;($F$9-$E$9)/($G$9-$E$9),$E$9+SQRT(S251*($G$9-$E$9)*($F$9-$E$9)),$G$9-SQRT((1-S251)*($G$9-$E$9)*($G$9-$F$9))))</f>
        <v>1.08814474392967</v>
      </c>
      <c r="F251" s="51" t="n">
        <f aca="false">1+IF($G$10=$E$10,$F$10,IF(T251&lt;($F$10-$E$10)/($G$10-$E$10),$E$10+SQRT(T251*($G$10-$E$10)*($F$10-$E$10)),$G$10-SQRT((1-T251)*($G$10-$E$10)*($G$10-$F$10))))</f>
        <v>0.978308376302899</v>
      </c>
      <c r="G251" s="52" t="n">
        <f aca="false">IF($G$11=$E$11,$F$11,IF(U251&lt;($F$11-$E$11)/($G$11-$E$11),$E$11+SQRT(U251*($G$11-$E$11)*($F$11-$E$11)),$G$11-SQRT((1-U251)*($G$11-$E$11)*($G$11-$F$11))))</f>
        <v>0.098212865212196</v>
      </c>
      <c r="H251" s="53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-1956616752.6058</v>
      </c>
      <c r="I251" s="53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-50316973.63519</v>
      </c>
      <c r="J251" s="53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191574884.596009</v>
      </c>
      <c r="K251" s="53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482382161.642353</v>
      </c>
      <c r="L251" s="53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589441988.818953</v>
      </c>
      <c r="M251" s="53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734802631.533055</v>
      </c>
      <c r="N251" s="53" t="n">
        <f aca="false">IF(COUNT('Business Case'!B11:G11)=0,"",H251+NPV(G251,I251:M251))</f>
        <v>-614195894.609066</v>
      </c>
      <c r="P251" s="54" t="n">
        <f aca="true">RAND()</f>
        <v>0.464103756912851</v>
      </c>
      <c r="Q251" s="54" t="n">
        <f aca="true">RAND()</f>
        <v>0.0446222692355546</v>
      </c>
      <c r="R251" s="54" t="n">
        <f aca="true">RAND()</f>
        <v>0.0334780110708564</v>
      </c>
      <c r="S251" s="54" t="n">
        <f aca="true">RAND()</f>
        <v>0.897971394572624</v>
      </c>
      <c r="T251" s="54" t="n">
        <f aca="true">RAND()</f>
        <v>0.0534242779271002</v>
      </c>
      <c r="U251" s="54" t="n">
        <f aca="true">RAND()</f>
        <v>0.331708459237619</v>
      </c>
    </row>
    <row r="252" customFormat="false" ht="15" hidden="false" customHeight="false" outlineLevel="0" collapsed="false">
      <c r="A252" s="50" t="n">
        <v>172</v>
      </c>
      <c r="B252" s="51" t="n">
        <f aca="false">1+IF($G$6=$E$6,$F$6,IF(P252&lt;($F$6-$E$6)/($G$6-$E$6),$E$6+SQRT(P252*($G$6-$E$6)*($F$6-$E$6)),$G$6-SQRT((1-P252)*($G$6-$E$6)*($G$6-$F$6))))</f>
        <v>0.998910450385797</v>
      </c>
      <c r="C252" s="51" t="n">
        <f aca="false">1+IF($G$7=$E$7,$F$7,IF(Q252&lt;($F$7-$E$7)/($G$7-$E$7),$E$7+SQRT(Q252*($G$7-$E$7)*($F$7-$E$7)),$G$7-SQRT((1-Q252)*($G$7-$E$7)*($G$7-$F$7))))</f>
        <v>1.12524703880051</v>
      </c>
      <c r="D252" s="51" t="n">
        <f aca="false">1+IF($G$8=$E$8,$F$8,IF(R252&lt;($F$8-$E$8)/($G$8-$E$8),$E$8+SQRT(R252*($G$8-$E$8)*($F$8-$E$8)),$G$8-SQRT((1-R252)*($G$8-$E$8)*($G$8-$F$8))))</f>
        <v>1.01702930697075</v>
      </c>
      <c r="E252" s="51" t="n">
        <f aca="false">1+IF($G$9=$E$9,$F$9,IF(S252&lt;($F$9-$E$9)/($G$9-$E$9),$E$9+SQRT(S252*($G$9-$E$9)*($F$9-$E$9)),$G$9-SQRT((1-S252)*($G$9-$E$9)*($G$9-$F$9))))</f>
        <v>1.00881491671169</v>
      </c>
      <c r="F252" s="51" t="n">
        <f aca="false">1+IF($G$10=$E$10,$F$10,IF(T252&lt;($F$10-$E$10)/($G$10-$E$10),$E$10+SQRT(T252*($G$10-$E$10)*($F$10-$E$10)),$G$10-SQRT((1-T252)*($G$10-$E$10)*($G$10-$F$10))))</f>
        <v>0.995069750290417</v>
      </c>
      <c r="G252" s="52" t="n">
        <f aca="false">IF($G$11=$E$11,$F$11,IF(U252&lt;($F$11-$E$11)/($G$11-$E$11),$E$11+SQRT(U252*($G$11-$E$11)*($F$11-$E$11)),$G$11-SQRT((1-U252)*($G$11-$E$11)*($G$11-$F$11))))</f>
        <v>0.0932376218339343</v>
      </c>
      <c r="H252" s="53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-1990139500.58083</v>
      </c>
      <c r="I252" s="53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33578478.0064823</v>
      </c>
      <c r="J252" s="53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368386662.203019</v>
      </c>
      <c r="K252" s="53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752948333.914077</v>
      </c>
      <c r="L252" s="53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903397228.649329</v>
      </c>
      <c r="M252" s="53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1117051145.3329</v>
      </c>
      <c r="N252" s="53" t="n">
        <f aca="false">IF(COUNT('Business Case'!B11:G11)=0,"",H252+NPV(G252,I252:M252))</f>
        <v>272830502.227642</v>
      </c>
      <c r="P252" s="54" t="n">
        <f aca="true">RAND()</f>
        <v>0.652218479701411</v>
      </c>
      <c r="Q252" s="54" t="n">
        <f aca="true">RAND()</f>
        <v>0.990922828323804</v>
      </c>
      <c r="R252" s="54" t="n">
        <f aca="true">RAND()</f>
        <v>0.541057606549722</v>
      </c>
      <c r="S252" s="54" t="n">
        <f aca="true">RAND()</f>
        <v>0.468447260183265</v>
      </c>
      <c r="T252" s="54" t="n">
        <f aca="true">RAND()</f>
        <v>0.135418826082705</v>
      </c>
      <c r="U252" s="54" t="n">
        <f aca="true">RAND()</f>
        <v>0.175234631818255</v>
      </c>
    </row>
    <row r="253" customFormat="false" ht="15" hidden="false" customHeight="false" outlineLevel="0" collapsed="false">
      <c r="A253" s="50" t="n">
        <v>173</v>
      </c>
      <c r="B253" s="51" t="n">
        <f aca="false">1+IF($G$6=$E$6,$F$6,IF(P253&lt;($F$6-$E$6)/($G$6-$E$6),$E$6+SQRT(P253*($G$6-$E$6)*($F$6-$E$6)),$G$6-SQRT((1-P253)*($G$6-$E$6)*($G$6-$F$6))))</f>
        <v>0.959497769566596</v>
      </c>
      <c r="C253" s="51" t="n">
        <f aca="false">1+IF($G$7=$E$7,$F$7,IF(Q253&lt;($F$7-$E$7)/($G$7-$E$7),$E$7+SQRT(Q253*($G$7-$E$7)*($F$7-$E$7)),$G$7-SQRT((1-Q253)*($G$7-$E$7)*($G$7-$F$7))))</f>
        <v>0.898779067295404</v>
      </c>
      <c r="D253" s="51" t="n">
        <f aca="false">1+IF($G$8=$E$8,$F$8,IF(R253&lt;($F$8-$E$8)/($G$8-$E$8),$E$8+SQRT(R253*($G$8-$E$8)*($F$8-$E$8)),$G$8-SQRT((1-R253)*($G$8-$E$8)*($G$8-$F$8))))</f>
        <v>1.00059395022629</v>
      </c>
      <c r="E253" s="51" t="n">
        <f aca="false">1+IF($G$9=$E$9,$F$9,IF(S253&lt;($F$9-$E$9)/($G$9-$E$9),$E$9+SQRT(S253*($G$9-$E$9)*($F$9-$E$9)),$G$9-SQRT((1-S253)*($G$9-$E$9)*($G$9-$F$9))))</f>
        <v>0.998376697349823</v>
      </c>
      <c r="F253" s="51" t="n">
        <f aca="false">1+IF($G$10=$E$10,$F$10,IF(T253&lt;($F$10-$E$10)/($G$10-$E$10),$E$10+SQRT(T253*($G$10-$E$10)*($F$10-$E$10)),$G$10-SQRT((1-T253)*($G$10-$E$10)*($G$10-$F$10))))</f>
        <v>1.04198718204326</v>
      </c>
      <c r="G253" s="52" t="n">
        <f aca="false">IF($G$11=$E$11,$F$11,IF(U253&lt;($F$11-$E$11)/($G$11-$E$11),$E$11+SQRT(U253*($G$11-$E$11)*($F$11-$E$11)),$G$11-SQRT((1-U253)*($G$11-$E$11)*($G$11-$F$11))))</f>
        <v>0.115383017417887</v>
      </c>
      <c r="H253" s="53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-2083974364.08652</v>
      </c>
      <c r="I253" s="53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-44901288.1369187</v>
      </c>
      <c r="J253" s="53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201070906.59293</v>
      </c>
      <c r="K253" s="53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499142460.424941</v>
      </c>
      <c r="L253" s="53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610936924.201088</v>
      </c>
      <c r="M253" s="53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774857451.298506</v>
      </c>
      <c r="N253" s="53" t="n">
        <f aca="false">IF(COUNT('Business Case'!B11:G11)=0,"",H253+NPV(G253,I253:M253))</f>
        <v>-759317975.332413</v>
      </c>
      <c r="P253" s="54" t="n">
        <f aca="true">RAND()</f>
        <v>0.235998972226649</v>
      </c>
      <c r="Q253" s="54" t="n">
        <f aca="true">RAND()</f>
        <v>0.292689759961709</v>
      </c>
      <c r="R253" s="54" t="n">
        <f aca="true">RAND()</f>
        <v>0.341229151225769</v>
      </c>
      <c r="S253" s="54" t="n">
        <f aca="true">RAND()</f>
        <v>0.387118983258345</v>
      </c>
      <c r="T253" s="54" t="n">
        <f aca="true">RAND()</f>
        <v>0.423075567542624</v>
      </c>
      <c r="U253" s="54" t="n">
        <f aca="true">RAND()</f>
        <v>0.857562546796145</v>
      </c>
    </row>
    <row r="254" customFormat="false" ht="15" hidden="false" customHeight="false" outlineLevel="0" collapsed="false">
      <c r="A254" s="50" t="n">
        <v>174</v>
      </c>
      <c r="B254" s="51" t="n">
        <f aca="false">1+IF($G$6=$E$6,$F$6,IF(P254&lt;($F$6-$E$6)/($G$6-$E$6),$E$6+SQRT(P254*($G$6-$E$6)*($F$6-$E$6)),$G$6-SQRT((1-P254)*($G$6-$E$6)*($G$6-$F$6))))</f>
        <v>0.988415161053337</v>
      </c>
      <c r="C254" s="51" t="n">
        <f aca="false">1+IF($G$7=$E$7,$F$7,IF(Q254&lt;($F$7-$E$7)/($G$7-$E$7),$E$7+SQRT(Q254*($G$7-$E$7)*($F$7-$E$7)),$G$7-SQRT((1-Q254)*($G$7-$E$7)*($G$7-$F$7))))</f>
        <v>0.836299779000686</v>
      </c>
      <c r="D254" s="51" t="n">
        <f aca="false">1+IF($G$8=$E$8,$F$8,IF(R254&lt;($F$8-$E$8)/($G$8-$E$8),$E$8+SQRT(R254*($G$8-$E$8)*($F$8-$E$8)),$G$8-SQRT((1-R254)*($G$8-$E$8)*($G$8-$F$8))))</f>
        <v>1.02712303828425</v>
      </c>
      <c r="E254" s="51" t="n">
        <f aca="false">1+IF($G$9=$E$9,$F$9,IF(S254&lt;($F$9-$E$9)/($G$9-$E$9),$E$9+SQRT(S254*($G$9-$E$9)*($F$9-$E$9)),$G$9-SQRT((1-S254)*($G$9-$E$9)*($G$9-$F$9))))</f>
        <v>1.02425300439092</v>
      </c>
      <c r="F254" s="51" t="n">
        <f aca="false">1+IF($G$10=$E$10,$F$10,IF(T254&lt;($F$10-$E$10)/($G$10-$E$10),$E$10+SQRT(T254*($G$10-$E$10)*($F$10-$E$10)),$G$10-SQRT((1-T254)*($G$10-$E$10)*($G$10-$F$10))))</f>
        <v>1.14001823177916</v>
      </c>
      <c r="G254" s="52" t="n">
        <f aca="false">IF($G$11=$E$11,$F$11,IF(U254&lt;($F$11-$E$11)/($G$11-$E$11),$E$11+SQRT(U254*($G$11-$E$11)*($F$11-$E$11)),$G$11-SQRT((1-U254)*($G$11-$E$11)*($G$11-$F$11))))</f>
        <v>0.09852059832072</v>
      </c>
      <c r="H254" s="53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-2280036463.55832</v>
      </c>
      <c r="I254" s="53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-65178357.1061536</v>
      </c>
      <c r="J254" s="53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172145420.168069</v>
      </c>
      <c r="K254" s="53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466470109.031249</v>
      </c>
      <c r="L254" s="53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574145724.108037</v>
      </c>
      <c r="M254" s="53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731268015.360966</v>
      </c>
      <c r="N254" s="53" t="n">
        <f aca="false">IF(COUNT('Business Case'!B11:G11)=0,"",H254+NPV(G254,I254:M254))</f>
        <v>-993441572.395817</v>
      </c>
      <c r="P254" s="54" t="n">
        <f aca="true">RAND()</f>
        <v>0.521149380272496</v>
      </c>
      <c r="Q254" s="54" t="n">
        <f aca="true">RAND()</f>
        <v>0.137612072263969</v>
      </c>
      <c r="R254" s="54" t="n">
        <f aca="true">RAND()</f>
        <v>0.645929896738728</v>
      </c>
      <c r="S254" s="54" t="n">
        <f aca="true">RAND()</f>
        <v>0.578338482541043</v>
      </c>
      <c r="T254" s="54" t="n">
        <f aca="true">RAND()</f>
        <v>0.838720142120239</v>
      </c>
      <c r="U254" s="54" t="n">
        <f aca="true">RAND()</f>
        <v>0.343012562157456</v>
      </c>
    </row>
    <row r="255" customFormat="false" ht="15" hidden="false" customHeight="false" outlineLevel="0" collapsed="false">
      <c r="A255" s="50" t="n">
        <v>175</v>
      </c>
      <c r="B255" s="51" t="n">
        <f aca="false">1+IF($G$6=$E$6,$F$6,IF(P255&lt;($F$6-$E$6)/($G$6-$E$6),$E$6+SQRT(P255*($G$6-$E$6)*($F$6-$E$6)),$G$6-SQRT((1-P255)*($G$6-$E$6)*($G$6-$F$6))))</f>
        <v>0.941430523135881</v>
      </c>
      <c r="C255" s="51" t="n">
        <f aca="false">1+IF($G$7=$E$7,$F$7,IF(Q255&lt;($F$7-$E$7)/($G$7-$E$7),$E$7+SQRT(Q255*($G$7-$E$7)*($F$7-$E$7)),$G$7-SQRT((1-Q255)*($G$7-$E$7)*($G$7-$F$7))))</f>
        <v>0.969686554448742</v>
      </c>
      <c r="D255" s="51" t="n">
        <f aca="false">1+IF($G$8=$E$8,$F$8,IF(R255&lt;($F$8-$E$8)/($G$8-$E$8),$E$8+SQRT(R255*($G$8-$E$8)*($F$8-$E$8)),$G$8-SQRT((1-R255)*($G$8-$E$8)*($G$8-$F$8))))</f>
        <v>1.07381498491267</v>
      </c>
      <c r="E255" s="51" t="n">
        <f aca="false">1+IF($G$9=$E$9,$F$9,IF(S255&lt;($F$9-$E$9)/($G$9-$E$9),$E$9+SQRT(S255*($G$9-$E$9)*($F$9-$E$9)),$G$9-SQRT((1-S255)*($G$9-$E$9)*($G$9-$F$9))))</f>
        <v>0.959379966013891</v>
      </c>
      <c r="F255" s="51" t="n">
        <f aca="false">1+IF($G$10=$E$10,$F$10,IF(T255&lt;($F$10-$E$10)/($G$10-$E$10),$E$10+SQRT(T255*($G$10-$E$10)*($F$10-$E$10)),$G$10-SQRT((1-T255)*($G$10-$E$10)*($G$10-$F$10))))</f>
        <v>1.07806399948706</v>
      </c>
      <c r="G255" s="52" t="n">
        <f aca="false">IF($G$11=$E$11,$F$11,IF(U255&lt;($F$11-$E$11)/($G$11-$E$11),$E$11+SQRT(U255*($G$11-$E$11)*($F$11-$E$11)),$G$11-SQRT((1-U255)*($G$11-$E$11)*($G$11-$F$11))))</f>
        <v>0.0899083050303007</v>
      </c>
      <c r="H255" s="53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-2156127998.97413</v>
      </c>
      <c r="I255" s="53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-76873719.7683502</v>
      </c>
      <c r="J255" s="53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137807139.828034</v>
      </c>
      <c r="K255" s="53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406391199.398772</v>
      </c>
      <c r="L255" s="53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509501051.430136</v>
      </c>
      <c r="M255" s="53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683023661.675931</v>
      </c>
      <c r="N255" s="53" t="n">
        <f aca="false">IF(COUNT('Business Case'!B11:G11)=0,"",H255+NPV(G255,I255:M255))</f>
        <v>-991593316.347852</v>
      </c>
      <c r="P255" s="54" t="n">
        <f aca="true">RAND()</f>
        <v>0.114432549820849</v>
      </c>
      <c r="Q255" s="54" t="n">
        <f aca="true">RAND()</f>
        <v>0.538746945558772</v>
      </c>
      <c r="R255" s="54" t="n">
        <f aca="true">RAND()</f>
        <v>0.954289665658431</v>
      </c>
      <c r="S255" s="54" t="n">
        <f aca="true">RAND()</f>
        <v>0.141039214552435</v>
      </c>
      <c r="T255" s="54" t="n">
        <f aca="true">RAND()</f>
        <v>0.605840156368202</v>
      </c>
      <c r="U255" s="54" t="n">
        <f aca="true">RAND()</f>
        <v>0.0981745085734813</v>
      </c>
    </row>
    <row r="256" customFormat="false" ht="15" hidden="false" customHeight="false" outlineLevel="0" collapsed="false">
      <c r="A256" s="50" t="n">
        <v>176</v>
      </c>
      <c r="B256" s="51" t="n">
        <f aca="false">1+IF($G$6=$E$6,$F$6,IF(P256&lt;($F$6-$E$6)/($G$6-$E$6),$E$6+SQRT(P256*($G$6-$E$6)*($F$6-$E$6)),$G$6-SQRT((1-P256)*($G$6-$E$6)*($G$6-$F$6))))</f>
        <v>0.929151003457193</v>
      </c>
      <c r="C256" s="51" t="n">
        <f aca="false">1+IF($G$7=$E$7,$F$7,IF(Q256&lt;($F$7-$E$7)/($G$7-$E$7),$E$7+SQRT(Q256*($G$7-$E$7)*($F$7-$E$7)),$G$7-SQRT((1-Q256)*($G$7-$E$7)*($G$7-$F$7))))</f>
        <v>1.03934980882081</v>
      </c>
      <c r="D256" s="51" t="n">
        <f aca="false">1+IF($G$8=$E$8,$F$8,IF(R256&lt;($F$8-$E$8)/($G$8-$E$8),$E$8+SQRT(R256*($G$8-$E$8)*($F$8-$E$8)),$G$8-SQRT((1-R256)*($G$8-$E$8)*($G$8-$F$8))))</f>
        <v>1.00553900948411</v>
      </c>
      <c r="E256" s="51" t="n">
        <f aca="false">1+IF($G$9=$E$9,$F$9,IF(S256&lt;($F$9-$E$9)/($G$9-$E$9),$E$9+SQRT(S256*($G$9-$E$9)*($F$9-$E$9)),$G$9-SQRT((1-S256)*($G$9-$E$9)*($G$9-$F$9))))</f>
        <v>1.05701164705875</v>
      </c>
      <c r="F256" s="51" t="n">
        <f aca="false">1+IF($G$10=$E$10,$F$10,IF(T256&lt;($F$10-$E$10)/($G$10-$E$10),$E$10+SQRT(T256*($G$10-$E$10)*($F$10-$E$10)),$G$10-SQRT((1-T256)*($G$10-$E$10)*($G$10-$F$10))))</f>
        <v>1.23342756869031</v>
      </c>
      <c r="G256" s="52" t="n">
        <f aca="false">IF($G$11=$E$11,$F$11,IF(U256&lt;($F$11-$E$11)/($G$11-$E$11),$E$11+SQRT(U256*($G$11-$E$11)*($F$11-$E$11)),$G$11-SQRT((1-U256)*($G$11-$E$11)*($G$11-$F$11))))</f>
        <v>0.106073069724876</v>
      </c>
      <c r="H256" s="53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-2466855137.38061</v>
      </c>
      <c r="I256" s="53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-67735021.1440678</v>
      </c>
      <c r="J256" s="53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188242328.451862</v>
      </c>
      <c r="K256" s="53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505891056.482307</v>
      </c>
      <c r="L256" s="53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624591878.120425</v>
      </c>
      <c r="M256" s="53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808154589.53754</v>
      </c>
      <c r="N256" s="53" t="n">
        <f aca="false">IF(COUNT('Business Case'!B11:G11)=0,"",H256+NPV(G256,I256:M256))</f>
        <v>-1094881856.41923</v>
      </c>
      <c r="P256" s="54" t="n">
        <f aca="true">RAND()</f>
        <v>0.0566520668374178</v>
      </c>
      <c r="Q256" s="54" t="n">
        <f aca="true">RAND()</f>
        <v>0.818615336177893</v>
      </c>
      <c r="R256" s="54" t="n">
        <f aca="true">RAND()</f>
        <v>0.405141418050499</v>
      </c>
      <c r="S256" s="54" t="n">
        <f aca="true">RAND()</f>
        <v>0.76941776579394</v>
      </c>
      <c r="T256" s="54" t="n">
        <f aca="true">RAND()</f>
        <v>0.99633806027314</v>
      </c>
      <c r="U256" s="54" t="n">
        <f aca="true">RAND()</f>
        <v>0.618334671739566</v>
      </c>
    </row>
    <row r="257" customFormat="false" ht="15" hidden="false" customHeight="false" outlineLevel="0" collapsed="false">
      <c r="A257" s="50" t="n">
        <v>177</v>
      </c>
      <c r="B257" s="51" t="n">
        <f aca="false">1+IF($G$6=$E$6,$F$6,IF(P257&lt;($F$6-$E$6)/($G$6-$E$6),$E$6+SQRT(P257*($G$6-$E$6)*($F$6-$E$6)),$G$6-SQRT((1-P257)*($G$6-$E$6)*($G$6-$F$6))))</f>
        <v>0.954455842235755</v>
      </c>
      <c r="C257" s="51" t="n">
        <f aca="false">1+IF($G$7=$E$7,$F$7,IF(Q257&lt;($F$7-$E$7)/($G$7-$E$7),$E$7+SQRT(Q257*($G$7-$E$7)*($F$7-$E$7)),$G$7-SQRT((1-Q257)*($G$7-$E$7)*($G$7-$F$7))))</f>
        <v>1.04836719630824</v>
      </c>
      <c r="D257" s="51" t="n">
        <f aca="false">1+IF($G$8=$E$8,$F$8,IF(R257&lt;($F$8-$E$8)/($G$8-$E$8),$E$8+SQRT(R257*($G$8-$E$8)*($F$8-$E$8)),$G$8-SQRT((1-R257)*($G$8-$E$8)*($G$8-$F$8))))</f>
        <v>0.958042940164586</v>
      </c>
      <c r="E257" s="51" t="n">
        <f aca="false">1+IF($G$9=$E$9,$F$9,IF(S257&lt;($F$9-$E$9)/($G$9-$E$9),$E$9+SQRT(S257*($G$9-$E$9)*($F$9-$E$9)),$G$9-SQRT((1-S257)*($G$9-$E$9)*($G$9-$F$9))))</f>
        <v>0.998077056359356</v>
      </c>
      <c r="F257" s="51" t="n">
        <f aca="false">1+IF($G$10=$E$10,$F$10,IF(T257&lt;($F$10-$E$10)/($G$10-$E$10),$E$10+SQRT(T257*($G$10-$E$10)*($F$10-$E$10)),$G$10-SQRT((1-T257)*($G$10-$E$10)*($G$10-$F$10))))</f>
        <v>1.00568762457419</v>
      </c>
      <c r="G257" s="52" t="n">
        <f aca="false">IF($G$11=$E$11,$F$11,IF(U257&lt;($F$11-$E$11)/($G$11-$E$11),$E$11+SQRT(U257*($G$11-$E$11)*($F$11-$E$11)),$G$11-SQRT((1-U257)*($G$11-$E$11)*($G$11-$F$11))))</f>
        <v>0.107024630389125</v>
      </c>
      <c r="H257" s="53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-2011375249.14837</v>
      </c>
      <c r="I257" s="53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11049899.2358413</v>
      </c>
      <c r="J257" s="53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316467269.269035</v>
      </c>
      <c r="K257" s="53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672169020.530939</v>
      </c>
      <c r="L257" s="53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808556244.492426</v>
      </c>
      <c r="M257" s="53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998754131.219748</v>
      </c>
      <c r="N257" s="53" t="n">
        <f aca="false">IF(COUNT('Business Case'!B11:G11)=0,"",H257+NPV(G257,I257:M257))</f>
        <v>-108610961.585247</v>
      </c>
      <c r="P257" s="54" t="n">
        <f aca="true">RAND()</f>
        <v>0.197695916907028</v>
      </c>
      <c r="Q257" s="54" t="n">
        <f aca="true">RAND()</f>
        <v>0.846974417981521</v>
      </c>
      <c r="R257" s="54" t="n">
        <f aca="true">RAND()</f>
        <v>0.00862518486548226</v>
      </c>
      <c r="S257" s="54" t="n">
        <f aca="true">RAND()</f>
        <v>0.384764359364652</v>
      </c>
      <c r="T257" s="54" t="n">
        <f aca="true">RAND()</f>
        <v>0.204152842850615</v>
      </c>
      <c r="U257" s="54" t="n">
        <f aca="true">RAND()</f>
        <v>0.648088260829127</v>
      </c>
    </row>
    <row r="258" customFormat="false" ht="15" hidden="false" customHeight="false" outlineLevel="0" collapsed="false">
      <c r="A258" s="50" t="n">
        <v>178</v>
      </c>
      <c r="B258" s="51" t="n">
        <f aca="false">1+IF($G$6=$E$6,$F$6,IF(P258&lt;($F$6-$E$6)/($G$6-$E$6),$E$6+SQRT(P258*($G$6-$E$6)*($F$6-$E$6)),$G$6-SQRT((1-P258)*($G$6-$E$6)*($G$6-$F$6))))</f>
        <v>1.03183216504985</v>
      </c>
      <c r="C258" s="51" t="n">
        <f aca="false">1+IF($G$7=$E$7,$F$7,IF(Q258&lt;($F$7-$E$7)/($G$7-$E$7),$E$7+SQRT(Q258*($G$7-$E$7)*($F$7-$E$7)),$G$7-SQRT((1-Q258)*($G$7-$E$7)*($G$7-$F$7))))</f>
        <v>0.925763314051146</v>
      </c>
      <c r="D258" s="51" t="n">
        <f aca="false">1+IF($G$8=$E$8,$F$8,IF(R258&lt;($F$8-$E$8)/($G$8-$E$8),$E$8+SQRT(R258*($G$8-$E$8)*($F$8-$E$8)),$G$8-SQRT((1-R258)*($G$8-$E$8)*($G$8-$F$8))))</f>
        <v>1.01453399331551</v>
      </c>
      <c r="E258" s="51" t="n">
        <f aca="false">1+IF($G$9=$E$9,$F$9,IF(S258&lt;($F$9-$E$9)/($G$9-$E$9),$E$9+SQRT(S258*($G$9-$E$9)*($F$9-$E$9)),$G$9-SQRT((1-S258)*($G$9-$E$9)*($G$9-$F$9))))</f>
        <v>1.004284039651</v>
      </c>
      <c r="F258" s="51" t="n">
        <f aca="false">1+IF($G$10=$E$10,$F$10,IF(T258&lt;($F$10-$E$10)/($G$10-$E$10),$E$10+SQRT(T258*($G$10-$E$10)*($F$10-$E$10)),$G$10-SQRT((1-T258)*($G$10-$E$10)*($G$10-$F$10))))</f>
        <v>1.17341600686474</v>
      </c>
      <c r="G258" s="52" t="n">
        <f aca="false">IF($G$11=$E$11,$F$11,IF(U258&lt;($F$11-$E$11)/($G$11-$E$11),$E$11+SQRT(U258*($G$11-$E$11)*($F$11-$E$11)),$G$11-SQRT((1-U258)*($G$11-$E$11)*($G$11-$F$11))))</f>
        <v>0.0903267840620415</v>
      </c>
      <c r="H258" s="53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-2346832013.72947</v>
      </c>
      <c r="I258" s="53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-8070612.21009882</v>
      </c>
      <c r="J258" s="53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293528812.48868</v>
      </c>
      <c r="K258" s="53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653799037.530696</v>
      </c>
      <c r="L258" s="53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787345009.619644</v>
      </c>
      <c r="M258" s="53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968915577.49443</v>
      </c>
      <c r="N258" s="53" t="n">
        <f aca="false">IF(COUNT('Business Case'!B11:G11)=0,"",H258+NPV(G258,I258:M258))</f>
        <v>-417033554.980253</v>
      </c>
      <c r="P258" s="54" t="n">
        <f aca="true">RAND()</f>
        <v>0.955990636429903</v>
      </c>
      <c r="Q258" s="54" t="n">
        <f aca="true">RAND()</f>
        <v>0.37754869608412</v>
      </c>
      <c r="R258" s="54" t="n">
        <f aca="true">RAND()</f>
        <v>0.513037446760413</v>
      </c>
      <c r="S258" s="54" t="n">
        <f aca="true">RAND()</f>
        <v>0.433782903988473</v>
      </c>
      <c r="T258" s="54" t="n">
        <f aca="true">RAND()</f>
        <v>0.921798559939436</v>
      </c>
      <c r="U258" s="54" t="n">
        <f aca="true">RAND()</f>
        <v>0.106642469064035</v>
      </c>
    </row>
    <row r="259" customFormat="false" ht="15" hidden="false" customHeight="false" outlineLevel="0" collapsed="false">
      <c r="A259" s="50" t="n">
        <v>179</v>
      </c>
      <c r="B259" s="51" t="n">
        <f aca="false">1+IF($G$6=$E$6,$F$6,IF(P259&lt;($F$6-$E$6)/($G$6-$E$6),$E$6+SQRT(P259*($G$6-$E$6)*($F$6-$E$6)),$G$6-SQRT((1-P259)*($G$6-$E$6)*($G$6-$F$6))))</f>
        <v>1.00078795691863</v>
      </c>
      <c r="C259" s="51" t="n">
        <f aca="false">1+IF($G$7=$E$7,$F$7,IF(Q259&lt;($F$7-$E$7)/($G$7-$E$7),$E$7+SQRT(Q259*($G$7-$E$7)*($F$7-$E$7)),$G$7-SQRT((1-Q259)*($G$7-$E$7)*($G$7-$F$7))))</f>
        <v>0.934269801854437</v>
      </c>
      <c r="D259" s="51" t="n">
        <f aca="false">1+IF($G$8=$E$8,$F$8,IF(R259&lt;($F$8-$E$8)/($G$8-$E$8),$E$8+SQRT(R259*($G$8-$E$8)*($F$8-$E$8)),$G$8-SQRT((1-R259)*($G$8-$E$8)*($G$8-$F$8))))</f>
        <v>1.03820163459811</v>
      </c>
      <c r="E259" s="51" t="n">
        <f aca="false">1+IF($G$9=$E$9,$F$9,IF(S259&lt;($F$9-$E$9)/($G$9-$E$9),$E$9+SQRT(S259*($G$9-$E$9)*($F$9-$E$9)),$G$9-SQRT((1-S259)*($G$9-$E$9)*($G$9-$F$9))))</f>
        <v>0.930281359242378</v>
      </c>
      <c r="F259" s="51" t="n">
        <f aca="false">1+IF($G$10=$E$10,$F$10,IF(T259&lt;($F$10-$E$10)/($G$10-$E$10),$E$10+SQRT(T259*($G$10-$E$10)*($F$10-$E$10)),$G$10-SQRT((1-T259)*($G$10-$E$10)*($G$10-$F$10))))</f>
        <v>1.18354095611021</v>
      </c>
      <c r="G259" s="52" t="n">
        <f aca="false">IF($G$11=$E$11,$F$11,IF(U259&lt;($F$11-$E$11)/($G$11-$E$11),$E$11+SQRT(U259*($G$11-$E$11)*($F$11-$E$11)),$G$11-SQRT((1-U259)*($G$11-$E$11)*($G$11-$F$11))))</f>
        <v>0.101508006752593</v>
      </c>
      <c r="H259" s="53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-2367081912.22041</v>
      </c>
      <c r="I259" s="53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-29815753.5399944</v>
      </c>
      <c r="J259" s="53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239479307.103556</v>
      </c>
      <c r="K259" s="53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567951415.552616</v>
      </c>
      <c r="L259" s="53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690030241.959304</v>
      </c>
      <c r="M259" s="53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867756176.016249</v>
      </c>
      <c r="N259" s="53" t="n">
        <f aca="false">IF(COUNT('Business Case'!B11:G11)=0,"",H259+NPV(G259,I259:M259))</f>
        <v>-767960162.059268</v>
      </c>
      <c r="P259" s="54" t="n">
        <f aca="true">RAND()</f>
        <v>0.677089975434299</v>
      </c>
      <c r="Q259" s="54" t="n">
        <f aca="true">RAND()</f>
        <v>0.406535852303089</v>
      </c>
      <c r="R259" s="54" t="n">
        <f aca="true">RAND()</f>
        <v>0.745397468910309</v>
      </c>
      <c r="S259" s="54" t="n">
        <f aca="true">RAND()</f>
        <v>0.0366784287026377</v>
      </c>
      <c r="T259" s="54" t="n">
        <f aca="true">RAND()</f>
        <v>0.941109273136727</v>
      </c>
      <c r="U259" s="54" t="n">
        <f aca="true">RAND()</f>
        <v>0.458804213859812</v>
      </c>
    </row>
    <row r="260" customFormat="false" ht="15" hidden="false" customHeight="false" outlineLevel="0" collapsed="false">
      <c r="A260" s="50" t="n">
        <v>180</v>
      </c>
      <c r="B260" s="51" t="n">
        <f aca="false">1+IF($G$6=$E$6,$F$6,IF(P260&lt;($F$6-$E$6)/($G$6-$E$6),$E$6+SQRT(P260*($G$6-$E$6)*($F$6-$E$6)),$G$6-SQRT((1-P260)*($G$6-$E$6)*($G$6-$F$6))))</f>
        <v>1.02269533716321</v>
      </c>
      <c r="C260" s="51" t="n">
        <f aca="false">1+IF($G$7=$E$7,$F$7,IF(Q260&lt;($F$7-$E$7)/($G$7-$E$7),$E$7+SQRT(Q260*($G$7-$E$7)*($F$7-$E$7)),$G$7-SQRT((1-Q260)*($G$7-$E$7)*($G$7-$F$7))))</f>
        <v>0.884411014799387</v>
      </c>
      <c r="D260" s="51" t="n">
        <f aca="false">1+IF($G$8=$E$8,$F$8,IF(R260&lt;($F$8-$E$8)/($G$8-$E$8),$E$8+SQRT(R260*($G$8-$E$8)*($F$8-$E$8)),$G$8-SQRT((1-R260)*($G$8-$E$8)*($G$8-$F$8))))</f>
        <v>0.973334445225305</v>
      </c>
      <c r="E260" s="51" t="n">
        <f aca="false">1+IF($G$9=$E$9,$F$9,IF(S260&lt;($F$9-$E$9)/($G$9-$E$9),$E$9+SQRT(S260*($G$9-$E$9)*($F$9-$E$9)),$G$9-SQRT((1-S260)*($G$9-$E$9)*($G$9-$F$9))))</f>
        <v>1.14711540227713</v>
      </c>
      <c r="F260" s="51" t="n">
        <f aca="false">1+IF($G$10=$E$10,$F$10,IF(T260&lt;($F$10-$E$10)/($G$10-$E$10),$E$10+SQRT(T260*($G$10-$E$10)*($F$10-$E$10)),$G$10-SQRT((1-T260)*($G$10-$E$10)*($G$10-$F$10))))</f>
        <v>1.05573154244707</v>
      </c>
      <c r="G260" s="52" t="n">
        <f aca="false">IF($G$11=$E$11,$F$11,IF(U260&lt;($F$11-$E$11)/($G$11-$E$11),$E$11+SQRT(U260*($G$11-$E$11)*($F$11-$E$11)),$G$11-SQRT((1-U260)*($G$11-$E$11)*($G$11-$F$11))))</f>
        <v>0.0891238823026706</v>
      </c>
      <c r="H260" s="53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-2111463084.89414</v>
      </c>
      <c r="I260" s="53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-15419565.7601942</v>
      </c>
      <c r="J260" s="53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284742232.735269</v>
      </c>
      <c r="K260" s="53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637690608.353086</v>
      </c>
      <c r="L260" s="53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769003474.389669</v>
      </c>
      <c r="M260" s="53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940927607.015859</v>
      </c>
      <c r="N260" s="53" t="n">
        <f aca="false">IF(COUNT('Business Case'!B11:G11)=0,"",H260+NPV(G260,I260:M260))</f>
        <v>-231431308.174636</v>
      </c>
      <c r="P260" s="54" t="n">
        <f aca="true">RAND()</f>
        <v>0.900594051649237</v>
      </c>
      <c r="Q260" s="54" t="n">
        <f aca="true">RAND()</f>
        <v>0.251906832439553</v>
      </c>
      <c r="R260" s="54" t="n">
        <f aca="true">RAND()</f>
        <v>0.0725995111963698</v>
      </c>
      <c r="S260" s="54" t="n">
        <f aca="true">RAND()</f>
        <v>0.999778109226059</v>
      </c>
      <c r="T260" s="54" t="n">
        <f aca="true">RAND()</f>
        <v>0.496796885333407</v>
      </c>
      <c r="U260" s="54" t="n">
        <f aca="true">RAND()</f>
        <v>0.083245228272985</v>
      </c>
    </row>
    <row r="261" customFormat="false" ht="15" hidden="false" customHeight="false" outlineLevel="0" collapsed="false">
      <c r="A261" s="50" t="n">
        <v>181</v>
      </c>
      <c r="B261" s="51" t="n">
        <f aca="false">1+IF($G$6=$E$6,$F$6,IF(P261&lt;($F$6-$E$6)/($G$6-$E$6),$E$6+SQRT(P261*($G$6-$E$6)*($F$6-$E$6)),$G$6-SQRT((1-P261)*($G$6-$E$6)*($G$6-$F$6))))</f>
        <v>1.03648889113673</v>
      </c>
      <c r="C261" s="51" t="n">
        <f aca="false">1+IF($G$7=$E$7,$F$7,IF(Q261&lt;($F$7-$E$7)/($G$7-$E$7),$E$7+SQRT(Q261*($G$7-$E$7)*($F$7-$E$7)),$G$7-SQRT((1-Q261)*($G$7-$E$7)*($G$7-$F$7))))</f>
        <v>0.950822526830902</v>
      </c>
      <c r="D261" s="51" t="n">
        <f aca="false">1+IF($G$8=$E$8,$F$8,IF(R261&lt;($F$8-$E$8)/($G$8-$E$8),$E$8+SQRT(R261*($G$8-$E$8)*($F$8-$E$8)),$G$8-SQRT((1-R261)*($G$8-$E$8)*($G$8-$F$8))))</f>
        <v>1.03133636020453</v>
      </c>
      <c r="E261" s="51" t="n">
        <f aca="false">1+IF($G$9=$E$9,$F$9,IF(S261&lt;($F$9-$E$9)/($G$9-$E$9),$E$9+SQRT(S261*($G$9-$E$9)*($F$9-$E$9)),$G$9-SQRT((1-S261)*($G$9-$E$9)*($G$9-$F$9))))</f>
        <v>1.03920769136347</v>
      </c>
      <c r="F261" s="51" t="n">
        <f aca="false">1+IF($G$10=$E$10,$F$10,IF(T261&lt;($F$10-$E$10)/($G$10-$E$10),$E$10+SQRT(T261*($G$10-$E$10)*($F$10-$E$10)),$G$10-SQRT((1-T261)*($G$10-$E$10)*($G$10-$F$10))))</f>
        <v>1.15704091297932</v>
      </c>
      <c r="G261" s="52" t="n">
        <f aca="false">IF($G$11=$E$11,$F$11,IF(U261&lt;($F$11-$E$11)/($G$11-$E$11),$E$11+SQRT(U261*($G$11-$E$11)*($F$11-$E$11)),$G$11-SQRT((1-U261)*($G$11-$E$11)*($G$11-$F$11))))</f>
        <v>0.0994616104865831</v>
      </c>
      <c r="H261" s="53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-2314081825.95864</v>
      </c>
      <c r="I261" s="53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-9357143.13318427</v>
      </c>
      <c r="J261" s="53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295854339.323753</v>
      </c>
      <c r="K261" s="53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658917867.429657</v>
      </c>
      <c r="L261" s="53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794714495.302173</v>
      </c>
      <c r="M261" s="53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982041564.096623</v>
      </c>
      <c r="N261" s="53" t="n">
        <f aca="false">IF(COUNT('Business Case'!B11:G11)=0,"",H261+NPV(G261,I261:M261))</f>
        <v>-426933213.930062</v>
      </c>
      <c r="P261" s="54" t="n">
        <f aca="true">RAND()</f>
        <v>0.975659991637996</v>
      </c>
      <c r="Q261" s="54" t="n">
        <f aca="true">RAND()</f>
        <v>0.466014370117321</v>
      </c>
      <c r="R261" s="54" t="n">
        <f aca="true">RAND()</f>
        <v>0.685686971335883</v>
      </c>
      <c r="S261" s="54" t="n">
        <f aca="true">RAND()</f>
        <v>0.672668382586333</v>
      </c>
      <c r="T261" s="54" t="n">
        <f aca="true">RAND()</f>
        <v>0.884781441870425</v>
      </c>
      <c r="U261" s="54" t="n">
        <f aca="true">RAND()</f>
        <v>0.37875428273148</v>
      </c>
    </row>
    <row r="262" customFormat="false" ht="15" hidden="false" customHeight="false" outlineLevel="0" collapsed="false">
      <c r="A262" s="50" t="n">
        <v>182</v>
      </c>
      <c r="B262" s="51" t="n">
        <f aca="false">1+IF($G$6=$E$6,$F$6,IF(P262&lt;($F$6-$E$6)/($G$6-$E$6),$E$6+SQRT(P262*($G$6-$E$6)*($F$6-$E$6)),$G$6-SQRT((1-P262)*($G$6-$E$6)*($G$6-$F$6))))</f>
        <v>1.00301809107452</v>
      </c>
      <c r="C262" s="51" t="n">
        <f aca="false">1+IF($G$7=$E$7,$F$7,IF(Q262&lt;($F$7-$E$7)/($G$7-$E$7),$E$7+SQRT(Q262*($G$7-$E$7)*($F$7-$E$7)),$G$7-SQRT((1-Q262)*($G$7-$E$7)*($G$7-$F$7))))</f>
        <v>0.880949418873068</v>
      </c>
      <c r="D262" s="51" t="n">
        <f aca="false">1+IF($G$8=$E$8,$F$8,IF(R262&lt;($F$8-$E$8)/($G$8-$E$8),$E$8+SQRT(R262*($G$8-$E$8)*($F$8-$E$8)),$G$8-SQRT((1-R262)*($G$8-$E$8)*($G$8-$F$8))))</f>
        <v>1.03458328711195</v>
      </c>
      <c r="E262" s="51" t="n">
        <f aca="false">1+IF($G$9=$E$9,$F$9,IF(S262&lt;($F$9-$E$9)/($G$9-$E$9),$E$9+SQRT(S262*($G$9-$E$9)*($F$9-$E$9)),$G$9-SQRT((1-S262)*($G$9-$E$9)*($G$9-$F$9))))</f>
        <v>0.923171751588749</v>
      </c>
      <c r="F262" s="51" t="n">
        <f aca="false">1+IF($G$10=$E$10,$F$10,IF(T262&lt;($F$10-$E$10)/($G$10-$E$10),$E$10+SQRT(T262*($G$10-$E$10)*($F$10-$E$10)),$G$10-SQRT((1-T262)*($G$10-$E$10)*($G$10-$F$10))))</f>
        <v>1.14472641207543</v>
      </c>
      <c r="G262" s="52" t="n">
        <f aca="false">IF($G$11=$E$11,$F$11,IF(U262&lt;($F$11-$E$11)/($G$11-$E$11),$E$11+SQRT(U262*($G$11-$E$11)*($F$11-$E$11)),$G$11-SQRT((1-U262)*($G$11-$E$11)*($G$11-$F$11))))</f>
        <v>0.121908968660592</v>
      </c>
      <c r="H262" s="53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-2289452824.15086</v>
      </c>
      <c r="I262" s="53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-34387020.4474746</v>
      </c>
      <c r="J262" s="53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222779872.707268</v>
      </c>
      <c r="K262" s="53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537183086.465782</v>
      </c>
      <c r="L262" s="53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653442883.729865</v>
      </c>
      <c r="M262" s="53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821399131.231964</v>
      </c>
      <c r="N262" s="53" t="n">
        <f aca="false">IF(COUNT('Business Case'!B11:G11)=0,"",H262+NPV(G262,I262:M262))</f>
        <v>-888112889.812536</v>
      </c>
      <c r="P262" s="54" t="n">
        <f aca="true">RAND()</f>
        <v>0.705693364495762</v>
      </c>
      <c r="Q262" s="54" t="n">
        <f aca="true">RAND()</f>
        <v>0.242538460670379</v>
      </c>
      <c r="R262" s="54" t="n">
        <f aca="true">RAND()</f>
        <v>0.714710244994869</v>
      </c>
      <c r="S262" s="54" t="n">
        <f aca="true">RAND()</f>
        <v>0.0214772028676274</v>
      </c>
      <c r="T262" s="54" t="n">
        <f aca="true">RAND()</f>
        <v>0.852232955806497</v>
      </c>
      <c r="U262" s="54" t="n">
        <f aca="true">RAND()</f>
        <v>0.956356807909815</v>
      </c>
    </row>
    <row r="263" customFormat="false" ht="15" hidden="false" customHeight="false" outlineLevel="0" collapsed="false">
      <c r="A263" s="50" t="n">
        <v>183</v>
      </c>
      <c r="B263" s="51" t="n">
        <f aca="false">1+IF($G$6=$E$6,$F$6,IF(P263&lt;($F$6-$E$6)/($G$6-$E$6),$E$6+SQRT(P263*($G$6-$E$6)*($F$6-$E$6)),$G$6-SQRT((1-P263)*($G$6-$E$6)*($G$6-$F$6))))</f>
        <v>0.945324957023318</v>
      </c>
      <c r="C263" s="51" t="n">
        <f aca="false">1+IF($G$7=$E$7,$F$7,IF(Q263&lt;($F$7-$E$7)/($G$7-$E$7),$E$7+SQRT(Q263*($G$7-$E$7)*($F$7-$E$7)),$G$7-SQRT((1-Q263)*($G$7-$E$7)*($G$7-$F$7))))</f>
        <v>0.836269179812172</v>
      </c>
      <c r="D263" s="51" t="n">
        <f aca="false">1+IF($G$8=$E$8,$F$8,IF(R263&lt;($F$8-$E$8)/($G$8-$E$8),$E$8+SQRT(R263*($G$8-$E$8)*($F$8-$E$8)),$G$8-SQRT((1-R263)*($G$8-$E$8)*($G$8-$F$8))))</f>
        <v>0.968306755546246</v>
      </c>
      <c r="E263" s="51" t="n">
        <f aca="false">1+IF($G$9=$E$9,$F$9,IF(S263&lt;($F$9-$E$9)/($G$9-$E$9),$E$9+SQRT(S263*($G$9-$E$9)*($F$9-$E$9)),$G$9-SQRT((1-S263)*($G$9-$E$9)*($G$9-$F$9))))</f>
        <v>1.07023345414176</v>
      </c>
      <c r="F263" s="51" t="n">
        <f aca="false">1+IF($G$10=$E$10,$F$10,IF(T263&lt;($F$10-$E$10)/($G$10-$E$10),$E$10+SQRT(T263*($G$10-$E$10)*($F$10-$E$10)),$G$10-SQRT((1-T263)*($G$10-$E$10)*($G$10-$F$10))))</f>
        <v>1.10559464946771</v>
      </c>
      <c r="G263" s="52" t="n">
        <f aca="false">IF($G$11=$E$11,$F$11,IF(U263&lt;($F$11-$E$11)/($G$11-$E$11),$E$11+SQRT(U263*($G$11-$E$11)*($F$11-$E$11)),$G$11-SQRT((1-U263)*($G$11-$E$11)*($G$11-$F$11))))</f>
        <v>0.104884246141198</v>
      </c>
      <c r="H263" s="53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-2211189298.93542</v>
      </c>
      <c r="I263" s="53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-70749324.5061967</v>
      </c>
      <c r="J263" s="53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162229924.309326</v>
      </c>
      <c r="K263" s="53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450488905.598235</v>
      </c>
      <c r="L263" s="53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555469929.334069</v>
      </c>
      <c r="M263" s="53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705736937.052701</v>
      </c>
      <c r="N263" s="53" t="n">
        <f aca="false">IF(COUNT('Business Case'!B11:G11)=0,"",H263+NPV(G263,I263:M263))</f>
        <v>-1007004863.29949</v>
      </c>
      <c r="P263" s="54" t="n">
        <f aca="true">RAND()</f>
        <v>0.136956781944377</v>
      </c>
      <c r="Q263" s="54" t="n">
        <f aca="true">RAND()</f>
        <v>0.137550291605052</v>
      </c>
      <c r="R263" s="54" t="n">
        <f aca="true">RAND()</f>
        <v>0.0446849731506684</v>
      </c>
      <c r="S263" s="54" t="n">
        <f aca="true">RAND()</f>
        <v>0.830327950982527</v>
      </c>
      <c r="T263" s="54" t="n">
        <f aca="true">RAND()</f>
        <v>0.721961263168627</v>
      </c>
      <c r="U263" s="54" t="n">
        <f aca="true">RAND()</f>
        <v>0.57946593873606</v>
      </c>
    </row>
    <row r="264" customFormat="false" ht="15" hidden="false" customHeight="false" outlineLevel="0" collapsed="false">
      <c r="A264" s="50" t="n">
        <v>184</v>
      </c>
      <c r="B264" s="51" t="n">
        <f aca="false">1+IF($G$6=$E$6,$F$6,IF(P264&lt;($F$6-$E$6)/($G$6-$E$6),$E$6+SQRT(P264*($G$6-$E$6)*($F$6-$E$6)),$G$6-SQRT((1-P264)*($G$6-$E$6)*($G$6-$F$6))))</f>
        <v>1.02107101729947</v>
      </c>
      <c r="C264" s="51" t="n">
        <f aca="false">1+IF($G$7=$E$7,$F$7,IF(Q264&lt;($F$7-$E$7)/($G$7-$E$7),$E$7+SQRT(Q264*($G$7-$E$7)*($F$7-$E$7)),$G$7-SQRT((1-Q264)*($G$7-$E$7)*($G$7-$F$7))))</f>
        <v>0.908161477973941</v>
      </c>
      <c r="D264" s="51" t="n">
        <f aca="false">1+IF($G$8=$E$8,$F$8,IF(R264&lt;($F$8-$E$8)/($G$8-$E$8),$E$8+SQRT(R264*($G$8-$E$8)*($F$8-$E$8)),$G$8-SQRT((1-R264)*($G$8-$E$8)*($G$8-$F$8))))</f>
        <v>1.03754621795793</v>
      </c>
      <c r="E264" s="51" t="n">
        <f aca="false">1+IF($G$9=$E$9,$F$9,IF(S264&lt;($F$9-$E$9)/($G$9-$E$9),$E$9+SQRT(S264*($G$9-$E$9)*($F$9-$E$9)),$G$9-SQRT((1-S264)*($G$9-$E$9)*($G$9-$F$9))))</f>
        <v>1.04650118118883</v>
      </c>
      <c r="F264" s="51" t="n">
        <f aca="false">1+IF($G$10=$E$10,$F$10,IF(T264&lt;($F$10-$E$10)/($G$10-$E$10),$E$10+SQRT(T264*($G$10-$E$10)*($F$10-$E$10)),$G$10-SQRT((1-T264)*($G$10-$E$10)*($G$10-$F$10))))</f>
        <v>1.04847538291037</v>
      </c>
      <c r="G264" s="52" t="n">
        <f aca="false">IF($G$11=$E$11,$F$11,IF(U264&lt;($F$11-$E$11)/($G$11-$E$11),$E$11+SQRT(U264*($G$11-$E$11)*($F$11-$E$11)),$G$11-SQRT((1-U264)*($G$11-$E$11)*($G$11-$F$11))))</f>
        <v>0.0872366252489043</v>
      </c>
      <c r="H264" s="53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-2096950765.82074</v>
      </c>
      <c r="I264" s="53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-24569281.6402703</v>
      </c>
      <c r="J264" s="53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252592538.335003</v>
      </c>
      <c r="K264" s="53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582178127.455796</v>
      </c>
      <c r="L264" s="53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706612797.687191</v>
      </c>
      <c r="M264" s="53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882873480.671864</v>
      </c>
      <c r="N264" s="53" t="n">
        <f aca="false">IF(COUNT('Business Case'!B11:G11)=0,"",H264+NPV(G264,I264:M264))</f>
        <v>-366052259.146999</v>
      </c>
      <c r="P264" s="54" t="n">
        <f aca="true">RAND()</f>
        <v>0.888415194654993</v>
      </c>
      <c r="Q264" s="54" t="n">
        <f aca="true">RAND()</f>
        <v>0.320971858609596</v>
      </c>
      <c r="R264" s="54" t="n">
        <f aca="true">RAND()</f>
        <v>0.73996834057611</v>
      </c>
      <c r="S264" s="54" t="n">
        <f aca="true">RAND()</f>
        <v>0.714346520125109</v>
      </c>
      <c r="T264" s="54" t="n">
        <f aca="true">RAND()</f>
        <v>0.458504382758369</v>
      </c>
      <c r="U264" s="54" t="n">
        <f aca="true">RAND()</f>
        <v>0.052368744993079</v>
      </c>
    </row>
    <row r="265" customFormat="false" ht="15" hidden="false" customHeight="false" outlineLevel="0" collapsed="false">
      <c r="A265" s="50" t="n">
        <v>185</v>
      </c>
      <c r="B265" s="51" t="n">
        <f aca="false">1+IF($G$6=$E$6,$F$6,IF(P265&lt;($F$6-$E$6)/($G$6-$E$6),$E$6+SQRT(P265*($G$6-$E$6)*($F$6-$E$6)),$G$6-SQRT((1-P265)*($G$6-$E$6)*($G$6-$F$6))))</f>
        <v>1.02307274177219</v>
      </c>
      <c r="C265" s="51" t="n">
        <f aca="false">1+IF($G$7=$E$7,$F$7,IF(Q265&lt;($F$7-$E$7)/($G$7-$E$7),$E$7+SQRT(Q265*($G$7-$E$7)*($F$7-$E$7)),$G$7-SQRT((1-Q265)*($G$7-$E$7)*($G$7-$F$7))))</f>
        <v>0.953152264981806</v>
      </c>
      <c r="D265" s="51" t="n">
        <f aca="false">1+IF($G$8=$E$8,$F$8,IF(R265&lt;($F$8-$E$8)/($G$8-$E$8),$E$8+SQRT(R265*($G$8-$E$8)*($F$8-$E$8)),$G$8-SQRT((1-R265)*($G$8-$E$8)*($G$8-$F$8))))</f>
        <v>1.01479097216732</v>
      </c>
      <c r="E265" s="51" t="n">
        <f aca="false">1+IF($G$9=$E$9,$F$9,IF(S265&lt;($F$9-$E$9)/($G$9-$E$9),$E$9+SQRT(S265*($G$9-$E$9)*($F$9-$E$9)),$G$9-SQRT((1-S265)*($G$9-$E$9)*($G$9-$F$9))))</f>
        <v>0.966946598183651</v>
      </c>
      <c r="F265" s="51" t="n">
        <f aca="false">1+IF($G$10=$E$10,$F$10,IF(T265&lt;($F$10-$E$10)/($G$10-$E$10),$E$10+SQRT(T265*($G$10-$E$10)*($F$10-$E$10)),$G$10-SQRT((1-T265)*($G$10-$E$10)*($G$10-$F$10))))</f>
        <v>0.980594804117931</v>
      </c>
      <c r="G265" s="52" t="n">
        <f aca="false">IF($G$11=$E$11,$F$11,IF(U265&lt;($F$11-$E$11)/($G$11-$E$11),$E$11+SQRT(U265*($G$11-$E$11)*($F$11-$E$11)),$G$11-SQRT((1-U265)*($G$11-$E$11)*($G$11-$F$11))))</f>
        <v>0.089803452370596</v>
      </c>
      <c r="H265" s="53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-1961189608.23586</v>
      </c>
      <c r="I265" s="53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17447691.7316087</v>
      </c>
      <c r="J265" s="53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321006140.335744</v>
      </c>
      <c r="K265" s="53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673594329.145775</v>
      </c>
      <c r="L265" s="53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808481458.813165</v>
      </c>
      <c r="M265" s="53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993836849.542898</v>
      </c>
      <c r="N265" s="53" t="n">
        <f aca="false">IF(COUNT('Business Case'!B11:G11)=0,"",H265+NPV(G265,I265:M265))</f>
        <v>65192517.3881152</v>
      </c>
      <c r="P265" s="54" t="n">
        <f aca="true">RAND()</f>
        <v>0.903323035244349</v>
      </c>
      <c r="Q265" s="54" t="n">
        <f aca="true">RAND()</f>
        <v>0.474711624188283</v>
      </c>
      <c r="R265" s="54" t="n">
        <f aca="true">RAND()</f>
        <v>0.515961438387334</v>
      </c>
      <c r="S265" s="54" t="n">
        <f aca="true">RAND()</f>
        <v>0.17927388033453</v>
      </c>
      <c r="T265" s="54" t="n">
        <f aca="true">RAND()</f>
        <v>0.0624028026009727</v>
      </c>
      <c r="U265" s="54" t="n">
        <f aca="true">RAND()</f>
        <v>0.096107678382545</v>
      </c>
    </row>
    <row r="266" customFormat="false" ht="15" hidden="false" customHeight="false" outlineLevel="0" collapsed="false">
      <c r="A266" s="50" t="n">
        <v>186</v>
      </c>
      <c r="B266" s="51" t="n">
        <f aca="false">1+IF($G$6=$E$6,$F$6,IF(P266&lt;($F$6-$E$6)/($G$6-$E$6),$E$6+SQRT(P266*($G$6-$E$6)*($F$6-$E$6)),$G$6-SQRT((1-P266)*($G$6-$E$6)*($G$6-$F$6))))</f>
        <v>1.01985075726524</v>
      </c>
      <c r="C266" s="51" t="n">
        <f aca="false">1+IF($G$7=$E$7,$F$7,IF(Q266&lt;($F$7-$E$7)/($G$7-$E$7),$E$7+SQRT(Q266*($G$7-$E$7)*($F$7-$E$7)),$G$7-SQRT((1-Q266)*($G$7-$E$7)*($G$7-$F$7))))</f>
        <v>0.822093252822554</v>
      </c>
      <c r="D266" s="51" t="n">
        <f aca="false">1+IF($G$8=$E$8,$F$8,IF(R266&lt;($F$8-$E$8)/($G$8-$E$8),$E$8+SQRT(R266*($G$8-$E$8)*($F$8-$E$8)),$G$8-SQRT((1-R266)*($G$8-$E$8)*($G$8-$F$8))))</f>
        <v>1.04098377077613</v>
      </c>
      <c r="E266" s="51" t="n">
        <f aca="false">1+IF($G$9=$E$9,$F$9,IF(S266&lt;($F$9-$E$9)/($G$9-$E$9),$E$9+SQRT(S266*($G$9-$E$9)*($F$9-$E$9)),$G$9-SQRT((1-S266)*($G$9-$E$9)*($G$9-$F$9))))</f>
        <v>1.08831613411238</v>
      </c>
      <c r="F266" s="51" t="n">
        <f aca="false">1+IF($G$10=$E$10,$F$10,IF(T266&lt;($F$10-$E$10)/($G$10-$E$10),$E$10+SQRT(T266*($G$10-$E$10)*($F$10-$E$10)),$G$10-SQRT((1-T266)*($G$10-$E$10)*($G$10-$F$10))))</f>
        <v>1.02473292596873</v>
      </c>
      <c r="G266" s="52" t="n">
        <f aca="false">IF($G$11=$E$11,$F$11,IF(U266&lt;($F$11-$E$11)/($G$11-$E$11),$E$11+SQRT(U266*($G$11-$E$11)*($F$11-$E$11)),$G$11-SQRT((1-U266)*($G$11-$E$11)*($G$11-$F$11))))</f>
        <v>0.107042405769913</v>
      </c>
      <c r="H266" s="53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-2049465851.93745</v>
      </c>
      <c r="I266" s="53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-52068837.1887624</v>
      </c>
      <c r="J266" s="53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196557472.676452</v>
      </c>
      <c r="K266" s="53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496420428.840102</v>
      </c>
      <c r="L266" s="53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608271398.91939</v>
      </c>
      <c r="M266" s="53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767636832.935912</v>
      </c>
      <c r="N266" s="53" t="n">
        <f aca="false">IF(COUNT('Business Case'!B11:G11)=0,"",H266+NPV(G266,I266:M266))</f>
        <v>-703561318.92727</v>
      </c>
      <c r="P266" s="54" t="n">
        <f aca="true">RAND()</f>
        <v>0.878803088336064</v>
      </c>
      <c r="Q266" s="54" t="n">
        <f aca="true">RAND()</f>
        <v>0.11042046210957</v>
      </c>
      <c r="R266" s="54" t="n">
        <f aca="true">RAND()</f>
        <v>0.767805645879671</v>
      </c>
      <c r="S266" s="54" t="n">
        <f aca="true">RAND()</f>
        <v>0.898536018377535</v>
      </c>
      <c r="T266" s="54" t="n">
        <f aca="true">RAND()</f>
        <v>0.323396604765175</v>
      </c>
      <c r="U266" s="54" t="n">
        <f aca="true">RAND()</f>
        <v>0.648632578111131</v>
      </c>
    </row>
    <row r="267" customFormat="false" ht="15" hidden="false" customHeight="false" outlineLevel="0" collapsed="false">
      <c r="A267" s="50" t="n">
        <v>187</v>
      </c>
      <c r="B267" s="51" t="n">
        <f aca="false">1+IF($G$6=$E$6,$F$6,IF(P267&lt;($F$6-$E$6)/($G$6-$E$6),$E$6+SQRT(P267*($G$6-$E$6)*($F$6-$E$6)),$G$6-SQRT((1-P267)*($G$6-$E$6)*($G$6-$F$6))))</f>
        <v>0.935617562193559</v>
      </c>
      <c r="C267" s="51" t="n">
        <f aca="false">1+IF($G$7=$E$7,$F$7,IF(Q267&lt;($F$7-$E$7)/($G$7-$E$7),$E$7+SQRT(Q267*($G$7-$E$7)*($F$7-$E$7)),$G$7-SQRT((1-Q267)*($G$7-$E$7)*($G$7-$F$7))))</f>
        <v>0.992588682691806</v>
      </c>
      <c r="D267" s="51" t="n">
        <f aca="false">1+IF($G$8=$E$8,$F$8,IF(R267&lt;($F$8-$E$8)/($G$8-$E$8),$E$8+SQRT(R267*($G$8-$E$8)*($F$8-$E$8)),$G$8-SQRT((1-R267)*($G$8-$E$8)*($G$8-$F$8))))</f>
        <v>1.02651354338908</v>
      </c>
      <c r="E267" s="51" t="n">
        <f aca="false">1+IF($G$9=$E$9,$F$9,IF(S267&lt;($F$9-$E$9)/($G$9-$E$9),$E$9+SQRT(S267*($G$9-$E$9)*($F$9-$E$9)),$G$9-SQRT((1-S267)*($G$9-$E$9)*($G$9-$F$9))))</f>
        <v>1.05576519605725</v>
      </c>
      <c r="F267" s="51" t="n">
        <f aca="false">1+IF($G$10=$E$10,$F$10,IF(T267&lt;($F$10-$E$10)/($G$10-$E$10),$E$10+SQRT(T267*($G$10-$E$10)*($F$10-$E$10)),$G$10-SQRT((1-T267)*($G$10-$E$10)*($G$10-$F$10))))</f>
        <v>1.05222938123027</v>
      </c>
      <c r="G267" s="52" t="n">
        <f aca="false">IF($G$11=$E$11,$F$11,IF(U267&lt;($F$11-$E$11)/($G$11-$E$11),$E$11+SQRT(U267*($G$11-$E$11)*($F$11-$E$11)),$G$11-SQRT((1-U267)*($G$11-$E$11)*($G$11-$F$11))))</f>
        <v>0.110934559699773</v>
      </c>
      <c r="H267" s="53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-2104458762.46054</v>
      </c>
      <c r="I267" s="53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-64435343.0718804</v>
      </c>
      <c r="J267" s="53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174625010.49921</v>
      </c>
      <c r="K267" s="53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466296833.131814</v>
      </c>
      <c r="L267" s="53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578078916.08258</v>
      </c>
      <c r="M267" s="53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754603057.43146</v>
      </c>
      <c r="N267" s="53" t="n">
        <f aca="false">IF(COUNT('Business Case'!B11:G11)=0,"",H267+NPV(G267,I267:M267))</f>
        <v>-855417610.293011</v>
      </c>
      <c r="P267" s="54" t="n">
        <f aca="true">RAND()</f>
        <v>0.0845740491074684</v>
      </c>
      <c r="Q267" s="54" t="n">
        <f aca="true">RAND()</f>
        <v>0.634134349920938</v>
      </c>
      <c r="R267" s="54" t="n">
        <f aca="true">RAND()</f>
        <v>0.639982712984777</v>
      </c>
      <c r="S267" s="54" t="n">
        <f aca="true">RAND()</f>
        <v>0.763194712689892</v>
      </c>
      <c r="T267" s="54" t="n">
        <f aca="true">RAND()</f>
        <v>0.478490431352506</v>
      </c>
      <c r="U267" s="54" t="n">
        <f aca="true">RAND()</f>
        <v>0.757672657438999</v>
      </c>
    </row>
    <row r="268" customFormat="false" ht="15" hidden="false" customHeight="false" outlineLevel="0" collapsed="false">
      <c r="A268" s="50" t="n">
        <v>188</v>
      </c>
      <c r="B268" s="51" t="n">
        <f aca="false">1+IF($G$6=$E$6,$F$6,IF(P268&lt;($F$6-$E$6)/($G$6-$E$6),$E$6+SQRT(P268*($G$6-$E$6)*($F$6-$E$6)),$G$6-SQRT((1-P268)*($G$6-$E$6)*($G$6-$F$6))))</f>
        <v>1.01649083962927</v>
      </c>
      <c r="C268" s="51" t="n">
        <f aca="false">1+IF($G$7=$E$7,$F$7,IF(Q268&lt;($F$7-$E$7)/($G$7-$E$7),$E$7+SQRT(Q268*($G$7-$E$7)*($F$7-$E$7)),$G$7-SQRT((1-Q268)*($G$7-$E$7)*($G$7-$F$7))))</f>
        <v>0.958829642713217</v>
      </c>
      <c r="D268" s="51" t="n">
        <f aca="false">1+IF($G$8=$E$8,$F$8,IF(R268&lt;($F$8-$E$8)/($G$8-$E$8),$E$8+SQRT(R268*($G$8-$E$8)*($F$8-$E$8)),$G$8-SQRT((1-R268)*($G$8-$E$8)*($G$8-$F$8))))</f>
        <v>1.01972967074264</v>
      </c>
      <c r="E268" s="51" t="n">
        <f aca="false">1+IF($G$9=$E$9,$F$9,IF(S268&lt;($F$9-$E$9)/($G$9-$E$9),$E$9+SQRT(S268*($G$9-$E$9)*($F$9-$E$9)),$G$9-SQRT((1-S268)*($G$9-$E$9)*($G$9-$F$9))))</f>
        <v>1.00078128205004</v>
      </c>
      <c r="F268" s="51" t="n">
        <f aca="false">1+IF($G$10=$E$10,$F$10,IF(T268&lt;($F$10-$E$10)/($G$10-$E$10),$E$10+SQRT(T268*($G$10-$E$10)*($F$10-$E$10)),$G$10-SQRT((1-T268)*($G$10-$E$10)*($G$10-$F$10))))</f>
        <v>1.04318315488537</v>
      </c>
      <c r="G268" s="52" t="n">
        <f aca="false">IF($G$11=$E$11,$F$11,IF(U268&lt;($F$11-$E$11)/($G$11-$E$11),$E$11+SQRT(U268*($G$11-$E$11)*($F$11-$E$11)),$G$11-SQRT((1-U268)*($G$11-$E$11)*($G$11-$F$11))))</f>
        <v>0.103393757182102</v>
      </c>
      <c r="H268" s="53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-2086366309.77075</v>
      </c>
      <c r="I268" s="53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618508.207782865</v>
      </c>
      <c r="J268" s="53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298391848.090161</v>
      </c>
      <c r="K268" s="53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648324345.716806</v>
      </c>
      <c r="L268" s="53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781265737.596628</v>
      </c>
      <c r="M268" s="53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966525603.151283</v>
      </c>
      <c r="N268" s="53" t="n">
        <f aca="false">IF(COUNT('Business Case'!B11:G11)=0,"",H268+NPV(G268,I268:M268))</f>
        <v>-240056828.765458</v>
      </c>
      <c r="P268" s="54" t="n">
        <f aca="true">RAND()</f>
        <v>0.850284822833194</v>
      </c>
      <c r="Q268" s="54" t="n">
        <f aca="true">RAND()</f>
        <v>0.496242844052232</v>
      </c>
      <c r="R268" s="54" t="n">
        <f aca="true">RAND()</f>
        <v>0.570444949394313</v>
      </c>
      <c r="S268" s="54" t="n">
        <f aca="true">RAND()</f>
        <v>0.406233979023168</v>
      </c>
      <c r="T268" s="54" t="n">
        <f aca="true">RAND()</f>
        <v>0.429690567691099</v>
      </c>
      <c r="U268" s="54" t="n">
        <f aca="true">RAND()</f>
        <v>0.528071895410026</v>
      </c>
    </row>
    <row r="269" customFormat="false" ht="15" hidden="false" customHeight="false" outlineLevel="0" collapsed="false">
      <c r="A269" s="50" t="n">
        <v>189</v>
      </c>
      <c r="B269" s="51" t="n">
        <f aca="false">1+IF($G$6=$E$6,$F$6,IF(P269&lt;($F$6-$E$6)/($G$6-$E$6),$E$6+SQRT(P269*($G$6-$E$6)*($F$6-$E$6)),$G$6-SQRT((1-P269)*($G$6-$E$6)*($G$6-$F$6))))</f>
        <v>0.965803604790334</v>
      </c>
      <c r="C269" s="51" t="n">
        <f aca="false">1+IF($G$7=$E$7,$F$7,IF(Q269&lt;($F$7-$E$7)/($G$7-$E$7),$E$7+SQRT(Q269*($G$7-$E$7)*($F$7-$E$7)),$G$7-SQRT((1-Q269)*($G$7-$E$7)*($G$7-$F$7))))</f>
        <v>1.02782845838671</v>
      </c>
      <c r="D269" s="51" t="n">
        <f aca="false">1+IF($G$8=$E$8,$F$8,IF(R269&lt;($F$8-$E$8)/($G$8-$E$8),$E$8+SQRT(R269*($G$8-$E$8)*($F$8-$E$8)),$G$8-SQRT((1-R269)*($G$8-$E$8)*($G$8-$F$8))))</f>
        <v>1.084459075558</v>
      </c>
      <c r="E269" s="51" t="n">
        <f aca="false">1+IF($G$9=$E$9,$F$9,IF(S269&lt;($F$9-$E$9)/($G$9-$E$9),$E$9+SQRT(S269*($G$9-$E$9)*($F$9-$E$9)),$G$9-SQRT((1-S269)*($G$9-$E$9)*($G$9-$F$9))))</f>
        <v>1.02960257222314</v>
      </c>
      <c r="F269" s="51" t="n">
        <f aca="false">1+IF($G$10=$E$10,$F$10,IF(T269&lt;($F$10-$E$10)/($G$10-$E$10),$E$10+SQRT(T269*($G$10-$E$10)*($F$10-$E$10)),$G$10-SQRT((1-T269)*($G$10-$E$10)*($G$10-$F$10))))</f>
        <v>1.09530612506906</v>
      </c>
      <c r="G269" s="52" t="n">
        <f aca="false">IF($G$11=$E$11,$F$11,IF(U269&lt;($F$11-$E$11)/($G$11-$E$11),$E$11+SQRT(U269*($G$11-$E$11)*($F$11-$E$11)),$G$11-SQRT((1-U269)*($G$11-$E$11)*($G$11-$F$11))))</f>
        <v>0.111175060162456</v>
      </c>
      <c r="H269" s="53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-2190612250.13811</v>
      </c>
      <c r="I269" s="53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-64929340.1144874</v>
      </c>
      <c r="J269" s="53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177541971.550457</v>
      </c>
      <c r="K269" s="53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474778589.468853</v>
      </c>
      <c r="L269" s="53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589909395.692098</v>
      </c>
      <c r="M269" s="53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778598091.86755</v>
      </c>
      <c r="N269" s="53" t="n">
        <f aca="false">IF(COUNT('Business Case'!B11:G11)=0,"",H269+NPV(G269,I269:M269))</f>
        <v>-912626439.956301</v>
      </c>
      <c r="P269" s="54" t="n">
        <f aca="true">RAND()</f>
        <v>0.288674293560169</v>
      </c>
      <c r="Q269" s="54" t="n">
        <f aca="true">RAND()</f>
        <v>0.778875769182686</v>
      </c>
      <c r="R269" s="54" t="n">
        <f aca="true">RAND()</f>
        <v>0.983898644499211</v>
      </c>
      <c r="S269" s="54" t="n">
        <f aca="true">RAND()</f>
        <v>0.613452250259058</v>
      </c>
      <c r="T269" s="54" t="n">
        <f aca="true">RAND()</f>
        <v>0.680930734117993</v>
      </c>
      <c r="U269" s="54" t="n">
        <f aca="true">RAND()</f>
        <v>0.763747760075237</v>
      </c>
    </row>
    <row r="270" customFormat="false" ht="15" hidden="false" customHeight="false" outlineLevel="0" collapsed="false">
      <c r="A270" s="50" t="n">
        <v>190</v>
      </c>
      <c r="B270" s="51" t="n">
        <f aca="false">1+IF($G$6=$E$6,$F$6,IF(P270&lt;($F$6-$E$6)/($G$6-$E$6),$E$6+SQRT(P270*($G$6-$E$6)*($F$6-$E$6)),$G$6-SQRT((1-P270)*($G$6-$E$6)*($G$6-$F$6))))</f>
        <v>1.00050526231122</v>
      </c>
      <c r="C270" s="51" t="n">
        <f aca="false">1+IF($G$7=$E$7,$F$7,IF(Q270&lt;($F$7-$E$7)/($G$7-$E$7),$E$7+SQRT(Q270*($G$7-$E$7)*($F$7-$E$7)),$G$7-SQRT((1-Q270)*($G$7-$E$7)*($G$7-$F$7))))</f>
        <v>1.06159167817842</v>
      </c>
      <c r="D270" s="51" t="n">
        <f aca="false">1+IF($G$8=$E$8,$F$8,IF(R270&lt;($F$8-$E$8)/($G$8-$E$8),$E$8+SQRT(R270*($G$8-$E$8)*($F$8-$E$8)),$G$8-SQRT((1-R270)*($G$8-$E$8)*($G$8-$F$8))))</f>
        <v>1.08619613436425</v>
      </c>
      <c r="E270" s="51" t="n">
        <f aca="false">1+IF($G$9=$E$9,$F$9,IF(S270&lt;($F$9-$E$9)/($G$9-$E$9),$E$9+SQRT(S270*($G$9-$E$9)*($F$9-$E$9)),$G$9-SQRT((1-S270)*($G$9-$E$9)*($G$9-$F$9))))</f>
        <v>1.0023538676445</v>
      </c>
      <c r="F270" s="51" t="n">
        <f aca="false">1+IF($G$10=$E$10,$F$10,IF(T270&lt;($F$10-$E$10)/($G$10-$E$10),$E$10+SQRT(T270*($G$10-$E$10)*($F$10-$E$10)),$G$10-SQRT((1-T270)*($G$10-$E$10)*($G$10-$F$10))))</f>
        <v>1.02493373269414</v>
      </c>
      <c r="G270" s="52" t="n">
        <f aca="false">IF($G$11=$E$11,$F$11,IF(U270&lt;($F$11-$E$11)/($G$11-$E$11),$E$11+SQRT(U270*($G$11-$E$11)*($F$11-$E$11)),$G$11-SQRT((1-U270)*($G$11-$E$11)*($G$11-$F$11))))</f>
        <v>0.093079799182714</v>
      </c>
      <c r="H270" s="53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-2049867465.38828</v>
      </c>
      <c r="I270" s="53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-20422759.3169119</v>
      </c>
      <c r="J270" s="53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259243293.268019</v>
      </c>
      <c r="K270" s="53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590156032.487656</v>
      </c>
      <c r="L270" s="53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720085195.784887</v>
      </c>
      <c r="M270" s="53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921974497.51395</v>
      </c>
      <c r="N270" s="53" t="n">
        <f aca="false">IF(COUNT('Business Case'!B11:G11)=0,"",H270+NPV(G270,I270:M270))</f>
        <v>-304483953.1662</v>
      </c>
      <c r="P270" s="54" t="n">
        <f aca="true">RAND()</f>
        <v>0.673369458815811</v>
      </c>
      <c r="Q270" s="54" t="n">
        <f aca="true">RAND()</f>
        <v>0.884206942706536</v>
      </c>
      <c r="R270" s="54" t="n">
        <f aca="true">RAND()</f>
        <v>0.987296886234011</v>
      </c>
      <c r="S270" s="54" t="n">
        <f aca="true">RAND()</f>
        <v>0.418683189345643</v>
      </c>
      <c r="T270" s="54" t="n">
        <f aca="true">RAND()</f>
        <v>0.324602337613434</v>
      </c>
      <c r="U270" s="54" t="n">
        <f aca="true">RAND()</f>
        <v>0.171081146660126</v>
      </c>
    </row>
    <row r="271" customFormat="false" ht="15" hidden="false" customHeight="false" outlineLevel="0" collapsed="false">
      <c r="A271" s="50" t="n">
        <v>191</v>
      </c>
      <c r="B271" s="51" t="n">
        <f aca="false">1+IF($G$6=$E$6,$F$6,IF(P271&lt;($F$6-$E$6)/($G$6-$E$6),$E$6+SQRT(P271*($G$6-$E$6)*($F$6-$E$6)),$G$6-SQRT((1-P271)*($G$6-$E$6)*($G$6-$F$6))))</f>
        <v>1.00868999204111</v>
      </c>
      <c r="C271" s="51" t="n">
        <f aca="false">1+IF($G$7=$E$7,$F$7,IF(Q271&lt;($F$7-$E$7)/($G$7-$E$7),$E$7+SQRT(Q271*($G$7-$E$7)*($F$7-$E$7)),$G$7-SQRT((1-Q271)*($G$7-$E$7)*($G$7-$F$7))))</f>
        <v>0.958747235310212</v>
      </c>
      <c r="D271" s="51" t="n">
        <f aca="false">1+IF($G$8=$E$8,$F$8,IF(R271&lt;($F$8-$E$8)/($G$8-$E$8),$E$8+SQRT(R271*($G$8-$E$8)*($F$8-$E$8)),$G$8-SQRT((1-R271)*($G$8-$E$8)*($G$8-$F$8))))</f>
        <v>0.995091255202921</v>
      </c>
      <c r="E271" s="51" t="n">
        <f aca="false">1+IF($G$9=$E$9,$F$9,IF(S271&lt;($F$9-$E$9)/($G$9-$E$9),$E$9+SQRT(S271*($G$9-$E$9)*($F$9-$E$9)),$G$9-SQRT((1-S271)*($G$9-$E$9)*($G$9-$F$9))))</f>
        <v>0.95242763135353</v>
      </c>
      <c r="F271" s="51" t="n">
        <f aca="false">1+IF($G$10=$E$10,$F$10,IF(T271&lt;($F$10-$E$10)/($G$10-$E$10),$E$10+SQRT(T271*($G$10-$E$10)*($F$10-$E$10)),$G$10-SQRT((1-T271)*($G$10-$E$10)*($G$10-$F$10))))</f>
        <v>1.02439867559898</v>
      </c>
      <c r="G271" s="52" t="n">
        <f aca="false">IF($G$11=$E$11,$F$11,IF(U271&lt;($F$11-$E$11)/($G$11-$E$11),$E$11+SQRT(U271*($G$11-$E$11)*($F$11-$E$11)),$G$11-SQRT((1-U271)*($G$11-$E$11)*($G$11-$F$11))))</f>
        <v>0.121015931368098</v>
      </c>
      <c r="H271" s="53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-2048797351.19796</v>
      </c>
      <c r="I271" s="53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15706016.4929897</v>
      </c>
      <c r="J271" s="53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319420471.665798</v>
      </c>
      <c r="K271" s="53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674354860.618556</v>
      </c>
      <c r="L271" s="53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809015253.637125</v>
      </c>
      <c r="M271" s="53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992837580.755771</v>
      </c>
      <c r="N271" s="53" t="n">
        <f aca="false">IF(COUNT('Business Case'!B11:G11)=0,"",H271+NPV(G271,I271:M271))</f>
        <v>-228822332.557633</v>
      </c>
      <c r="P271" s="54" t="n">
        <f aca="true">RAND()</f>
        <v>0.772464432324873</v>
      </c>
      <c r="Q271" s="54" t="n">
        <f aca="true">RAND()</f>
        <v>0.495926902079096</v>
      </c>
      <c r="R271" s="54" t="n">
        <f aca="true">RAND()</f>
        <v>0.271096172769989</v>
      </c>
      <c r="S271" s="54" t="n">
        <f aca="true">RAND()</f>
        <v>0.109946261173666</v>
      </c>
      <c r="T271" s="54" t="n">
        <f aca="true">RAND()</f>
        <v>0.321387232380069</v>
      </c>
      <c r="U271" s="54" t="n">
        <f aca="true">RAND()</f>
        <v>0.946191007211517</v>
      </c>
    </row>
    <row r="272" customFormat="false" ht="15" hidden="false" customHeight="false" outlineLevel="0" collapsed="false">
      <c r="A272" s="50" t="n">
        <v>192</v>
      </c>
      <c r="B272" s="51" t="n">
        <f aca="false">1+IF($G$6=$E$6,$F$6,IF(P272&lt;($F$6-$E$6)/($G$6-$E$6),$E$6+SQRT(P272*($G$6-$E$6)*($F$6-$E$6)),$G$6-SQRT((1-P272)*($G$6-$E$6)*($G$6-$F$6))))</f>
        <v>1.03719717762061</v>
      </c>
      <c r="C272" s="51" t="n">
        <f aca="false">1+IF($G$7=$E$7,$F$7,IF(Q272&lt;($F$7-$E$7)/($G$7-$E$7),$E$7+SQRT(Q272*($G$7-$E$7)*($F$7-$E$7)),$G$7-SQRT((1-Q272)*($G$7-$E$7)*($G$7-$F$7))))</f>
        <v>0.97961680336847</v>
      </c>
      <c r="D272" s="51" t="n">
        <f aca="false">1+IF($G$8=$E$8,$F$8,IF(R272&lt;($F$8-$E$8)/($G$8-$E$8),$E$8+SQRT(R272*($G$8-$E$8)*($F$8-$E$8)),$G$8-SQRT((1-R272)*($G$8-$E$8)*($G$8-$F$8))))</f>
        <v>0.99117824281166</v>
      </c>
      <c r="E272" s="51" t="n">
        <f aca="false">1+IF($G$9=$E$9,$F$9,IF(S272&lt;($F$9-$E$9)/($G$9-$E$9),$E$9+SQRT(S272*($G$9-$E$9)*($F$9-$E$9)),$G$9-SQRT((1-S272)*($G$9-$E$9)*($G$9-$F$9))))</f>
        <v>0.994052011302114</v>
      </c>
      <c r="F272" s="51" t="n">
        <f aca="false">1+IF($G$10=$E$10,$F$10,IF(T272&lt;($F$10-$E$10)/($G$10-$E$10),$E$10+SQRT(T272*($G$10-$E$10)*($F$10-$E$10)),$G$10-SQRT((1-T272)*($G$10-$E$10)*($G$10-$F$10))))</f>
        <v>1.11974702695479</v>
      </c>
      <c r="G272" s="52" t="n">
        <f aca="false">IF($G$11=$E$11,$F$11,IF(U272&lt;($F$11-$E$11)/($G$11-$E$11),$E$11+SQRT(U272*($G$11-$E$11)*($F$11-$E$11)),$G$11-SQRT((1-U272)*($G$11-$E$11)*($G$11-$F$11))))</f>
        <v>0.0991563469599018</v>
      </c>
      <c r="H272" s="53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-2239494053.90959</v>
      </c>
      <c r="I272" s="53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29160161.0147178</v>
      </c>
      <c r="J272" s="53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364321552.554081</v>
      </c>
      <c r="K272" s="53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755470295.441184</v>
      </c>
      <c r="L272" s="53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902305647.168976</v>
      </c>
      <c r="M272" s="53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1095437530.51633</v>
      </c>
      <c r="N272" s="53" t="n">
        <f aca="false">IF(COUNT('Business Case'!B11:G11)=0,"",H272+NPV(G272,I272:M272))</f>
        <v>-41529837.9774909</v>
      </c>
      <c r="P272" s="54" t="n">
        <f aca="true">RAND()</f>
        <v>0.978145031882903</v>
      </c>
      <c r="Q272" s="54" t="n">
        <f aca="true">RAND()</f>
        <v>0.579152272044455</v>
      </c>
      <c r="R272" s="54" t="n">
        <f aca="true">RAND()</f>
        <v>0.226086357474136</v>
      </c>
      <c r="S272" s="54" t="n">
        <f aca="true">RAND()</f>
        <v>0.353831233198919</v>
      </c>
      <c r="T272" s="54" t="n">
        <f aca="true">RAND()</f>
        <v>0.773788840171801</v>
      </c>
      <c r="U272" s="54" t="n">
        <f aca="true">RAND()</f>
        <v>0.366965628848139</v>
      </c>
    </row>
    <row r="273" customFormat="false" ht="15" hidden="false" customHeight="false" outlineLevel="0" collapsed="false">
      <c r="A273" s="50" t="n">
        <v>193</v>
      </c>
      <c r="B273" s="51" t="n">
        <f aca="false">1+IF($G$6=$E$6,$F$6,IF(P273&lt;($F$6-$E$6)/($G$6-$E$6),$E$6+SQRT(P273*($G$6-$E$6)*($F$6-$E$6)),$G$6-SQRT((1-P273)*($G$6-$E$6)*($G$6-$F$6))))</f>
        <v>0.955126933527234</v>
      </c>
      <c r="C273" s="51" t="n">
        <f aca="false">1+IF($G$7=$E$7,$F$7,IF(Q273&lt;($F$7-$E$7)/($G$7-$E$7),$E$7+SQRT(Q273*($G$7-$E$7)*($F$7-$E$7)),$G$7-SQRT((1-Q273)*($G$7-$E$7)*($G$7-$F$7))))</f>
        <v>0.749413375033773</v>
      </c>
      <c r="D273" s="51" t="n">
        <f aca="false">1+IF($G$8=$E$8,$F$8,IF(R273&lt;($F$8-$E$8)/($G$8-$E$8),$E$8+SQRT(R273*($G$8-$E$8)*($F$8-$E$8)),$G$8-SQRT((1-R273)*($G$8-$E$8)*($G$8-$F$8))))</f>
        <v>1.02221754625561</v>
      </c>
      <c r="E273" s="51" t="n">
        <f aca="false">1+IF($G$9=$E$9,$F$9,IF(S273&lt;($F$9-$E$9)/($G$9-$E$9),$E$9+SQRT(S273*($G$9-$E$9)*($F$9-$E$9)),$G$9-SQRT((1-S273)*($G$9-$E$9)*($G$9-$F$9))))</f>
        <v>0.936414866089159</v>
      </c>
      <c r="F273" s="51" t="n">
        <f aca="false">1+IF($G$10=$E$10,$F$10,IF(T273&lt;($F$10-$E$10)/($G$10-$E$10),$E$10+SQRT(T273*($G$10-$E$10)*($F$10-$E$10)),$G$10-SQRT((1-T273)*($G$10-$E$10)*($G$10-$F$10))))</f>
        <v>0.996429544560239</v>
      </c>
      <c r="G273" s="52" t="n">
        <f aca="false">IF($G$11=$E$11,$F$11,IF(U273&lt;($F$11-$E$11)/($G$11-$E$11),$E$11+SQRT(U273*($G$11-$E$11)*($F$11-$E$11)),$G$11-SQRT((1-U273)*($G$11-$E$11)*($G$11-$F$11))))</f>
        <v>0.11270119759345</v>
      </c>
      <c r="H273" s="53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-1992859089.12048</v>
      </c>
      <c r="I273" s="53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-75791296.5221274</v>
      </c>
      <c r="J273" s="53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118324844.525529</v>
      </c>
      <c r="K273" s="53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362262462.801197</v>
      </c>
      <c r="L273" s="53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451705369.254337</v>
      </c>
      <c r="M273" s="53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587761762.825902</v>
      </c>
      <c r="N273" s="53" t="n">
        <f aca="false">IF(COUNT('Business Case'!B11:G11)=0,"",H273+NPV(G273,I273:M273))</f>
        <v>-1063177476.36342</v>
      </c>
      <c r="P273" s="54" t="n">
        <f aca="true">RAND()</f>
        <v>0.202598586674407</v>
      </c>
      <c r="Q273" s="54" t="n">
        <f aca="true">RAND()</f>
        <v>0.0180865306090986</v>
      </c>
      <c r="R273" s="54" t="n">
        <f aca="true">RAND()</f>
        <v>0.596659325966781</v>
      </c>
      <c r="S273" s="54" t="n">
        <f aca="true">RAND()</f>
        <v>0.053041698891655</v>
      </c>
      <c r="T273" s="54" t="n">
        <f aca="true">RAND()</f>
        <v>0.14371350720475</v>
      </c>
      <c r="U273" s="54" t="n">
        <f aca="true">RAND()</f>
        <v>0.800500956866102</v>
      </c>
    </row>
    <row r="274" customFormat="false" ht="15" hidden="false" customHeight="false" outlineLevel="0" collapsed="false">
      <c r="A274" s="50" t="n">
        <v>194</v>
      </c>
      <c r="B274" s="51" t="n">
        <f aca="false">1+IF($G$6=$E$6,$F$6,IF(P274&lt;($F$6-$E$6)/($G$6-$E$6),$E$6+SQRT(P274*($G$6-$E$6)*($F$6-$E$6)),$G$6-SQRT((1-P274)*($G$6-$E$6)*($G$6-$F$6))))</f>
        <v>0.917339335297187</v>
      </c>
      <c r="C274" s="51" t="n">
        <f aca="false">1+IF($G$7=$E$7,$F$7,IF(Q274&lt;($F$7-$E$7)/($G$7-$E$7),$E$7+SQRT(Q274*($G$7-$E$7)*($F$7-$E$7)),$G$7-SQRT((1-Q274)*($G$7-$E$7)*($G$7-$F$7))))</f>
        <v>0.981191943236242</v>
      </c>
      <c r="D274" s="51" t="n">
        <f aca="false">1+IF($G$8=$E$8,$F$8,IF(R274&lt;($F$8-$E$8)/($G$8-$E$8),$E$8+SQRT(R274*($G$8-$E$8)*($F$8-$E$8)),$G$8-SQRT((1-R274)*($G$8-$E$8)*($G$8-$F$8))))</f>
        <v>1.00189874727422</v>
      </c>
      <c r="E274" s="51" t="n">
        <f aca="false">1+IF($G$9=$E$9,$F$9,IF(S274&lt;($F$9-$E$9)/($G$9-$E$9),$E$9+SQRT(S274*($G$9-$E$9)*($F$9-$E$9)),$G$9-SQRT((1-S274)*($G$9-$E$9)*($G$9-$F$9))))</f>
        <v>1.01533046001323</v>
      </c>
      <c r="F274" s="51" t="n">
        <f aca="false">1+IF($G$10=$E$10,$F$10,IF(T274&lt;($F$10-$E$10)/($G$10-$E$10),$E$10+SQRT(T274*($G$10-$E$10)*($F$10-$E$10)),$G$10-SQRT((1-T274)*($G$10-$E$10)*($G$10-$F$10))))</f>
        <v>1.02657241414524</v>
      </c>
      <c r="G274" s="52" t="n">
        <f aca="false">IF($G$11=$E$11,$F$11,IF(U274&lt;($F$11-$E$11)/($G$11-$E$11),$E$11+SQRT(U274*($G$11-$E$11)*($F$11-$E$11)),$G$11-SQRT((1-U274)*($G$11-$E$11)*($G$11-$F$11))))</f>
        <v>0.0943502827277387</v>
      </c>
      <c r="H274" s="53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-2053144828.29047</v>
      </c>
      <c r="I274" s="53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-59707982.452774</v>
      </c>
      <c r="J274" s="53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174281724.348835</v>
      </c>
      <c r="K274" s="53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459600051.857707</v>
      </c>
      <c r="L274" s="53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568703591.742229</v>
      </c>
      <c r="M274" s="53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739791931.970814</v>
      </c>
      <c r="N274" s="53" t="n">
        <f aca="false">IF(COUNT('Business Case'!B11:G11)=0,"",H274+NPV(G274,I274:M274))</f>
        <v>-743650700.60446</v>
      </c>
      <c r="P274" s="54" t="n">
        <f aca="true">RAND()</f>
        <v>0.0200435032365524</v>
      </c>
      <c r="Q274" s="54" t="n">
        <f aca="true">RAND()</f>
        <v>0.585695621784992</v>
      </c>
      <c r="R274" s="54" t="n">
        <f aca="true">RAND()</f>
        <v>0.358409614242198</v>
      </c>
      <c r="S274" s="54" t="n">
        <f aca="true">RAND()</f>
        <v>0.516376399993407</v>
      </c>
      <c r="T274" s="54" t="n">
        <f aca="true">RAND()</f>
        <v>0.334401518388164</v>
      </c>
      <c r="U274" s="54" t="n">
        <f aca="true">RAND()</f>
        <v>0.205930614366035</v>
      </c>
    </row>
    <row r="275" customFormat="false" ht="15" hidden="false" customHeight="false" outlineLevel="0" collapsed="false">
      <c r="A275" s="50" t="n">
        <v>195</v>
      </c>
      <c r="B275" s="51" t="n">
        <f aca="false">1+IF($G$6=$E$6,$F$6,IF(P275&lt;($F$6-$E$6)/($G$6-$E$6),$E$6+SQRT(P275*($G$6-$E$6)*($F$6-$E$6)),$G$6-SQRT((1-P275)*($G$6-$E$6)*($G$6-$F$6))))</f>
        <v>0.944284578793628</v>
      </c>
      <c r="C275" s="51" t="n">
        <f aca="false">1+IF($G$7=$E$7,$F$7,IF(Q275&lt;($F$7-$E$7)/($G$7-$E$7),$E$7+SQRT(Q275*($G$7-$E$7)*($F$7-$E$7)),$G$7-SQRT((1-Q275)*($G$7-$E$7)*($G$7-$F$7))))</f>
        <v>0.857076489526809</v>
      </c>
      <c r="D275" s="51" t="n">
        <f aca="false">1+IF($G$8=$E$8,$F$8,IF(R275&lt;($F$8-$E$8)/($G$8-$E$8),$E$8+SQRT(R275*($G$8-$E$8)*($F$8-$E$8)),$G$8-SQRT((1-R275)*($G$8-$E$8)*($G$8-$F$8))))</f>
        <v>0.987473656575964</v>
      </c>
      <c r="E275" s="51" t="n">
        <f aca="false">1+IF($G$9=$E$9,$F$9,IF(S275&lt;($F$9-$E$9)/($G$9-$E$9),$E$9+SQRT(S275*($G$9-$E$9)*($F$9-$E$9)),$G$9-SQRT((1-S275)*($G$9-$E$9)*($G$9-$F$9))))</f>
        <v>1.08992568728038</v>
      </c>
      <c r="F275" s="51" t="n">
        <f aca="false">1+IF($G$10=$E$10,$F$10,IF(T275&lt;($F$10-$E$10)/($G$10-$E$10),$E$10+SQRT(T275*($G$10-$E$10)*($F$10-$E$10)),$G$10-SQRT((1-T275)*($G$10-$E$10)*($G$10-$F$10))))</f>
        <v>1.04203620680962</v>
      </c>
      <c r="G275" s="52" t="n">
        <f aca="false">IF($G$11=$E$11,$F$11,IF(U275&lt;($F$11-$E$11)/($G$11-$E$11),$E$11+SQRT(U275*($G$11-$E$11)*($F$11-$E$11)),$G$11-SQRT((1-U275)*($G$11-$E$11)*($G$11-$F$11))))</f>
        <v>0.1111494694233</v>
      </c>
      <c r="H275" s="53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-2084072413.61924</v>
      </c>
      <c r="I275" s="53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-71510302.1494948</v>
      </c>
      <c r="J275" s="53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158125811.074488</v>
      </c>
      <c r="K275" s="53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439863734.638952</v>
      </c>
      <c r="L275" s="53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544379347.02111</v>
      </c>
      <c r="M275" s="53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698215674.212344</v>
      </c>
      <c r="N275" s="53" t="n">
        <f aca="false">IF(COUNT('Business Case'!B11:G11)=0,"",H275+NPV(G275,I275:M275))</f>
        <v>-930392757.722634</v>
      </c>
      <c r="P275" s="54" t="n">
        <f aca="true">RAND()</f>
        <v>0.130741594595271</v>
      </c>
      <c r="Q275" s="54" t="n">
        <f aca="true">RAND()</f>
        <v>0.182763137496783</v>
      </c>
      <c r="R275" s="54" t="n">
        <f aca="true">RAND()</f>
        <v>0.187236658289769</v>
      </c>
      <c r="S275" s="54" t="n">
        <f aca="true">RAND()</f>
        <v>0.903762052033735</v>
      </c>
      <c r="T275" s="54" t="n">
        <f aca="true">RAND()</f>
        <v>0.423347476291597</v>
      </c>
      <c r="U275" s="54" t="n">
        <f aca="true">RAND()</f>
        <v>0.763104997984601</v>
      </c>
    </row>
    <row r="276" customFormat="false" ht="15" hidden="false" customHeight="false" outlineLevel="0" collapsed="false">
      <c r="A276" s="50" t="n">
        <v>196</v>
      </c>
      <c r="B276" s="51" t="n">
        <f aca="false">1+IF($G$6=$E$6,$F$6,IF(P276&lt;($F$6-$E$6)/($G$6-$E$6),$E$6+SQRT(P276*($G$6-$E$6)*($F$6-$E$6)),$G$6-SQRT((1-P276)*($G$6-$E$6)*($G$6-$F$6))))</f>
        <v>1.00865969108585</v>
      </c>
      <c r="C276" s="51" t="n">
        <f aca="false">1+IF($G$7=$E$7,$F$7,IF(Q276&lt;($F$7-$E$7)/($G$7-$E$7),$E$7+SQRT(Q276*($G$7-$E$7)*($F$7-$E$7)),$G$7-SQRT((1-Q276)*($G$7-$E$7)*($G$7-$F$7))))</f>
        <v>1.00509586601339</v>
      </c>
      <c r="D276" s="51" t="n">
        <f aca="false">1+IF($G$8=$E$8,$F$8,IF(R276&lt;($F$8-$E$8)/($G$8-$E$8),$E$8+SQRT(R276*($G$8-$E$8)*($F$8-$E$8)),$G$8-SQRT((1-R276)*($G$8-$E$8)*($G$8-$F$8))))</f>
        <v>0.992659437985869</v>
      </c>
      <c r="E276" s="51" t="n">
        <f aca="false">1+IF($G$9=$E$9,$F$9,IF(S276&lt;($F$9-$E$9)/($G$9-$E$9),$E$9+SQRT(S276*($G$9-$E$9)*($F$9-$E$9)),$G$9-SQRT((1-S276)*($G$9-$E$9)*($G$9-$F$9))))</f>
        <v>0.9343184468523</v>
      </c>
      <c r="F276" s="51" t="n">
        <f aca="false">1+IF($G$10=$E$10,$F$10,IF(T276&lt;($F$10-$E$10)/($G$10-$E$10),$E$10+SQRT(T276*($G$10-$E$10)*($F$10-$E$10)),$G$10-SQRT((1-T276)*($G$10-$E$10)*($G$10-$F$10))))</f>
        <v>0.982750680793413</v>
      </c>
      <c r="G276" s="52" t="n">
        <f aca="false">IF($G$11=$E$11,$F$11,IF(U276&lt;($F$11-$E$11)/($G$11-$E$11),$E$11+SQRT(U276*($G$11-$E$11)*($F$11-$E$11)),$G$11-SQRT((1-U276)*($G$11-$E$11)*($G$11-$F$11))))</f>
        <v>0.11402793620994</v>
      </c>
      <c r="H276" s="53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-1965501361.58683</v>
      </c>
      <c r="I276" s="53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35932663.1788867</v>
      </c>
      <c r="J276" s="53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355555853.287482</v>
      </c>
      <c r="K276" s="53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724316577.435747</v>
      </c>
      <c r="L276" s="53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865894557.943926</v>
      </c>
      <c r="M276" s="53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1058597602.20648</v>
      </c>
      <c r="N276" s="53" t="n">
        <f aca="false">IF(COUNT('Business Case'!B11:G11)=0,"",H276+NPV(G276,I276:M276))</f>
        <v>56275141.4099791</v>
      </c>
      <c r="P276" s="54" t="n">
        <f aca="true">RAND()</f>
        <v>0.772130514517707</v>
      </c>
      <c r="Q276" s="54" t="n">
        <f aca="true">RAND()</f>
        <v>0.688930251164305</v>
      </c>
      <c r="R276" s="54" t="n">
        <f aca="true">RAND()</f>
        <v>0.242643686569363</v>
      </c>
      <c r="S276" s="54" t="n">
        <f aca="true">RAND()</f>
        <v>0.0471102317741665</v>
      </c>
      <c r="T276" s="54" t="n">
        <f aca="true">RAND()</f>
        <v>0.0715071394954687</v>
      </c>
      <c r="U276" s="54" t="n">
        <f aca="true">RAND()</f>
        <v>0.829928785524176</v>
      </c>
    </row>
    <row r="277" customFormat="false" ht="15" hidden="false" customHeight="false" outlineLevel="0" collapsed="false">
      <c r="A277" s="50" t="n">
        <v>197</v>
      </c>
      <c r="B277" s="51" t="n">
        <f aca="false">1+IF($G$6=$E$6,$F$6,IF(P277&lt;($F$6-$E$6)/($G$6-$E$6),$E$6+SQRT(P277*($G$6-$E$6)*($F$6-$E$6)),$G$6-SQRT((1-P277)*($G$6-$E$6)*($G$6-$F$6))))</f>
        <v>0.965725962789408</v>
      </c>
      <c r="C277" s="51" t="n">
        <f aca="false">1+IF($G$7=$E$7,$F$7,IF(Q277&lt;($F$7-$E$7)/($G$7-$E$7),$E$7+SQRT(Q277*($G$7-$E$7)*($F$7-$E$7)),$G$7-SQRT((1-Q277)*($G$7-$E$7)*($G$7-$F$7))))</f>
        <v>0.927656951419824</v>
      </c>
      <c r="D277" s="51" t="n">
        <f aca="false">1+IF($G$8=$E$8,$F$8,IF(R277&lt;($F$8-$E$8)/($G$8-$E$8),$E$8+SQRT(R277*($G$8-$E$8)*($F$8-$E$8)),$G$8-SQRT((1-R277)*($G$8-$E$8)*($G$8-$F$8))))</f>
        <v>1.00702812266715</v>
      </c>
      <c r="E277" s="51" t="n">
        <f aca="false">1+IF($G$9=$E$9,$F$9,IF(S277&lt;($F$9-$E$9)/($G$9-$E$9),$E$9+SQRT(S277*($G$9-$E$9)*($F$9-$E$9)),$G$9-SQRT((1-S277)*($G$9-$E$9)*($G$9-$F$9))))</f>
        <v>1.09000682692125</v>
      </c>
      <c r="F277" s="51" t="n">
        <f aca="false">1+IF($G$10=$E$10,$F$10,IF(T277&lt;($F$10-$E$10)/($G$10-$E$10),$E$10+SQRT(T277*($G$10-$E$10)*($F$10-$E$10)),$G$10-SQRT((1-T277)*($G$10-$E$10)*($G$10-$F$10))))</f>
        <v>1.05514991645469</v>
      </c>
      <c r="G277" s="52" t="n">
        <f aca="false">IF($G$11=$E$11,$F$11,IF(U277&lt;($F$11-$E$11)/($G$11-$E$11),$E$11+SQRT(U277*($G$11-$E$11)*($F$11-$E$11)),$G$11-SQRT((1-U277)*($G$11-$E$11)*($G$11-$F$11))))</f>
        <v>0.0905297658073362</v>
      </c>
      <c r="H277" s="53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-2110299832.90938</v>
      </c>
      <c r="I277" s="53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-51403364.2636778</v>
      </c>
      <c r="J277" s="53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204148740.854414</v>
      </c>
      <c r="K277" s="53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512458341.79524</v>
      </c>
      <c r="L277" s="53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628603381.466669</v>
      </c>
      <c r="M277" s="53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798888906.94303</v>
      </c>
      <c r="N277" s="53" t="n">
        <f aca="false">IF(COUNT('Business Case'!B11:G11)=0,"",H277+NPV(G277,I277:M277))</f>
        <v>-628222683.667297</v>
      </c>
      <c r="P277" s="54" t="n">
        <f aca="true">RAND()</f>
        <v>0.287993478972974</v>
      </c>
      <c r="Q277" s="54" t="n">
        <f aca="true">RAND()</f>
        <v>0.383908796516802</v>
      </c>
      <c r="R277" s="54" t="n">
        <f aca="true">RAND()</f>
        <v>0.423748668346999</v>
      </c>
      <c r="S277" s="54" t="n">
        <f aca="true">RAND()</f>
        <v>0.904021844905148</v>
      </c>
      <c r="T277" s="54" t="n">
        <f aca="true">RAND()</f>
        <v>0.493779265898481</v>
      </c>
      <c r="U277" s="54" t="n">
        <f aca="true">RAND()</f>
        <v>0.110875967957347</v>
      </c>
    </row>
    <row r="278" customFormat="false" ht="15" hidden="false" customHeight="false" outlineLevel="0" collapsed="false">
      <c r="A278" s="50" t="n">
        <v>198</v>
      </c>
      <c r="B278" s="51" t="n">
        <f aca="false">1+IF($G$6=$E$6,$F$6,IF(P278&lt;($F$6-$E$6)/($G$6-$E$6),$E$6+SQRT(P278*($G$6-$E$6)*($F$6-$E$6)),$G$6-SQRT((1-P278)*($G$6-$E$6)*($G$6-$F$6))))</f>
        <v>0.961179823661991</v>
      </c>
      <c r="C278" s="51" t="n">
        <f aca="false">1+IF($G$7=$E$7,$F$7,IF(Q278&lt;($F$7-$E$7)/($G$7-$E$7),$E$7+SQRT(Q278*($G$7-$E$7)*($F$7-$E$7)),$G$7-SQRT((1-Q278)*($G$7-$E$7)*($G$7-$F$7))))</f>
        <v>1.0120703709206</v>
      </c>
      <c r="D278" s="51" t="n">
        <f aca="false">1+IF($G$8=$E$8,$F$8,IF(R278&lt;($F$8-$E$8)/($G$8-$E$8),$E$8+SQRT(R278*($G$8-$E$8)*($F$8-$E$8)),$G$8-SQRT((1-R278)*($G$8-$E$8)*($G$8-$F$8))))</f>
        <v>1.02689739520528</v>
      </c>
      <c r="E278" s="51" t="n">
        <f aca="false">1+IF($G$9=$E$9,$F$9,IF(S278&lt;($F$9-$E$9)/($G$9-$E$9),$E$9+SQRT(S278*($G$9-$E$9)*($F$9-$E$9)),$G$9-SQRT((1-S278)*($G$9-$E$9)*($G$9-$F$9))))</f>
        <v>0.968879215036327</v>
      </c>
      <c r="F278" s="51" t="n">
        <f aca="false">1+IF($G$10=$E$10,$F$10,IF(T278&lt;($F$10-$E$10)/($G$10-$E$10),$E$10+SQRT(T278*($G$10-$E$10)*($F$10-$E$10)),$G$10-SQRT((1-T278)*($G$10-$E$10)*($G$10-$F$10))))</f>
        <v>1.03869880843269</v>
      </c>
      <c r="G278" s="52" t="n">
        <f aca="false">IF($G$11=$E$11,$F$11,IF(U278&lt;($F$11-$E$11)/($G$11-$E$11),$E$11+SQRT(U278*($G$11-$E$11)*($F$11-$E$11)),$G$11-SQRT((1-U278)*($G$11-$E$11)*($G$11-$F$11))))</f>
        <v>0.108395334767089</v>
      </c>
      <c r="H278" s="53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-2077397616.86538</v>
      </c>
      <c r="I278" s="53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-27329896.4122088</v>
      </c>
      <c r="J278" s="53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237413711.611772</v>
      </c>
      <c r="K278" s="53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554092260.057386</v>
      </c>
      <c r="L278" s="53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675959462.208549</v>
      </c>
      <c r="M278" s="53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860865792.662649</v>
      </c>
      <c r="N278" s="53" t="n">
        <f aca="false">IF(COUNT('Business Case'!B11:G11)=0,"",H278+NPV(G278,I278:M278))</f>
        <v>-539446094.743506</v>
      </c>
      <c r="P278" s="54" t="n">
        <f aca="true">RAND()</f>
        <v>0.249531388220822</v>
      </c>
      <c r="Q278" s="54" t="n">
        <f aca="true">RAND()</f>
        <v>0.718154332178059</v>
      </c>
      <c r="R278" s="54" t="n">
        <f aca="true">RAND()</f>
        <v>0.643733944815105</v>
      </c>
      <c r="S278" s="54" t="n">
        <f aca="true">RAND()</f>
        <v>0.18977385056082</v>
      </c>
      <c r="T278" s="54" t="n">
        <f aca="true">RAND()</f>
        <v>0.404690752563127</v>
      </c>
      <c r="U278" s="54" t="n">
        <f aca="true">RAND()</f>
        <v>0.688825626782575</v>
      </c>
    </row>
    <row r="279" customFormat="false" ht="15" hidden="false" customHeight="false" outlineLevel="0" collapsed="false">
      <c r="A279" s="50" t="n">
        <v>199</v>
      </c>
      <c r="B279" s="51" t="n">
        <f aca="false">1+IF($G$6=$E$6,$F$6,IF(P279&lt;($F$6-$E$6)/($G$6-$E$6),$E$6+SQRT(P279*($G$6-$E$6)*($F$6-$E$6)),$G$6-SQRT((1-P279)*($G$6-$E$6)*($G$6-$F$6))))</f>
        <v>0.924820944895943</v>
      </c>
      <c r="C279" s="51" t="n">
        <f aca="false">1+IF($G$7=$E$7,$F$7,IF(Q279&lt;($F$7-$E$7)/($G$7-$E$7),$E$7+SQRT(Q279*($G$7-$E$7)*($F$7-$E$7)),$G$7-SQRT((1-Q279)*($G$7-$E$7)*($G$7-$F$7))))</f>
        <v>0.953828992330664</v>
      </c>
      <c r="D279" s="51" t="n">
        <f aca="false">1+IF($G$8=$E$8,$F$8,IF(R279&lt;($F$8-$E$8)/($G$8-$E$8),$E$8+SQRT(R279*($G$8-$E$8)*($F$8-$E$8)),$G$8-SQRT((1-R279)*($G$8-$E$8)*($G$8-$F$8))))</f>
        <v>0.979016804597866</v>
      </c>
      <c r="E279" s="51" t="n">
        <f aca="false">1+IF($G$9=$E$9,$F$9,IF(S279&lt;($F$9-$E$9)/($G$9-$E$9),$E$9+SQRT(S279*($G$9-$E$9)*($F$9-$E$9)),$G$9-SQRT((1-S279)*($G$9-$E$9)*($G$9-$F$9))))</f>
        <v>0.98981992205204</v>
      </c>
      <c r="F279" s="51" t="n">
        <f aca="false">1+IF($G$10=$E$10,$F$10,IF(T279&lt;($F$10-$E$10)/($G$10-$E$10),$E$10+SQRT(T279*($G$10-$E$10)*($F$10-$E$10)),$G$10-SQRT((1-T279)*($G$10-$E$10)*($G$10-$F$10))))</f>
        <v>0.996632290442869</v>
      </c>
      <c r="G279" s="52" t="n">
        <f aca="false">IF($G$11=$E$11,$F$11,IF(U279&lt;($F$11-$E$11)/($G$11-$E$11),$E$11+SQRT(U279*($G$11-$E$11)*($F$11-$E$11)),$G$11-SQRT((1-U279)*($G$11-$E$11)*($G$11-$F$11))))</f>
        <v>0.103660508862118</v>
      </c>
      <c r="H279" s="53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-1993264580.88574</v>
      </c>
      <c r="I279" s="53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-41662516.1842464</v>
      </c>
      <c r="J279" s="53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202819743.784533</v>
      </c>
      <c r="K279" s="53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497133618.275457</v>
      </c>
      <c r="L279" s="53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609113807.727009</v>
      </c>
      <c r="M279" s="53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776787373.10112</v>
      </c>
      <c r="N279" s="53" t="n">
        <f aca="false">IF(COUNT('Business Case'!B11:G11)=0,"",H279+NPV(G279,I279:M279))</f>
        <v>-609785621.730162</v>
      </c>
      <c r="P279" s="54" t="n">
        <f aca="true">RAND()</f>
        <v>0.0410719537018303</v>
      </c>
      <c r="Q279" s="54" t="n">
        <f aca="true">RAND()</f>
        <v>0.477253017389632</v>
      </c>
      <c r="R279" s="54" t="n">
        <f aca="true">RAND()</f>
        <v>0.112263326542765</v>
      </c>
      <c r="S279" s="54" t="n">
        <f aca="true">RAND()</f>
        <v>0.322704735897378</v>
      </c>
      <c r="T279" s="54" t="n">
        <f aca="true">RAND()</f>
        <v>0.144971367463207</v>
      </c>
      <c r="U279" s="54" t="n">
        <f aca="true">RAND()</f>
        <v>0.537487471064969</v>
      </c>
    </row>
    <row r="280" customFormat="false" ht="15" hidden="false" customHeight="false" outlineLevel="0" collapsed="false">
      <c r="A280" s="50" t="n">
        <v>200</v>
      </c>
      <c r="B280" s="51" t="n">
        <f aca="false">1+IF($G$6=$E$6,$F$6,IF(P280&lt;($F$6-$E$6)/($G$6-$E$6),$E$6+SQRT(P280*($G$6-$E$6)*($F$6-$E$6)),$G$6-SQRT((1-P280)*($G$6-$E$6)*($G$6-$F$6))))</f>
        <v>1.0295054773942</v>
      </c>
      <c r="C280" s="51" t="n">
        <f aca="false">1+IF($G$7=$E$7,$F$7,IF(Q280&lt;($F$7-$E$7)/($G$7-$E$7),$E$7+SQRT(Q280*($G$7-$E$7)*($F$7-$E$7)),$G$7-SQRT((1-Q280)*($G$7-$E$7)*($G$7-$F$7))))</f>
        <v>0.858645958562352</v>
      </c>
      <c r="D280" s="51" t="n">
        <f aca="false">1+IF($G$8=$E$8,$F$8,IF(R280&lt;($F$8-$E$8)/($G$8-$E$8),$E$8+SQRT(R280*($G$8-$E$8)*($F$8-$E$8)),$G$8-SQRT((1-R280)*($G$8-$E$8)*($G$8-$F$8))))</f>
        <v>0.995654789972168</v>
      </c>
      <c r="E280" s="51" t="n">
        <f aca="false">1+IF($G$9=$E$9,$F$9,IF(S280&lt;($F$9-$E$9)/($G$9-$E$9),$E$9+SQRT(S280*($G$9-$E$9)*($F$9-$E$9)),$G$9-SQRT((1-S280)*($G$9-$E$9)*($G$9-$F$9))))</f>
        <v>1.11625152169243</v>
      </c>
      <c r="F280" s="51" t="n">
        <f aca="false">1+IF($G$10=$E$10,$F$10,IF(T280&lt;($F$10-$E$10)/($G$10-$E$10),$E$10+SQRT(T280*($G$10-$E$10)*($F$10-$E$10)),$G$10-SQRT((1-T280)*($G$10-$E$10)*($G$10-$F$10))))</f>
        <v>1.21478681741592</v>
      </c>
      <c r="G280" s="52" t="n">
        <f aca="false">IF($G$11=$E$11,$F$11,IF(U280&lt;($F$11-$E$11)/($G$11-$E$11),$E$11+SQRT(U280*($G$11-$E$11)*($F$11-$E$11)),$G$11-SQRT((1-U280)*($G$11-$E$11)*($G$11-$F$11))))</f>
        <v>0.11647814284415</v>
      </c>
      <c r="H280" s="53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-2429573634.83185</v>
      </c>
      <c r="I280" s="53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-39639421.3987452</v>
      </c>
      <c r="J280" s="53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246756365.723049</v>
      </c>
      <c r="K280" s="53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593891493.71564</v>
      </c>
      <c r="L280" s="53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719907129.685761</v>
      </c>
      <c r="M280" s="53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887934184.464803</v>
      </c>
      <c r="N280" s="53" t="n">
        <f aca="false">IF(COUNT('Business Case'!B11:G11)=0,"",H280+NPV(G280,I280:M280))</f>
        <v>-865239996.149566</v>
      </c>
      <c r="P280" s="54" t="n">
        <f aca="true">RAND()</f>
        <v>0.943996605754713</v>
      </c>
      <c r="Q280" s="54" t="n">
        <f aca="true">RAND()</f>
        <v>0.186433630875315</v>
      </c>
      <c r="R280" s="54" t="n">
        <f aca="true">RAND()</f>
        <v>0.277914646320371</v>
      </c>
      <c r="S280" s="54" t="n">
        <f aca="true">RAND()</f>
        <v>0.969627738984619</v>
      </c>
      <c r="T280" s="54" t="n">
        <f aca="true">RAND()</f>
        <v>0.98346709029734</v>
      </c>
      <c r="U280" s="54" t="n">
        <f aca="true">RAND()</f>
        <v>0.878106252704522</v>
      </c>
    </row>
    <row r="281" customFormat="false" ht="15" hidden="false" customHeight="false" outlineLevel="0" collapsed="false">
      <c r="A281" s="50" t="n">
        <v>201</v>
      </c>
      <c r="B281" s="51" t="n">
        <f aca="false">1+IF($G$6=$E$6,$F$6,IF(P281&lt;($F$6-$E$6)/($G$6-$E$6),$E$6+SQRT(P281*($G$6-$E$6)*($F$6-$E$6)),$G$6-SQRT((1-P281)*($G$6-$E$6)*($G$6-$F$6))))</f>
        <v>0.990000350337726</v>
      </c>
      <c r="C281" s="51" t="n">
        <f aca="false">1+IF($G$7=$E$7,$F$7,IF(Q281&lt;($F$7-$E$7)/($G$7-$E$7),$E$7+SQRT(Q281*($G$7-$E$7)*($F$7-$E$7)),$G$7-SQRT((1-Q281)*($G$7-$E$7)*($G$7-$F$7))))</f>
        <v>0.905880348526443</v>
      </c>
      <c r="D281" s="51" t="n">
        <f aca="false">1+IF($G$8=$E$8,$F$8,IF(R281&lt;($F$8-$E$8)/($G$8-$E$8),$E$8+SQRT(R281*($G$8-$E$8)*($F$8-$E$8)),$G$8-SQRT((1-R281)*($G$8-$E$8)*($G$8-$F$8))))</f>
        <v>1.00236254509686</v>
      </c>
      <c r="E281" s="51" t="n">
        <f aca="false">1+IF($G$9=$E$9,$F$9,IF(S281&lt;($F$9-$E$9)/($G$9-$E$9),$E$9+SQRT(S281*($G$9-$E$9)*($F$9-$E$9)),$G$9-SQRT((1-S281)*($G$9-$E$9)*($G$9-$F$9))))</f>
        <v>0.969370713068288</v>
      </c>
      <c r="F281" s="51" t="n">
        <f aca="false">1+IF($G$10=$E$10,$F$10,IF(T281&lt;($F$10-$E$10)/($G$10-$E$10),$E$10+SQRT(T281*($G$10-$E$10)*($F$10-$E$10)),$G$10-SQRT((1-T281)*($G$10-$E$10)*($G$10-$F$10))))</f>
        <v>0.980778755159463</v>
      </c>
      <c r="G281" s="52" t="n">
        <f aca="false">IF($G$11=$E$11,$F$11,IF(U281&lt;($F$11-$E$11)/($G$11-$E$11),$E$11+SQRT(U281*($G$11-$E$11)*($F$11-$E$11)),$G$11-SQRT((1-U281)*($G$11-$E$11)*($G$11-$F$11))))</f>
        <v>0.0981921794689012</v>
      </c>
      <c r="H281" s="53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-1961557510.31893</v>
      </c>
      <c r="I281" s="53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-12685830.3663491</v>
      </c>
      <c r="J281" s="53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257041975.528646</v>
      </c>
      <c r="K281" s="53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575808719.181615</v>
      </c>
      <c r="L281" s="53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696712151.378004</v>
      </c>
      <c r="M281" s="53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867180050.983992</v>
      </c>
      <c r="N281" s="53" t="n">
        <f aca="false">IF(COUNT('Business Case'!B11:G11)=0,"",H281+NPV(G281,I281:M281))</f>
        <v>-303322021.301733</v>
      </c>
      <c r="P281" s="54" t="n">
        <f aca="true">RAND()</f>
        <v>0.540004204060888</v>
      </c>
      <c r="Q281" s="54" t="n">
        <f aca="true">RAND()</f>
        <v>0.313975688217552</v>
      </c>
      <c r="R281" s="54" t="n">
        <f aca="true">RAND()</f>
        <v>0.364461826669177</v>
      </c>
      <c r="S281" s="54" t="n">
        <f aca="true">RAND()</f>
        <v>0.192491833264107</v>
      </c>
      <c r="T281" s="54" t="n">
        <f aca="true">RAND()</f>
        <v>0.063155451277743</v>
      </c>
      <c r="U281" s="54" t="n">
        <f aca="true">RAND()</f>
        <v>0.330955393828712</v>
      </c>
    </row>
    <row r="282" customFormat="false" ht="15" hidden="false" customHeight="false" outlineLevel="0" collapsed="false">
      <c r="A282" s="50" t="n">
        <v>202</v>
      </c>
      <c r="B282" s="51" t="n">
        <f aca="false">1+IF($G$6=$E$6,$F$6,IF(P282&lt;($F$6-$E$6)/($G$6-$E$6),$E$6+SQRT(P282*($G$6-$E$6)*($F$6-$E$6)),$G$6-SQRT((1-P282)*($G$6-$E$6)*($G$6-$F$6))))</f>
        <v>0.97458482694092</v>
      </c>
      <c r="C282" s="51" t="n">
        <f aca="false">1+IF($G$7=$E$7,$F$7,IF(Q282&lt;($F$7-$E$7)/($G$7-$E$7),$E$7+SQRT(Q282*($G$7-$E$7)*($F$7-$E$7)),$G$7-SQRT((1-Q282)*($G$7-$E$7)*($G$7-$F$7))))</f>
        <v>0.982274165884361</v>
      </c>
      <c r="D282" s="51" t="n">
        <f aca="false">1+IF($G$8=$E$8,$F$8,IF(R282&lt;($F$8-$E$8)/($G$8-$E$8),$E$8+SQRT(R282*($G$8-$E$8)*($F$8-$E$8)),$G$8-SQRT((1-R282)*($G$8-$E$8)*($G$8-$F$8))))</f>
        <v>1.02528275228981</v>
      </c>
      <c r="E282" s="51" t="n">
        <f aca="false">1+IF($G$9=$E$9,$F$9,IF(S282&lt;($F$9-$E$9)/($G$9-$E$9),$E$9+SQRT(S282*($G$9-$E$9)*($F$9-$E$9)),$G$9-SQRT((1-S282)*($G$9-$E$9)*($G$9-$F$9))))</f>
        <v>1.04059962958026</v>
      </c>
      <c r="F282" s="51" t="n">
        <f aca="false">1+IF($G$10=$E$10,$F$10,IF(T282&lt;($F$10-$E$10)/($G$10-$E$10),$E$10+SQRT(T282*($G$10-$E$10)*($F$10-$E$10)),$G$10-SQRT((1-T282)*($G$10-$E$10)*($G$10-$F$10))))</f>
        <v>1.07080178575964</v>
      </c>
      <c r="G282" s="52" t="n">
        <f aca="false">IF($G$11=$E$11,$F$11,IF(U282&lt;($F$11-$E$11)/($G$11-$E$11),$E$11+SQRT(U282*($G$11-$E$11)*($F$11-$E$11)),$G$11-SQRT((1-U282)*($G$11-$E$11)*($G$11-$F$11))))</f>
        <v>0.108819924224943</v>
      </c>
      <c r="H282" s="53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-2141603571.51928</v>
      </c>
      <c r="I282" s="53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-36134081.7314351</v>
      </c>
      <c r="J282" s="53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232412206.814013</v>
      </c>
      <c r="K282" s="53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554498584.647443</v>
      </c>
      <c r="L282" s="53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677098630.41233</v>
      </c>
      <c r="M282" s="53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859064019.785888</v>
      </c>
      <c r="N282" s="53" t="n">
        <f aca="false">IF(COUNT('Business Case'!B11:G11)=0,"",H282+NPV(G282,I282:M282))</f>
        <v>-617959334.410097</v>
      </c>
      <c r="P282" s="54" t="n">
        <f aca="true">RAND()</f>
        <v>0.3708597606538</v>
      </c>
      <c r="Q282" s="54" t="n">
        <f aca="true">RAND()</f>
        <v>0.590212627597866</v>
      </c>
      <c r="R282" s="54" t="n">
        <f aca="true">RAND()</f>
        <v>0.62782219297424</v>
      </c>
      <c r="S282" s="54" t="n">
        <f aca="true">RAND()</f>
        <v>0.680841572053947</v>
      </c>
      <c r="T282" s="54" t="n">
        <f aca="true">RAND()</f>
        <v>0.571840000174215</v>
      </c>
      <c r="U282" s="54" t="n">
        <f aca="true">RAND()</f>
        <v>0.700936260108567</v>
      </c>
    </row>
    <row r="283" customFormat="false" ht="15" hidden="false" customHeight="false" outlineLevel="0" collapsed="false">
      <c r="A283" s="50" t="n">
        <v>203</v>
      </c>
      <c r="B283" s="51" t="n">
        <f aca="false">1+IF($G$6=$E$6,$F$6,IF(P283&lt;($F$6-$E$6)/($G$6-$E$6),$E$6+SQRT(P283*($G$6-$E$6)*($F$6-$E$6)),$G$6-SQRT((1-P283)*($G$6-$E$6)*($G$6-$F$6))))</f>
        <v>0.948667145347793</v>
      </c>
      <c r="C283" s="51" t="n">
        <f aca="false">1+IF($G$7=$E$7,$F$7,IF(Q283&lt;($F$7-$E$7)/($G$7-$E$7),$E$7+SQRT(Q283*($G$7-$E$7)*($F$7-$E$7)),$G$7-SQRT((1-Q283)*($G$7-$E$7)*($G$7-$F$7))))</f>
        <v>0.883995197190797</v>
      </c>
      <c r="D283" s="51" t="n">
        <f aca="false">1+IF($G$8=$E$8,$F$8,IF(R283&lt;($F$8-$E$8)/($G$8-$E$8),$E$8+SQRT(R283*($G$8-$E$8)*($F$8-$E$8)),$G$8-SQRT((1-R283)*($G$8-$E$8)*($G$8-$F$8))))</f>
        <v>0.956622572578154</v>
      </c>
      <c r="E283" s="51" t="n">
        <f aca="false">1+IF($G$9=$E$9,$F$9,IF(S283&lt;($F$9-$E$9)/($G$9-$E$9),$E$9+SQRT(S283*($G$9-$E$9)*($F$9-$E$9)),$G$9-SQRT((1-S283)*($G$9-$E$9)*($G$9-$F$9))))</f>
        <v>1.11207409926574</v>
      </c>
      <c r="F283" s="51" t="n">
        <f aca="false">1+IF($G$10=$E$10,$F$10,IF(T283&lt;($F$10-$E$10)/($G$10-$E$10),$E$10+SQRT(T283*($G$10-$E$10)*($F$10-$E$10)),$G$10-SQRT((1-T283)*($G$10-$E$10)*($G$10-$F$10))))</f>
        <v>1.21354740368324</v>
      </c>
      <c r="G283" s="52" t="n">
        <f aca="false">IF($G$11=$E$11,$F$11,IF(U283&lt;($F$11-$E$11)/($G$11-$E$11),$E$11+SQRT(U283*($G$11-$E$11)*($F$11-$E$11)),$G$11-SQRT((1-U283)*($G$11-$E$11)*($G$11-$F$11))))</f>
        <v>0.101360274729044</v>
      </c>
      <c r="H283" s="53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-2427094807.36648</v>
      </c>
      <c r="I283" s="53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-68982750.5017266</v>
      </c>
      <c r="J283" s="53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185000091.939872</v>
      </c>
      <c r="K283" s="53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499660304.565634</v>
      </c>
      <c r="L283" s="53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613303862.485775</v>
      </c>
      <c r="M283" s="53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772708219.903622</v>
      </c>
      <c r="N283" s="53" t="n">
        <f aca="false">IF(COUNT('Business Case'!B11:G11)=0,"",H283+NPV(G283,I283:M283))</f>
        <v>-1069536266.15255</v>
      </c>
      <c r="P283" s="54" t="n">
        <f aca="true">RAND()</f>
        <v>0.157899402420217</v>
      </c>
      <c r="Q283" s="54" t="n">
        <f aca="true">RAND()</f>
        <v>0.250772093253929</v>
      </c>
      <c r="R283" s="54" t="n">
        <f aca="true">RAND()</f>
        <v>0.00584779567372214</v>
      </c>
      <c r="S283" s="54" t="n">
        <f aca="true">RAND()</f>
        <v>0.961643361426542</v>
      </c>
      <c r="T283" s="54" t="n">
        <f aca="true">RAND()</f>
        <v>0.982282776290232</v>
      </c>
      <c r="U283" s="54" t="n">
        <f aca="true">RAND()</f>
        <v>0.453177424269439</v>
      </c>
    </row>
    <row r="284" customFormat="false" ht="15" hidden="false" customHeight="false" outlineLevel="0" collapsed="false">
      <c r="A284" s="50" t="n">
        <v>204</v>
      </c>
      <c r="B284" s="51" t="n">
        <f aca="false">1+IF($G$6=$E$6,$F$6,IF(P284&lt;($F$6-$E$6)/($G$6-$E$6),$E$6+SQRT(P284*($G$6-$E$6)*($F$6-$E$6)),$G$6-SQRT((1-P284)*($G$6-$E$6)*($G$6-$F$6))))</f>
        <v>1.0149861605111</v>
      </c>
      <c r="C284" s="51" t="n">
        <f aca="false">1+IF($G$7=$E$7,$F$7,IF(Q284&lt;($F$7-$E$7)/($G$7-$E$7),$E$7+SQRT(Q284*($G$7-$E$7)*($F$7-$E$7)),$G$7-SQRT((1-Q284)*($G$7-$E$7)*($G$7-$F$7))))</f>
        <v>0.995711869023769</v>
      </c>
      <c r="D284" s="51" t="n">
        <f aca="false">1+IF($G$8=$E$8,$F$8,IF(R284&lt;($F$8-$E$8)/($G$8-$E$8),$E$8+SQRT(R284*($G$8-$E$8)*($F$8-$E$8)),$G$8-SQRT((1-R284)*($G$8-$E$8)*($G$8-$F$8))))</f>
        <v>1.00709450436243</v>
      </c>
      <c r="E284" s="51" t="n">
        <f aca="false">1+IF($G$9=$E$9,$F$9,IF(S284&lt;($F$9-$E$9)/($G$9-$E$9),$E$9+SQRT(S284*($G$9-$E$9)*($F$9-$E$9)),$G$9-SQRT((1-S284)*($G$9-$E$9)*($G$9-$F$9))))</f>
        <v>0.95535729029881</v>
      </c>
      <c r="F284" s="51" t="n">
        <f aca="false">1+IF($G$10=$E$10,$F$10,IF(T284&lt;($F$10-$E$10)/($G$10-$E$10),$E$10+SQRT(T284*($G$10-$E$10)*($F$10-$E$10)),$G$10-SQRT((1-T284)*($G$10-$E$10)*($G$10-$F$10))))</f>
        <v>1.01166127912034</v>
      </c>
      <c r="G284" s="52" t="n">
        <f aca="false">IF($G$11=$E$11,$F$11,IF(U284&lt;($F$11-$E$11)/($G$11-$E$11),$E$11+SQRT(U284*($G$11-$E$11)*($F$11-$E$11)),$G$11-SQRT((1-U284)*($G$11-$E$11)*($G$11-$F$11))))</f>
        <v>0.102631204046658</v>
      </c>
      <c r="H284" s="53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-2023322558.24067</v>
      </c>
      <c r="I284" s="53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25031566.7160863</v>
      </c>
      <c r="J284" s="53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339472322.501611</v>
      </c>
      <c r="K284" s="53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704496142.243152</v>
      </c>
      <c r="L284" s="53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844237230.489602</v>
      </c>
      <c r="M284" s="53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1036338496.90495</v>
      </c>
      <c r="N284" s="53" t="n">
        <f aca="false">IF(COUNT('Business Case'!B11:G11)=0,"",H284+NPV(G284,I284:M284))</f>
        <v>11100159.9928403</v>
      </c>
      <c r="P284" s="54" t="n">
        <f aca="true">RAND()</f>
        <v>0.836537472566096</v>
      </c>
      <c r="Q284" s="54" t="n">
        <f aca="true">RAND()</f>
        <v>0.647744514678007</v>
      </c>
      <c r="R284" s="54" t="n">
        <f aca="true">RAND()</f>
        <v>0.424571258689119</v>
      </c>
      <c r="S284" s="54" t="n">
        <f aca="true">RAND()</f>
        <v>0.122577183569069</v>
      </c>
      <c r="T284" s="54" t="n">
        <f aca="true">RAND()</f>
        <v>0.242595388392614</v>
      </c>
      <c r="U284" s="54" t="n">
        <f aca="true">RAND()</f>
        <v>0.500632672042888</v>
      </c>
    </row>
    <row r="285" customFormat="false" ht="15" hidden="false" customHeight="false" outlineLevel="0" collapsed="false">
      <c r="A285" s="50" t="n">
        <v>205</v>
      </c>
      <c r="B285" s="51" t="n">
        <f aca="false">1+IF($G$6=$E$6,$F$6,IF(P285&lt;($F$6-$E$6)/($G$6-$E$6),$E$6+SQRT(P285*($G$6-$E$6)*($F$6-$E$6)),$G$6-SQRT((1-P285)*($G$6-$E$6)*($G$6-$F$6))))</f>
        <v>0.975460570485769</v>
      </c>
      <c r="C285" s="51" t="n">
        <f aca="false">1+IF($G$7=$E$7,$F$7,IF(Q285&lt;($F$7-$E$7)/($G$7-$E$7),$E$7+SQRT(Q285*($G$7-$E$7)*($F$7-$E$7)),$G$7-SQRT((1-Q285)*($G$7-$E$7)*($G$7-$F$7))))</f>
        <v>0.819256796629893</v>
      </c>
      <c r="D285" s="51" t="n">
        <f aca="false">1+IF($G$8=$E$8,$F$8,IF(R285&lt;($F$8-$E$8)/($G$8-$E$8),$E$8+SQRT(R285*($G$8-$E$8)*($F$8-$E$8)),$G$8-SQRT((1-R285)*($G$8-$E$8)*($G$8-$F$8))))</f>
        <v>0.990392873648879</v>
      </c>
      <c r="E285" s="51" t="n">
        <f aca="false">1+IF($G$9=$E$9,$F$9,IF(S285&lt;($F$9-$E$9)/($G$9-$E$9),$E$9+SQRT(S285*($G$9-$E$9)*($F$9-$E$9)),$G$9-SQRT((1-S285)*($G$9-$E$9)*($G$9-$F$9))))</f>
        <v>0.970303950059414</v>
      </c>
      <c r="F285" s="51" t="n">
        <f aca="false">1+IF($G$10=$E$10,$F$10,IF(T285&lt;($F$10-$E$10)/($G$10-$E$10),$E$10+SQRT(T285*($G$10-$E$10)*($F$10-$E$10)),$G$10-SQRT((1-T285)*($G$10-$E$10)*($G$10-$F$10))))</f>
        <v>1.03357880399346</v>
      </c>
      <c r="G285" s="52" t="n">
        <f aca="false">IF($G$11=$E$11,$F$11,IF(U285&lt;($F$11-$E$11)/($G$11-$E$11),$E$11+SQRT(U285*($G$11-$E$11)*($F$11-$E$11)),$G$11-SQRT((1-U285)*($G$11-$E$11)*($G$11-$F$11))))</f>
        <v>0.115782240965979</v>
      </c>
      <c r="H285" s="53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-2067157607.98693</v>
      </c>
      <c r="I285" s="53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-43564344.8367524</v>
      </c>
      <c r="J285" s="53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195634488.507113</v>
      </c>
      <c r="K285" s="53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486512262.050651</v>
      </c>
      <c r="L285" s="53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593863923.887154</v>
      </c>
      <c r="M285" s="53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745766869.52417</v>
      </c>
      <c r="N285" s="53" t="n">
        <f aca="false">IF(COUNT('Business Case'!B11:G11)=0,"",H285+NPV(G285,I285:M285))</f>
        <v>-784452541.128762</v>
      </c>
      <c r="P285" s="54" t="n">
        <f aca="true">RAND()</f>
        <v>0.37961984653585</v>
      </c>
      <c r="Q285" s="54" t="n">
        <f aca="true">RAND()</f>
        <v>0.105349507721657</v>
      </c>
      <c r="R285" s="54" t="n">
        <f aca="true">RAND()</f>
        <v>0.217544565548576</v>
      </c>
      <c r="S285" s="54" t="n">
        <f aca="true">RAND()</f>
        <v>0.197705815758261</v>
      </c>
      <c r="T285" s="54" t="n">
        <f aca="true">RAND()</f>
        <v>0.375491545588004</v>
      </c>
      <c r="U285" s="54" t="n">
        <f aca="true">RAND()</f>
        <v>0.865236885367008</v>
      </c>
    </row>
    <row r="286" customFormat="false" ht="15" hidden="false" customHeight="false" outlineLevel="0" collapsed="false">
      <c r="A286" s="50" t="n">
        <v>206</v>
      </c>
      <c r="B286" s="51" t="n">
        <f aca="false">1+IF($G$6=$E$6,$F$6,IF(P286&lt;($F$6-$E$6)/($G$6-$E$6),$E$6+SQRT(P286*($G$6-$E$6)*($F$6-$E$6)),$G$6-SQRT((1-P286)*($G$6-$E$6)*($G$6-$F$6))))</f>
        <v>0.963883136889937</v>
      </c>
      <c r="C286" s="51" t="n">
        <f aca="false">1+IF($G$7=$E$7,$F$7,IF(Q286&lt;($F$7-$E$7)/($G$7-$E$7),$E$7+SQRT(Q286*($G$7-$E$7)*($F$7-$E$7)),$G$7-SQRT((1-Q286)*($G$7-$E$7)*($G$7-$F$7))))</f>
        <v>1.01511379977716</v>
      </c>
      <c r="D286" s="51" t="n">
        <f aca="false">1+IF($G$8=$E$8,$F$8,IF(R286&lt;($F$8-$E$8)/($G$8-$E$8),$E$8+SQRT(R286*($G$8-$E$8)*($F$8-$E$8)),$G$8-SQRT((1-R286)*($G$8-$E$8)*($G$8-$F$8))))</f>
        <v>1.01831233036181</v>
      </c>
      <c r="E286" s="51" t="n">
        <f aca="false">1+IF($G$9=$E$9,$F$9,IF(S286&lt;($F$9-$E$9)/($G$9-$E$9),$E$9+SQRT(S286*($G$9-$E$9)*($F$9-$E$9)),$G$9-SQRT((1-S286)*($G$9-$E$9)*($G$9-$F$9))))</f>
        <v>1.08625484779042</v>
      </c>
      <c r="F286" s="51" t="n">
        <f aca="false">1+IF($G$10=$E$10,$F$10,IF(T286&lt;($F$10-$E$10)/($G$10-$E$10),$E$10+SQRT(T286*($G$10-$E$10)*($F$10-$E$10)),$G$10-SQRT((1-T286)*($G$10-$E$10)*($G$10-$F$10))))</f>
        <v>1.05823033898452</v>
      </c>
      <c r="G286" s="52" t="n">
        <f aca="false">IF($G$11=$E$11,$F$11,IF(U286&lt;($F$11-$E$11)/($G$11-$E$11),$E$11+SQRT(U286*($G$11-$E$11)*($F$11-$E$11)),$G$11-SQRT((1-U286)*($G$11-$E$11)*($G$11-$F$11))))</f>
        <v>0.110178930379791</v>
      </c>
      <c r="H286" s="53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-2116460677.96904</v>
      </c>
      <c r="I286" s="53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-38762687.2045979</v>
      </c>
      <c r="J286" s="53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233486002.502006</v>
      </c>
      <c r="K286" s="53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558646209.157836</v>
      </c>
      <c r="L286" s="53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683211041.498006</v>
      </c>
      <c r="M286" s="53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869195021.573496</v>
      </c>
      <c r="N286" s="53" t="n">
        <f aca="false">IF(COUNT('Business Case'!B11:G11)=0,"",H286+NPV(G286,I286:M286))</f>
        <v>-588483582.578183</v>
      </c>
      <c r="P286" s="54" t="n">
        <f aca="true">RAND()</f>
        <v>0.272070345259898</v>
      </c>
      <c r="Q286" s="54" t="n">
        <f aca="true">RAND()</f>
        <v>0.730455007251036</v>
      </c>
      <c r="R286" s="54" t="n">
        <f aca="true">RAND()</f>
        <v>0.555141641938819</v>
      </c>
      <c r="S286" s="54" t="n">
        <f aca="true">RAND()</f>
        <v>0.891641481860733</v>
      </c>
      <c r="T286" s="54" t="n">
        <f aca="true">RAND()</f>
        <v>0.509658628186775</v>
      </c>
      <c r="U286" s="54" t="n">
        <f aca="true">RAND()</f>
        <v>0.738083466073891</v>
      </c>
    </row>
    <row r="287" customFormat="false" ht="15" hidden="false" customHeight="false" outlineLevel="0" collapsed="false">
      <c r="A287" s="50" t="n">
        <v>207</v>
      </c>
      <c r="B287" s="51" t="n">
        <f aca="false">1+IF($G$6=$E$6,$F$6,IF(P287&lt;($F$6-$E$6)/($G$6-$E$6),$E$6+SQRT(P287*($G$6-$E$6)*($F$6-$E$6)),$G$6-SQRT((1-P287)*($G$6-$E$6)*($G$6-$F$6))))</f>
        <v>0.989941264865678</v>
      </c>
      <c r="C287" s="51" t="n">
        <f aca="false">1+IF($G$7=$E$7,$F$7,IF(Q287&lt;($F$7-$E$7)/($G$7-$E$7),$E$7+SQRT(Q287*($G$7-$E$7)*($F$7-$E$7)),$G$7-SQRT((1-Q287)*($G$7-$E$7)*($G$7-$F$7))))</f>
        <v>1.04723800034103</v>
      </c>
      <c r="D287" s="51" t="n">
        <f aca="false">1+IF($G$8=$E$8,$F$8,IF(R287&lt;($F$8-$E$8)/($G$8-$E$8),$E$8+SQRT(R287*($G$8-$E$8)*($F$8-$E$8)),$G$8-SQRT((1-R287)*($G$8-$E$8)*($G$8-$F$8))))</f>
        <v>1.00715431942843</v>
      </c>
      <c r="E287" s="51" t="n">
        <f aca="false">1+IF($G$9=$E$9,$F$9,IF(S287&lt;($F$9-$E$9)/($G$9-$E$9),$E$9+SQRT(S287*($G$9-$E$9)*($F$9-$E$9)),$G$9-SQRT((1-S287)*($G$9-$E$9)*($G$9-$F$9))))</f>
        <v>1.02475600922681</v>
      </c>
      <c r="F287" s="51" t="n">
        <f aca="false">1+IF($G$10=$E$10,$F$10,IF(T287&lt;($F$10-$E$10)/($G$10-$E$10),$E$10+SQRT(T287*($G$10-$E$10)*($F$10-$E$10)),$G$10-SQRT((1-T287)*($G$10-$E$10)*($G$10-$F$10))))</f>
        <v>1.17622214626744</v>
      </c>
      <c r="G287" s="52" t="n">
        <f aca="false">IF($G$11=$E$11,$F$11,IF(U287&lt;($F$11-$E$11)/($G$11-$E$11),$E$11+SQRT(U287*($G$11-$E$11)*($F$11-$E$11)),$G$11-SQRT((1-U287)*($G$11-$E$11)*($G$11-$F$11))))</f>
        <v>0.101913118083664</v>
      </c>
      <c r="H287" s="53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-2352444292.53488</v>
      </c>
      <c r="I287" s="53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-7887473.53957252</v>
      </c>
      <c r="J287" s="53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301310313.15694</v>
      </c>
      <c r="K287" s="53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669319207.166824</v>
      </c>
      <c r="L287" s="53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808213630.13052</v>
      </c>
      <c r="M287" s="53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1005270347.48724</v>
      </c>
      <c r="N287" s="53" t="n">
        <f aca="false">IF(COUNT('Business Case'!B11:G11)=0,"",H287+NPV(G287,I287:M287))</f>
        <v>-444203506.304714</v>
      </c>
      <c r="P287" s="54" t="n">
        <f aca="true">RAND()</f>
        <v>0.539295408375872</v>
      </c>
      <c r="Q287" s="54" t="n">
        <f aca="true">RAND()</f>
        <v>0.843555132238354</v>
      </c>
      <c r="R287" s="54" t="n">
        <f aca="true">RAND()</f>
        <v>0.425311973280093</v>
      </c>
      <c r="S287" s="54" t="n">
        <f aca="true">RAND()</f>
        <v>0.581705140672144</v>
      </c>
      <c r="T287" s="54" t="n">
        <f aca="true">RAND()</f>
        <v>0.927424377314896</v>
      </c>
      <c r="U287" s="54" t="n">
        <f aca="true">RAND()</f>
        <v>0.474084709478517</v>
      </c>
    </row>
    <row r="288" customFormat="false" ht="15" hidden="false" customHeight="false" outlineLevel="0" collapsed="false">
      <c r="A288" s="50" t="n">
        <v>208</v>
      </c>
      <c r="B288" s="51" t="n">
        <f aca="false">1+IF($G$6=$E$6,$F$6,IF(P288&lt;($F$6-$E$6)/($G$6-$E$6),$E$6+SQRT(P288*($G$6-$E$6)*($F$6-$E$6)),$G$6-SQRT((1-P288)*($G$6-$E$6)*($G$6-$F$6))))</f>
        <v>0.987014703972539</v>
      </c>
      <c r="C288" s="51" t="n">
        <f aca="false">1+IF($G$7=$E$7,$F$7,IF(Q288&lt;($F$7-$E$7)/($G$7-$E$7),$E$7+SQRT(Q288*($G$7-$E$7)*($F$7-$E$7)),$G$7-SQRT((1-Q288)*($G$7-$E$7)*($G$7-$F$7))))</f>
        <v>1.05994278514456</v>
      </c>
      <c r="D288" s="51" t="n">
        <f aca="false">1+IF($G$8=$E$8,$F$8,IF(R288&lt;($F$8-$E$8)/($G$8-$E$8),$E$8+SQRT(R288*($G$8-$E$8)*($F$8-$E$8)),$G$8-SQRT((1-R288)*($G$8-$E$8)*($G$8-$F$8))))</f>
        <v>1.00507342124878</v>
      </c>
      <c r="E288" s="51" t="n">
        <f aca="false">1+IF($G$9=$E$9,$F$9,IF(S288&lt;($F$9-$E$9)/($G$9-$E$9),$E$9+SQRT(S288*($G$9-$E$9)*($F$9-$E$9)),$G$9-SQRT((1-S288)*($G$9-$E$9)*($G$9-$F$9))))</f>
        <v>0.989552842224941</v>
      </c>
      <c r="F288" s="51" t="n">
        <f aca="false">1+IF($G$10=$E$10,$F$10,IF(T288&lt;($F$10-$E$10)/($G$10-$E$10),$E$10+SQRT(T288*($G$10-$E$10)*($F$10-$E$10)),$G$10-SQRT((1-T288)*($G$10-$E$10)*($G$10-$F$10))))</f>
        <v>1.09505984365561</v>
      </c>
      <c r="G288" s="52" t="n">
        <f aca="false">IF($G$11=$E$11,$F$11,IF(U288&lt;($F$11-$E$11)/($G$11-$E$11),$E$11+SQRT(U288*($G$11-$E$11)*($F$11-$E$11)),$G$11-SQRT((1-U288)*($G$11-$E$11)*($G$11-$F$11))))</f>
        <v>0.101023514523294</v>
      </c>
      <c r="H288" s="53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-2190119687.31122</v>
      </c>
      <c r="I288" s="53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7082916.7706515</v>
      </c>
      <c r="J288" s="53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318620157.35694</v>
      </c>
      <c r="K288" s="53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684910390.126009</v>
      </c>
      <c r="L288" s="53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824912087.178564</v>
      </c>
      <c r="M288" s="53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1023769813.22609</v>
      </c>
      <c r="N288" s="53" t="n">
        <f aca="false">IF(COUNT('Business Case'!B11:G11)=0,"",H288+NPV(G288,I288:M288))</f>
        <v>-213638715.755302</v>
      </c>
      <c r="P288" s="54" t="n">
        <f aca="true">RAND()</f>
        <v>0.504770580495234</v>
      </c>
      <c r="Q288" s="54" t="n">
        <f aca="true">RAND()</f>
        <v>0.879847378555267</v>
      </c>
      <c r="R288" s="54" t="n">
        <f aca="true">RAND()</f>
        <v>0.399262976439208</v>
      </c>
      <c r="S288" s="54" t="n">
        <f aca="true">RAND()</f>
        <v>0.32078846202261</v>
      </c>
      <c r="T288" s="54" t="n">
        <f aca="true">RAND()</f>
        <v>0.679913972693004</v>
      </c>
      <c r="U288" s="54" t="n">
        <f aca="true">RAND()</f>
        <v>0.440242192945489</v>
      </c>
    </row>
    <row r="289" customFormat="false" ht="15" hidden="false" customHeight="false" outlineLevel="0" collapsed="false">
      <c r="A289" s="50" t="n">
        <v>209</v>
      </c>
      <c r="B289" s="51" t="n">
        <f aca="false">1+IF($G$6=$E$6,$F$6,IF(P289&lt;($F$6-$E$6)/($G$6-$E$6),$E$6+SQRT(P289*($G$6-$E$6)*($F$6-$E$6)),$G$6-SQRT((1-P289)*($G$6-$E$6)*($G$6-$F$6))))</f>
        <v>1.00503218211944</v>
      </c>
      <c r="C289" s="51" t="n">
        <f aca="false">1+IF($G$7=$E$7,$F$7,IF(Q289&lt;($F$7-$E$7)/($G$7-$E$7),$E$7+SQRT(Q289*($G$7-$E$7)*($F$7-$E$7)),$G$7-SQRT((1-Q289)*($G$7-$E$7)*($G$7-$F$7))))</f>
        <v>1.0163828439797</v>
      </c>
      <c r="D289" s="51" t="n">
        <f aca="false">1+IF($G$8=$E$8,$F$8,IF(R289&lt;($F$8-$E$8)/($G$8-$E$8),$E$8+SQRT(R289*($G$8-$E$8)*($F$8-$E$8)),$G$8-SQRT((1-R289)*($G$8-$E$8)*($G$8-$F$8))))</f>
        <v>1.03735433503471</v>
      </c>
      <c r="E289" s="51" t="n">
        <f aca="false">1+IF($G$9=$E$9,$F$9,IF(S289&lt;($F$9-$E$9)/($G$9-$E$9),$E$9+SQRT(S289*($G$9-$E$9)*($F$9-$E$9)),$G$9-SQRT((1-S289)*($G$9-$E$9)*($G$9-$F$9))))</f>
        <v>1.01259925733336</v>
      </c>
      <c r="F289" s="51" t="n">
        <f aca="false">1+IF($G$10=$E$10,$F$10,IF(T289&lt;($F$10-$E$10)/($G$10-$E$10),$E$10+SQRT(T289*($G$10-$E$10)*($F$10-$E$10)),$G$10-SQRT((1-T289)*($G$10-$E$10)*($G$10-$F$10))))</f>
        <v>0.977310290108373</v>
      </c>
      <c r="G289" s="52" t="n">
        <f aca="false">IF($G$11=$E$11,$F$11,IF(U289&lt;($F$11-$E$11)/($G$11-$E$11),$E$11+SQRT(U289*($G$11-$E$11)*($F$11-$E$11)),$G$11-SQRT((1-U289)*($G$11-$E$11)*($G$11-$F$11))))</f>
        <v>0.119352174859244</v>
      </c>
      <c r="H289" s="53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-1954620580.21675</v>
      </c>
      <c r="I289" s="53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2260485.13473362</v>
      </c>
      <c r="J289" s="53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299198042.391092</v>
      </c>
      <c r="K289" s="53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645001114.152868</v>
      </c>
      <c r="L289" s="53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779283252.383643</v>
      </c>
      <c r="M289" s="53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973449491.016247</v>
      </c>
      <c r="N289" s="53" t="n">
        <f aca="false">IF(COUNT('Business Case'!B11:G11)=0,"",H289+NPV(G289,I289:M289))</f>
        <v>-203551761.242397</v>
      </c>
      <c r="P289" s="54" t="n">
        <f aca="true">RAND()</f>
        <v>0.730386047341442</v>
      </c>
      <c r="Q289" s="54" t="n">
        <f aca="true">RAND()</f>
        <v>0.735503046178485</v>
      </c>
      <c r="R289" s="54" t="n">
        <f aca="true">RAND()</f>
        <v>0.73836804407045</v>
      </c>
      <c r="S289" s="54" t="n">
        <f aca="true">RAND()</f>
        <v>0.496560957724169</v>
      </c>
      <c r="T289" s="54" t="n">
        <f aca="true">RAND()</f>
        <v>0.0497234630535677</v>
      </c>
      <c r="U289" s="54" t="n">
        <f aca="true">RAND()</f>
        <v>0.924415879847918</v>
      </c>
    </row>
    <row r="290" customFormat="false" ht="15" hidden="false" customHeight="false" outlineLevel="0" collapsed="false">
      <c r="A290" s="50" t="n">
        <v>210</v>
      </c>
      <c r="B290" s="51" t="n">
        <f aca="false">1+IF($G$6=$E$6,$F$6,IF(P290&lt;($F$6-$E$6)/($G$6-$E$6),$E$6+SQRT(P290*($G$6-$E$6)*($F$6-$E$6)),$G$6-SQRT((1-P290)*($G$6-$E$6)*($G$6-$F$6))))</f>
        <v>0.959497958260242</v>
      </c>
      <c r="C290" s="51" t="n">
        <f aca="false">1+IF($G$7=$E$7,$F$7,IF(Q290&lt;($F$7-$E$7)/($G$7-$E$7),$E$7+SQRT(Q290*($G$7-$E$7)*($F$7-$E$7)),$G$7-SQRT((1-Q290)*($G$7-$E$7)*($G$7-$F$7))))</f>
        <v>1.00991051854991</v>
      </c>
      <c r="D290" s="51" t="n">
        <f aca="false">1+IF($G$8=$E$8,$F$8,IF(R290&lt;($F$8-$E$8)/($G$8-$E$8),$E$8+SQRT(R290*($G$8-$E$8)*($F$8-$E$8)),$G$8-SQRT((1-R290)*($G$8-$E$8)*($G$8-$F$8))))</f>
        <v>1.01682609029078</v>
      </c>
      <c r="E290" s="51" t="n">
        <f aca="false">1+IF($G$9=$E$9,$F$9,IF(S290&lt;($F$9-$E$9)/($G$9-$E$9),$E$9+SQRT(S290*($G$9-$E$9)*($F$9-$E$9)),$G$9-SQRT((1-S290)*($G$9-$E$9)*($G$9-$F$9))))</f>
        <v>0.985802008060343</v>
      </c>
      <c r="F290" s="51" t="n">
        <f aca="false">1+IF($G$10=$E$10,$F$10,IF(T290&lt;($F$10-$E$10)/($G$10-$E$10),$E$10+SQRT(T290*($G$10-$E$10)*($F$10-$E$10)),$G$10-SQRT((1-T290)*($G$10-$E$10)*($G$10-$F$10))))</f>
        <v>1.06008693113552</v>
      </c>
      <c r="G290" s="52" t="n">
        <f aca="false">IF($G$11=$E$11,$F$11,IF(U290&lt;($F$11-$E$11)/($G$11-$E$11),$E$11+SQRT(U290*($G$11-$E$11)*($F$11-$E$11)),$G$11-SQRT((1-U290)*($G$11-$E$11)*($G$11-$F$11))))</f>
        <v>0.108509325197512</v>
      </c>
      <c r="H290" s="53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-2120173862.27105</v>
      </c>
      <c r="I290" s="53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-28428868.3772783</v>
      </c>
      <c r="J290" s="53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239565328.962142</v>
      </c>
      <c r="K290" s="53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560563872.858339</v>
      </c>
      <c r="L290" s="53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683384156.676123</v>
      </c>
      <c r="M290" s="53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867573022.551664</v>
      </c>
      <c r="N290" s="53" t="n">
        <f aca="false">IF(COUNT('Business Case'!B11:G11)=0,"",H290+NPV(G290,I290:M290))</f>
        <v>-568398586.07821</v>
      </c>
      <c r="P290" s="54" t="n">
        <f aca="true">RAND()</f>
        <v>0.236000469142496</v>
      </c>
      <c r="Q290" s="54" t="n">
        <f aca="true">RAND()</f>
        <v>0.709258328696974</v>
      </c>
      <c r="R290" s="54" t="n">
        <f aca="true">RAND()</f>
        <v>0.538806716245456</v>
      </c>
      <c r="S290" s="54" t="n">
        <f aca="true">RAND()</f>
        <v>0.294479383487483</v>
      </c>
      <c r="T290" s="54" t="n">
        <f aca="true">RAND()</f>
        <v>0.519107016993021</v>
      </c>
      <c r="U290" s="54" t="n">
        <f aca="true">RAND()</f>
        <v>0.692100597689129</v>
      </c>
    </row>
    <row r="291" customFormat="false" ht="15" hidden="false" customHeight="false" outlineLevel="0" collapsed="false">
      <c r="A291" s="50" t="n">
        <v>211</v>
      </c>
      <c r="B291" s="51" t="n">
        <f aca="false">1+IF($G$6=$E$6,$F$6,IF(P291&lt;($F$6-$E$6)/($G$6-$E$6),$E$6+SQRT(P291*($G$6-$E$6)*($F$6-$E$6)),$G$6-SQRT((1-P291)*($G$6-$E$6)*($G$6-$F$6))))</f>
        <v>0.985904648658879</v>
      </c>
      <c r="C291" s="51" t="n">
        <f aca="false">1+IF($G$7=$E$7,$F$7,IF(Q291&lt;($F$7-$E$7)/($G$7-$E$7),$E$7+SQRT(Q291*($G$7-$E$7)*($F$7-$E$7)),$G$7-SQRT((1-Q291)*($G$7-$E$7)*($G$7-$F$7))))</f>
        <v>0.92982332357219</v>
      </c>
      <c r="D291" s="51" t="n">
        <f aca="false">1+IF($G$8=$E$8,$F$8,IF(R291&lt;($F$8-$E$8)/($G$8-$E$8),$E$8+SQRT(R291*($G$8-$E$8)*($F$8-$E$8)),$G$8-SQRT((1-R291)*($G$8-$E$8)*($G$8-$F$8))))</f>
        <v>1.04426220070521</v>
      </c>
      <c r="E291" s="51" t="n">
        <f aca="false">1+IF($G$9=$E$9,$F$9,IF(S291&lt;($F$9-$E$9)/($G$9-$E$9),$E$9+SQRT(S291*($G$9-$E$9)*($F$9-$E$9)),$G$9-SQRT((1-S291)*($G$9-$E$9)*($G$9-$F$9))))</f>
        <v>1.12641647355076</v>
      </c>
      <c r="F291" s="51" t="n">
        <f aca="false">1+IF($G$10=$E$10,$F$10,IF(T291&lt;($F$10-$E$10)/($G$10-$E$10),$E$10+SQRT(T291*($G$10-$E$10)*($F$10-$E$10)),$G$10-SQRT((1-T291)*($G$10-$E$10)*($G$10-$F$10))))</f>
        <v>0.985495011186621</v>
      </c>
      <c r="G291" s="52" t="n">
        <f aca="false">IF($G$11=$E$11,$F$11,IF(U291&lt;($F$11-$E$11)/($G$11-$E$11),$E$11+SQRT(U291*($G$11-$E$11)*($F$11-$E$11)),$G$11-SQRT((1-U291)*($G$11-$E$11)*($G$11-$F$11))))</f>
        <v>0.108392933008066</v>
      </c>
      <c r="H291" s="53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-1970990022.37324</v>
      </c>
      <c r="I291" s="53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-52454950.0183449</v>
      </c>
      <c r="J291" s="53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201338640.010293</v>
      </c>
      <c r="K291" s="53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504406980.598263</v>
      </c>
      <c r="L291" s="53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620686588.200744</v>
      </c>
      <c r="M291" s="53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794936181.628557</v>
      </c>
      <c r="N291" s="53" t="n">
        <f aca="false">IF(COUNT('Business Case'!B11:G11)=0,"",H291+NPV(G291,I291:M291))</f>
        <v>-597577682.594188</v>
      </c>
      <c r="P291" s="54" t="n">
        <f aca="true">RAND()</f>
        <v>0.491973910747034</v>
      </c>
      <c r="Q291" s="54" t="n">
        <f aca="true">RAND()</f>
        <v>0.39125007450198</v>
      </c>
      <c r="R291" s="54" t="n">
        <f aca="true">RAND()</f>
        <v>0.792886515318221</v>
      </c>
      <c r="S291" s="54" t="n">
        <f aca="true">RAND()</f>
        <v>0.985168460805808</v>
      </c>
      <c r="T291" s="54" t="n">
        <f aca="true">RAND()</f>
        <v>0.0839930546092216</v>
      </c>
      <c r="U291" s="54" t="n">
        <f aca="true">RAND()</f>
        <v>0.688756437337386</v>
      </c>
    </row>
    <row r="292" customFormat="false" ht="15" hidden="false" customHeight="false" outlineLevel="0" collapsed="false">
      <c r="A292" s="50" t="n">
        <v>212</v>
      </c>
      <c r="B292" s="51" t="n">
        <f aca="false">1+IF($G$6=$E$6,$F$6,IF(P292&lt;($F$6-$E$6)/($G$6-$E$6),$E$6+SQRT(P292*($G$6-$E$6)*($F$6-$E$6)),$G$6-SQRT((1-P292)*($G$6-$E$6)*($G$6-$F$6))))</f>
        <v>0.939126402204638</v>
      </c>
      <c r="C292" s="51" t="n">
        <f aca="false">1+IF($G$7=$E$7,$F$7,IF(Q292&lt;($F$7-$E$7)/($G$7-$E$7),$E$7+SQRT(Q292*($G$7-$E$7)*($F$7-$E$7)),$G$7-SQRT((1-Q292)*($G$7-$E$7)*($G$7-$F$7))))</f>
        <v>0.791354108057499</v>
      </c>
      <c r="D292" s="51" t="n">
        <f aca="false">1+IF($G$8=$E$8,$F$8,IF(R292&lt;($F$8-$E$8)/($G$8-$E$8),$E$8+SQRT(R292*($G$8-$E$8)*($F$8-$E$8)),$G$8-SQRT((1-R292)*($G$8-$E$8)*($G$8-$F$8))))</f>
        <v>1.04381198291989</v>
      </c>
      <c r="E292" s="51" t="n">
        <f aca="false">1+IF($G$9=$E$9,$F$9,IF(S292&lt;($F$9-$E$9)/($G$9-$E$9),$E$9+SQRT(S292*($G$9-$E$9)*($F$9-$E$9)),$G$9-SQRT((1-S292)*($G$9-$E$9)*($G$9-$F$9))))</f>
        <v>1.06356080738362</v>
      </c>
      <c r="F292" s="51" t="n">
        <f aca="false">1+IF($G$10=$E$10,$F$10,IF(T292&lt;($F$10-$E$10)/($G$10-$E$10),$E$10+SQRT(T292*($G$10-$E$10)*($F$10-$E$10)),$G$10-SQRT((1-T292)*($G$10-$E$10)*($G$10-$F$10))))</f>
        <v>1.00450933573162</v>
      </c>
      <c r="G292" s="52" t="n">
        <f aca="false">IF($G$11=$E$11,$F$11,IF(U292&lt;($F$11-$E$11)/($G$11-$E$11),$E$11+SQRT(U292*($G$11-$E$11)*($F$11-$E$11)),$G$11-SQRT((1-U292)*($G$11-$E$11)*($G$11-$F$11))))</f>
        <v>0.0985538924532672</v>
      </c>
      <c r="H292" s="53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-2009018671.46325</v>
      </c>
      <c r="I292" s="53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-104355291.049234</v>
      </c>
      <c r="J292" s="53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81505229.13006</v>
      </c>
      <c r="K292" s="53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317591216.095936</v>
      </c>
      <c r="L292" s="53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405229076.719311</v>
      </c>
      <c r="M292" s="53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546493023.152501</v>
      </c>
      <c r="N292" s="53" t="n">
        <f aca="false">IF(COUNT('Business Case'!B11:G11)=0,"",H292+NPV(G292,I292:M292))</f>
        <v>-1177114684.47851</v>
      </c>
      <c r="P292" s="54" t="n">
        <f aca="true">RAND()</f>
        <v>0.102058356631938</v>
      </c>
      <c r="Q292" s="54" t="n">
        <f aca="true">RAND()</f>
        <v>0.0618190596961565</v>
      </c>
      <c r="R292" s="54" t="n">
        <f aca="true">RAND()</f>
        <v>0.78952711577369</v>
      </c>
      <c r="S292" s="54" t="n">
        <f aca="true">RAND()</f>
        <v>0.800753759462092</v>
      </c>
      <c r="T292" s="54" t="n">
        <f aca="true">RAND()</f>
        <v>0.196457783427616</v>
      </c>
      <c r="U292" s="54" t="n">
        <f aca="true">RAND()</f>
        <v>0.344246925167405</v>
      </c>
    </row>
    <row r="293" customFormat="false" ht="15" hidden="false" customHeight="false" outlineLevel="0" collapsed="false">
      <c r="A293" s="50" t="n">
        <v>213</v>
      </c>
      <c r="B293" s="51" t="n">
        <f aca="false">1+IF($G$6=$E$6,$F$6,IF(P293&lt;($F$6-$E$6)/($G$6-$E$6),$E$6+SQRT(P293*($G$6-$E$6)*($F$6-$E$6)),$G$6-SQRT((1-P293)*($G$6-$E$6)*($G$6-$F$6))))</f>
        <v>1.00558478608658</v>
      </c>
      <c r="C293" s="51" t="n">
        <f aca="false">1+IF($G$7=$E$7,$F$7,IF(Q293&lt;($F$7-$E$7)/($G$7-$E$7),$E$7+SQRT(Q293*($G$7-$E$7)*($F$7-$E$7)),$G$7-SQRT((1-Q293)*($G$7-$E$7)*($G$7-$F$7))))</f>
        <v>1.08870876327477</v>
      </c>
      <c r="D293" s="51" t="n">
        <f aca="false">1+IF($G$8=$E$8,$F$8,IF(R293&lt;($F$8-$E$8)/($G$8-$E$8),$E$8+SQRT(R293*($G$8-$E$8)*($F$8-$E$8)),$G$8-SQRT((1-R293)*($G$8-$E$8)*($G$8-$F$8))))</f>
        <v>0.9988615909806</v>
      </c>
      <c r="E293" s="51" t="n">
        <f aca="false">1+IF($G$9=$E$9,$F$9,IF(S293&lt;($F$9-$E$9)/($G$9-$E$9),$E$9+SQRT(S293*($G$9-$E$9)*($F$9-$E$9)),$G$9-SQRT((1-S293)*($G$9-$E$9)*($G$9-$F$9))))</f>
        <v>1.07091643559771</v>
      </c>
      <c r="F293" s="51" t="n">
        <f aca="false">1+IF($G$10=$E$10,$F$10,IF(T293&lt;($F$10-$E$10)/($G$10-$E$10),$E$10+SQRT(T293*($G$10-$E$10)*($F$10-$E$10)),$G$10-SQRT((1-T293)*($G$10-$E$10)*($G$10-$F$10))))</f>
        <v>1.03013357841208</v>
      </c>
      <c r="G293" s="52" t="n">
        <f aca="false">IF($G$11=$E$11,$F$11,IF(U293&lt;($F$11-$E$11)/($G$11-$E$11),$E$11+SQRT(U293*($G$11-$E$11)*($F$11-$E$11)),$G$11-SQRT((1-U293)*($G$11-$E$11)*($G$11-$F$11))))</f>
        <v>0.11831938770945</v>
      </c>
      <c r="H293" s="53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-2060267156.82416</v>
      </c>
      <c r="I293" s="53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27962136.589856</v>
      </c>
      <c r="J293" s="53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367975808.30697</v>
      </c>
      <c r="K293" s="53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759496158.944689</v>
      </c>
      <c r="L293" s="53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910669956.279764</v>
      </c>
      <c r="M293" s="53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1118767443.47464</v>
      </c>
      <c r="N293" s="53" t="n">
        <f aca="false">IF(COUNT('Business Case'!B11:G11)=0,"",H293+NPV(G293,I293:M293))</f>
        <v>23839339.1381271</v>
      </c>
      <c r="P293" s="54" t="n">
        <f aca="true">RAND()</f>
        <v>0.73697183640341</v>
      </c>
      <c r="Q293" s="54" t="n">
        <f aca="true">RAND()</f>
        <v>0.944346434084317</v>
      </c>
      <c r="R293" s="54" t="n">
        <f aca="true">RAND()</f>
        <v>0.318327343087388</v>
      </c>
      <c r="S293" s="54" t="n">
        <f aca="true">RAND()</f>
        <v>0.833221062438087</v>
      </c>
      <c r="T293" s="54" t="n">
        <f aca="true">RAND()</f>
        <v>0.355450088774984</v>
      </c>
      <c r="U293" s="54" t="n">
        <f aca="true">RAND()</f>
        <v>0.909042197678565</v>
      </c>
    </row>
    <row r="294" customFormat="false" ht="15" hidden="false" customHeight="false" outlineLevel="0" collapsed="false">
      <c r="A294" s="50" t="n">
        <v>214</v>
      </c>
      <c r="B294" s="51" t="n">
        <f aca="false">1+IF($G$6=$E$6,$F$6,IF(P294&lt;($F$6-$E$6)/($G$6-$E$6),$E$6+SQRT(P294*($G$6-$E$6)*($F$6-$E$6)),$G$6-SQRT((1-P294)*($G$6-$E$6)*($G$6-$F$6))))</f>
        <v>0.95601500343965</v>
      </c>
      <c r="C294" s="51" t="n">
        <f aca="false">1+IF($G$7=$E$7,$F$7,IF(Q294&lt;($F$7-$E$7)/($G$7-$E$7),$E$7+SQRT(Q294*($G$7-$E$7)*($F$7-$E$7)),$G$7-SQRT((1-Q294)*($G$7-$E$7)*($G$7-$F$7))))</f>
        <v>1.07846358008792</v>
      </c>
      <c r="D294" s="51" t="n">
        <f aca="false">1+IF($G$8=$E$8,$F$8,IF(R294&lt;($F$8-$E$8)/($G$8-$E$8),$E$8+SQRT(R294*($G$8-$E$8)*($F$8-$E$8)),$G$8-SQRT((1-R294)*($G$8-$E$8)*($G$8-$F$8))))</f>
        <v>1.03363041058155</v>
      </c>
      <c r="E294" s="51" t="n">
        <f aca="false">1+IF($G$9=$E$9,$F$9,IF(S294&lt;($F$9-$E$9)/($G$9-$E$9),$E$9+SQRT(S294*($G$9-$E$9)*($F$9-$E$9)),$G$9-SQRT((1-S294)*($G$9-$E$9)*($G$9-$F$9))))</f>
        <v>1.04718924624747</v>
      </c>
      <c r="F294" s="51" t="n">
        <f aca="false">1+IF($G$10=$E$10,$F$10,IF(T294&lt;($F$10-$E$10)/($G$10-$E$10),$E$10+SQRT(T294*($G$10-$E$10)*($F$10-$E$10)),$G$10-SQRT((1-T294)*($G$10-$E$10)*($G$10-$F$10))))</f>
        <v>1.03625023159144</v>
      </c>
      <c r="G294" s="52" t="n">
        <f aca="false">IF($G$11=$E$11,$F$11,IF(U294&lt;($F$11-$E$11)/($G$11-$E$11),$E$11+SQRT(U294*($G$11-$E$11)*($F$11-$E$11)),$G$11-SQRT((1-U294)*($G$11-$E$11)*($G$11-$F$11))))</f>
        <v>0.104455924786291</v>
      </c>
      <c r="H294" s="53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-2072500463.18288</v>
      </c>
      <c r="I294" s="53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-32152138.9904502</v>
      </c>
      <c r="J294" s="53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241679514.504337</v>
      </c>
      <c r="K294" s="53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567323679.578696</v>
      </c>
      <c r="L294" s="53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694233203.083428</v>
      </c>
      <c r="M294" s="53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890210884.285671</v>
      </c>
      <c r="N294" s="53" t="n">
        <f aca="false">IF(COUNT('Business Case'!B11:G11)=0,"",H294+NPV(G294,I294:M294))</f>
        <v>-474129732.368814</v>
      </c>
      <c r="P294" s="54" t="n">
        <f aca="true">RAND()</f>
        <v>0.209178707356268</v>
      </c>
      <c r="Q294" s="54" t="n">
        <f aca="true">RAND()</f>
        <v>0.924185787054261</v>
      </c>
      <c r="R294" s="54" t="n">
        <f aca="true">RAND()</f>
        <v>0.706338506695054</v>
      </c>
      <c r="S294" s="54" t="n">
        <f aca="true">RAND()</f>
        <v>0.718131971008997</v>
      </c>
      <c r="T294" s="54" t="n">
        <f aca="true">RAND()</f>
        <v>0.390813820070503</v>
      </c>
      <c r="U294" s="54" t="n">
        <f aca="true">RAND()</f>
        <v>0.565000147650918</v>
      </c>
    </row>
    <row r="295" customFormat="false" ht="15" hidden="false" customHeight="false" outlineLevel="0" collapsed="false">
      <c r="A295" s="50" t="n">
        <v>215</v>
      </c>
      <c r="B295" s="51" t="n">
        <f aca="false">1+IF($G$6=$E$6,$F$6,IF(P295&lt;($F$6-$E$6)/($G$6-$E$6),$E$6+SQRT(P295*($G$6-$E$6)*($F$6-$E$6)),$G$6-SQRT((1-P295)*($G$6-$E$6)*($G$6-$F$6))))</f>
        <v>0.959536901639383</v>
      </c>
      <c r="C295" s="51" t="n">
        <f aca="false">1+IF($G$7=$E$7,$F$7,IF(Q295&lt;($F$7-$E$7)/($G$7-$E$7),$E$7+SQRT(Q295*($G$7-$E$7)*($F$7-$E$7)),$G$7-SQRT((1-Q295)*($G$7-$E$7)*($G$7-$F$7))))</f>
        <v>1.05853997642833</v>
      </c>
      <c r="D295" s="51" t="n">
        <f aca="false">1+IF($G$8=$E$8,$F$8,IF(R295&lt;($F$8-$E$8)/($G$8-$E$8),$E$8+SQRT(R295*($G$8-$E$8)*($F$8-$E$8)),$G$8-SQRT((1-R295)*($G$8-$E$8)*($G$8-$F$8))))</f>
        <v>1.00400742962967</v>
      </c>
      <c r="E295" s="51" t="n">
        <f aca="false">1+IF($G$9=$E$9,$F$9,IF(S295&lt;($F$9-$E$9)/($G$9-$E$9),$E$9+SQRT(S295*($G$9-$E$9)*($F$9-$E$9)),$G$9-SQRT((1-S295)*($G$9-$E$9)*($G$9-$F$9))))</f>
        <v>0.911415538390484</v>
      </c>
      <c r="F295" s="51" t="n">
        <f aca="false">1+IF($G$10=$E$10,$F$10,IF(T295&lt;($F$10-$E$10)/($G$10-$E$10),$E$10+SQRT(T295*($G$10-$E$10)*($F$10-$E$10)),$G$10-SQRT((1-T295)*($G$10-$E$10)*($G$10-$F$10))))</f>
        <v>1.0636548806652</v>
      </c>
      <c r="G295" s="52" t="n">
        <f aca="false">IF($G$11=$E$11,$F$11,IF(U295&lt;($F$11-$E$11)/($G$11-$E$11),$E$11+SQRT(U295*($G$11-$E$11)*($F$11-$E$11)),$G$11-SQRT((1-U295)*($G$11-$E$11)*($G$11-$F$11))))</f>
        <v>0.0843730742367515</v>
      </c>
      <c r="H295" s="53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-2127309761.3304</v>
      </c>
      <c r="I295" s="53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-744329.418329835</v>
      </c>
      <c r="J295" s="53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287134430.282568</v>
      </c>
      <c r="K295" s="53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628195934.016727</v>
      </c>
      <c r="L295" s="53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759258394.912747</v>
      </c>
      <c r="M295" s="53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952324203.722545</v>
      </c>
      <c r="N295" s="53" t="n">
        <f aca="false">IF(COUNT('Business Case'!B11:G11)=0,"",H295+NPV(G295,I295:M295))</f>
        <v>-206831808.545247</v>
      </c>
      <c r="P295" s="54" t="n">
        <f aca="true">RAND()</f>
        <v>0.236309510454503</v>
      </c>
      <c r="Q295" s="54" t="n">
        <f aca="true">RAND()</f>
        <v>0.876075023529921</v>
      </c>
      <c r="R295" s="54" t="n">
        <f aca="true">RAND()</f>
        <v>0.385695095579784</v>
      </c>
      <c r="S295" s="54" t="n">
        <f aca="true">RAND()</f>
        <v>0.00521258066978465</v>
      </c>
      <c r="T295" s="54" t="n">
        <f aca="true">RAND()</f>
        <v>0.537006620001325</v>
      </c>
      <c r="U295" s="54" t="n">
        <f aca="true">RAND()</f>
        <v>0.0191237782801394</v>
      </c>
    </row>
    <row r="296" customFormat="false" ht="15" hidden="false" customHeight="false" outlineLevel="0" collapsed="false">
      <c r="A296" s="50" t="n">
        <v>216</v>
      </c>
      <c r="B296" s="51" t="n">
        <f aca="false">1+IF($G$6=$E$6,$F$6,IF(P296&lt;($F$6-$E$6)/($G$6-$E$6),$E$6+SQRT(P296*($G$6-$E$6)*($F$6-$E$6)),$G$6-SQRT((1-P296)*($G$6-$E$6)*($G$6-$F$6))))</f>
        <v>1.01030863153943</v>
      </c>
      <c r="C296" s="51" t="n">
        <f aca="false">1+IF($G$7=$E$7,$F$7,IF(Q296&lt;($F$7-$E$7)/($G$7-$E$7),$E$7+SQRT(Q296*($G$7-$E$7)*($F$7-$E$7)),$G$7-SQRT((1-Q296)*($G$7-$E$7)*($G$7-$F$7))))</f>
        <v>1.06763775512152</v>
      </c>
      <c r="D296" s="51" t="n">
        <f aca="false">1+IF($G$8=$E$8,$F$8,IF(R296&lt;($F$8-$E$8)/($G$8-$E$8),$E$8+SQRT(R296*($G$8-$E$8)*($F$8-$E$8)),$G$8-SQRT((1-R296)*($G$8-$E$8)*($G$8-$F$8))))</f>
        <v>1.03215844016428</v>
      </c>
      <c r="E296" s="51" t="n">
        <f aca="false">1+IF($G$9=$E$9,$F$9,IF(S296&lt;($F$9-$E$9)/($G$9-$E$9),$E$9+SQRT(S296*($G$9-$E$9)*($F$9-$E$9)),$G$9-SQRT((1-S296)*($G$9-$E$9)*($G$9-$F$9))))</f>
        <v>0.93930867308995</v>
      </c>
      <c r="F296" s="51" t="n">
        <f aca="false">1+IF($G$10=$E$10,$F$10,IF(T296&lt;($F$10-$E$10)/($G$10-$E$10),$E$10+SQRT(T296*($G$10-$E$10)*($F$10-$E$10)),$G$10-SQRT((1-T296)*($G$10-$E$10)*($G$10-$F$10))))</f>
        <v>1.104182818233</v>
      </c>
      <c r="G296" s="52" t="n">
        <f aca="false">IF($G$11=$E$11,$F$11,IF(U296&lt;($F$11-$E$11)/($G$11-$E$11),$E$11+SQRT(U296*($G$11-$E$11)*($F$11-$E$11)),$G$11-SQRT((1-U296)*($G$11-$E$11)*($G$11-$F$11))))</f>
        <v>0.117454743217135</v>
      </c>
      <c r="H296" s="53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-2208365636.46601</v>
      </c>
      <c r="I296" s="53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19460783.44659</v>
      </c>
      <c r="J296" s="53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338826428.29412</v>
      </c>
      <c r="K296" s="53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713401214.0533</v>
      </c>
      <c r="L296" s="53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857134353.178643</v>
      </c>
      <c r="M296" s="53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1062162936.14756</v>
      </c>
      <c r="N296" s="53" t="n">
        <f aca="false">IF(COUNT('Business Case'!B11:G11)=0,"",H296+NPV(G296,I296:M296))</f>
        <v>-249046205.863349</v>
      </c>
      <c r="P296" s="54" t="n">
        <f aca="true">RAND()</f>
        <v>0.789946035963642</v>
      </c>
      <c r="Q296" s="54" t="n">
        <f aca="true">RAND()</f>
        <v>0.89950312027522</v>
      </c>
      <c r="R296" s="54" t="n">
        <f aca="true">RAND()</f>
        <v>0.693168183937087</v>
      </c>
      <c r="S296" s="54" t="n">
        <f aca="true">RAND()</f>
        <v>0.0618068712037007</v>
      </c>
      <c r="T296" s="54" t="n">
        <f aca="true">RAND()</f>
        <v>0.716497993353745</v>
      </c>
      <c r="U296" s="54" t="n">
        <f aca="true">RAND()</f>
        <v>0.895077688167993</v>
      </c>
    </row>
    <row r="297" customFormat="false" ht="15" hidden="false" customHeight="false" outlineLevel="0" collapsed="false">
      <c r="A297" s="50" t="n">
        <v>217</v>
      </c>
      <c r="B297" s="51" t="n">
        <f aca="false">1+IF($G$6=$E$6,$F$6,IF(P297&lt;($F$6-$E$6)/($G$6-$E$6),$E$6+SQRT(P297*($G$6-$E$6)*($F$6-$E$6)),$G$6-SQRT((1-P297)*($G$6-$E$6)*($G$6-$F$6))))</f>
        <v>1.01377550626912</v>
      </c>
      <c r="C297" s="51" t="n">
        <f aca="false">1+IF($G$7=$E$7,$F$7,IF(Q297&lt;($F$7-$E$7)/($G$7-$E$7),$E$7+SQRT(Q297*($G$7-$E$7)*($F$7-$E$7)),$G$7-SQRT((1-Q297)*($G$7-$E$7)*($G$7-$F$7))))</f>
        <v>0.790107480990217</v>
      </c>
      <c r="D297" s="51" t="n">
        <f aca="false">1+IF($G$8=$E$8,$F$8,IF(R297&lt;($F$8-$E$8)/($G$8-$E$8),$E$8+SQRT(R297*($G$8-$E$8)*($F$8-$E$8)),$G$8-SQRT((1-R297)*($G$8-$E$8)*($G$8-$F$8))))</f>
        <v>1.07174804087363</v>
      </c>
      <c r="E297" s="51" t="n">
        <f aca="false">1+IF($G$9=$E$9,$F$9,IF(S297&lt;($F$9-$E$9)/($G$9-$E$9),$E$9+SQRT(S297*($G$9-$E$9)*($F$9-$E$9)),$G$9-SQRT((1-S297)*($G$9-$E$9)*($G$9-$F$9))))</f>
        <v>1.02360059172533</v>
      </c>
      <c r="F297" s="51" t="n">
        <f aca="false">1+IF($G$10=$E$10,$F$10,IF(T297&lt;($F$10-$E$10)/($G$10-$E$10),$E$10+SQRT(T297*($G$10-$E$10)*($F$10-$E$10)),$G$10-SQRT((1-T297)*($G$10-$E$10)*($G$10-$F$10))))</f>
        <v>1.09007336962241</v>
      </c>
      <c r="G297" s="52" t="n">
        <f aca="false">IF($G$11=$E$11,$F$11,IF(U297&lt;($F$11-$E$11)/($G$11-$E$11),$E$11+SQRT(U297*($G$11-$E$11)*($F$11-$E$11)),$G$11-SQRT((1-U297)*($G$11-$E$11)*($G$11-$F$11))))</f>
        <v>0.102485547045451</v>
      </c>
      <c r="H297" s="53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-2180146739.24481</v>
      </c>
      <c r="I297" s="53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-73508827.4563013</v>
      </c>
      <c r="J297" s="53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149069091.335622</v>
      </c>
      <c r="K297" s="53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426150678.608665</v>
      </c>
      <c r="L297" s="53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528025588.301067</v>
      </c>
      <c r="M297" s="53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680278073.824087</v>
      </c>
      <c r="N297" s="53" t="n">
        <f aca="false">IF(COUNT('Business Case'!B11:G11)=0,"",H297+NPV(G297,I297:M297))</f>
        <v>-1031100512.44527</v>
      </c>
      <c r="P297" s="54" t="n">
        <f aca="true">RAND()</f>
        <v>0.825038140525495</v>
      </c>
      <c r="Q297" s="54" t="n">
        <f aca="true">RAND()</f>
        <v>0.0601433935585363</v>
      </c>
      <c r="R297" s="54" t="n">
        <f aca="true">RAND()</f>
        <v>0.946788453701476</v>
      </c>
      <c r="S297" s="54" t="n">
        <f aca="true">RAND()</f>
        <v>0.573951722341675</v>
      </c>
      <c r="T297" s="54" t="n">
        <f aca="true">RAND()</f>
        <v>0.658979638614251</v>
      </c>
      <c r="U297" s="54" t="n">
        <f aca="true">RAND()</f>
        <v>0.495303252407957</v>
      </c>
    </row>
    <row r="298" customFormat="false" ht="15" hidden="false" customHeight="false" outlineLevel="0" collapsed="false">
      <c r="A298" s="50" t="n">
        <v>218</v>
      </c>
      <c r="B298" s="51" t="n">
        <f aca="false">1+IF($G$6=$E$6,$F$6,IF(P298&lt;($F$6-$E$6)/($G$6-$E$6),$E$6+SQRT(P298*($G$6-$E$6)*($F$6-$E$6)),$G$6-SQRT((1-P298)*($G$6-$E$6)*($G$6-$F$6))))</f>
        <v>0.98863641911823</v>
      </c>
      <c r="C298" s="51" t="n">
        <f aca="false">1+IF($G$7=$E$7,$F$7,IF(Q298&lt;($F$7-$E$7)/($G$7-$E$7),$E$7+SQRT(Q298*($G$7-$E$7)*($F$7-$E$7)),$G$7-SQRT((1-Q298)*($G$7-$E$7)*($G$7-$F$7))))</f>
        <v>0.93643805489409</v>
      </c>
      <c r="D298" s="51" t="n">
        <f aca="false">1+IF($G$8=$E$8,$F$8,IF(R298&lt;($F$8-$E$8)/($G$8-$E$8),$E$8+SQRT(R298*($G$8-$E$8)*($F$8-$E$8)),$G$8-SQRT((1-R298)*($G$8-$E$8)*($G$8-$F$8))))</f>
        <v>0.98351644319028</v>
      </c>
      <c r="E298" s="51" t="n">
        <f aca="false">1+IF($G$9=$E$9,$F$9,IF(S298&lt;($F$9-$E$9)/($G$9-$E$9),$E$9+SQRT(S298*($G$9-$E$9)*($F$9-$E$9)),$G$9-SQRT((1-S298)*($G$9-$E$9)*($G$9-$F$9))))</f>
        <v>1.00286180628942</v>
      </c>
      <c r="F298" s="51" t="n">
        <f aca="false">1+IF($G$10=$E$10,$F$10,IF(T298&lt;($F$10-$E$10)/($G$10-$E$10),$E$10+SQRT(T298*($G$10-$E$10)*($F$10-$E$10)),$G$10-SQRT((1-T298)*($G$10-$E$10)*($G$10-$F$10))))</f>
        <v>1.0007499747191</v>
      </c>
      <c r="G298" s="52" t="n">
        <f aca="false">IF($G$11=$E$11,$F$11,IF(U298&lt;($F$11-$E$11)/($G$11-$E$11),$E$11+SQRT(U298*($G$11-$E$11)*($F$11-$E$11)),$G$11-SQRT((1-U298)*($G$11-$E$11)*($G$11-$F$11))))</f>
        <v>0.0917427212551373</v>
      </c>
      <c r="H298" s="53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-2001499949.43819</v>
      </c>
      <c r="I298" s="53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-3860501.50986919</v>
      </c>
      <c r="J298" s="53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282954247.620536</v>
      </c>
      <c r="K298" s="53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619806495.486897</v>
      </c>
      <c r="L298" s="53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747406948.073039</v>
      </c>
      <c r="M298" s="53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923382397.224405</v>
      </c>
      <c r="N298" s="53" t="n">
        <f aca="false">IF(COUNT('Business Case'!B11:G11)=0,"",H298+NPV(G298,I298:M298))</f>
        <v>-169853007.662692</v>
      </c>
      <c r="P298" s="54" t="n">
        <f aca="true">RAND()</f>
        <v>0.523760986273497</v>
      </c>
      <c r="Q298" s="54" t="n">
        <f aca="true">RAND()</f>
        <v>0.414095954089636</v>
      </c>
      <c r="R298" s="54" t="n">
        <f aca="true">RAND()</f>
        <v>0.149780261883638</v>
      </c>
      <c r="S298" s="54" t="n">
        <f aca="true">RAND()</f>
        <v>0.422676052042371</v>
      </c>
      <c r="T298" s="54" t="n">
        <f aca="true">RAND()</f>
        <v>0.17165899863292</v>
      </c>
      <c r="U298" s="54" t="n">
        <f aca="true">RAND()</f>
        <v>0.137891502475852</v>
      </c>
    </row>
    <row r="299" customFormat="false" ht="15" hidden="false" customHeight="false" outlineLevel="0" collapsed="false">
      <c r="A299" s="50" t="n">
        <v>219</v>
      </c>
      <c r="B299" s="51" t="n">
        <f aca="false">1+IF($G$6=$E$6,$F$6,IF(P299&lt;($F$6-$E$6)/($G$6-$E$6),$E$6+SQRT(P299*($G$6-$E$6)*($F$6-$E$6)),$G$6-SQRT((1-P299)*($G$6-$E$6)*($G$6-$F$6))))</f>
        <v>0.922906431072366</v>
      </c>
      <c r="C299" s="51" t="n">
        <f aca="false">1+IF($G$7=$E$7,$F$7,IF(Q299&lt;($F$7-$E$7)/($G$7-$E$7),$E$7+SQRT(Q299*($G$7-$E$7)*($F$7-$E$7)),$G$7-SQRT((1-Q299)*($G$7-$E$7)*($G$7-$F$7))))</f>
        <v>0.849447901871952</v>
      </c>
      <c r="D299" s="51" t="n">
        <f aca="false">1+IF($G$8=$E$8,$F$8,IF(R299&lt;($F$8-$E$8)/($G$8-$E$8),$E$8+SQRT(R299*($G$8-$E$8)*($F$8-$E$8)),$G$8-SQRT((1-R299)*($G$8-$E$8)*($G$8-$F$8))))</f>
        <v>1.06349181703657</v>
      </c>
      <c r="E299" s="51" t="n">
        <f aca="false">1+IF($G$9=$E$9,$F$9,IF(S299&lt;($F$9-$E$9)/($G$9-$E$9),$E$9+SQRT(S299*($G$9-$E$9)*($F$9-$E$9)),$G$9-SQRT((1-S299)*($G$9-$E$9)*($G$9-$F$9))))</f>
        <v>0.980630150536659</v>
      </c>
      <c r="F299" s="51" t="n">
        <f aca="false">1+IF($G$10=$E$10,$F$10,IF(T299&lt;($F$10-$E$10)/($G$10-$E$10),$E$10+SQRT(T299*($G$10-$E$10)*($F$10-$E$10)),$G$10-SQRT((1-T299)*($G$10-$E$10)*($G$10-$F$10))))</f>
        <v>1.19491364198099</v>
      </c>
      <c r="G299" s="52" t="n">
        <f aca="false">IF($G$11=$E$11,$F$11,IF(U299&lt;($F$11-$E$11)/($G$11-$E$11),$E$11+SQRT(U299*($G$11-$E$11)*($F$11-$E$11)),$G$11-SQRT((1-U299)*($G$11-$E$11)*($G$11-$F$11))))</f>
        <v>0.109300418173854</v>
      </c>
      <c r="H299" s="53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-2389827283.96198</v>
      </c>
      <c r="I299" s="53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-119915804.769034</v>
      </c>
      <c r="J299" s="53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59745896.7552299</v>
      </c>
      <c r="K299" s="53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299153280.378543</v>
      </c>
      <c r="L299" s="53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386134204.012554</v>
      </c>
      <c r="M299" s="53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535149497.871799</v>
      </c>
      <c r="N299" s="53" t="n">
        <f aca="false">IF(COUNT('Business Case'!B11:G11)=0,"",H299+NPV(G299,I299:M299))</f>
        <v>-1656634290.01568</v>
      </c>
      <c r="P299" s="54" t="n">
        <f aca="true">RAND()</f>
        <v>0.0349803056315375</v>
      </c>
      <c r="Q299" s="54" t="n">
        <f aca="true">RAND()</f>
        <v>0.165442039806879</v>
      </c>
      <c r="R299" s="54" t="n">
        <f aca="true">RAND()</f>
        <v>0.911143505113934</v>
      </c>
      <c r="S299" s="54" t="n">
        <f aca="true">RAND()</f>
        <v>0.260048847022569</v>
      </c>
      <c r="T299" s="54" t="n">
        <f aca="true">RAND()</f>
        <v>0.959539908802688</v>
      </c>
      <c r="U299" s="54" t="n">
        <f aca="true">RAND()</f>
        <v>0.714351541481792</v>
      </c>
    </row>
    <row r="300" customFormat="false" ht="15" hidden="false" customHeight="false" outlineLevel="0" collapsed="false">
      <c r="A300" s="50" t="n">
        <v>220</v>
      </c>
      <c r="B300" s="51" t="n">
        <f aca="false">1+IF($G$6=$E$6,$F$6,IF(P300&lt;($F$6-$E$6)/($G$6-$E$6),$E$6+SQRT(P300*($G$6-$E$6)*($F$6-$E$6)),$G$6-SQRT((1-P300)*($G$6-$E$6)*($G$6-$F$6))))</f>
        <v>1.007256822899</v>
      </c>
      <c r="C300" s="51" t="n">
        <f aca="false">1+IF($G$7=$E$7,$F$7,IF(Q300&lt;($F$7-$E$7)/($G$7-$E$7),$E$7+SQRT(Q300*($G$7-$E$7)*($F$7-$E$7)),$G$7-SQRT((1-Q300)*($G$7-$E$7)*($G$7-$F$7))))</f>
        <v>0.937414977808716</v>
      </c>
      <c r="D300" s="51" t="n">
        <f aca="false">1+IF($G$8=$E$8,$F$8,IF(R300&lt;($F$8-$E$8)/($G$8-$E$8),$E$8+SQRT(R300*($G$8-$E$8)*($F$8-$E$8)),$G$8-SQRT((1-R300)*($G$8-$E$8)*($G$8-$F$8))))</f>
        <v>1.01995365114878</v>
      </c>
      <c r="E300" s="51" t="n">
        <f aca="false">1+IF($G$9=$E$9,$F$9,IF(S300&lt;($F$9-$E$9)/($G$9-$E$9),$E$9+SQRT(S300*($G$9-$E$9)*($F$9-$E$9)),$G$9-SQRT((1-S300)*($G$9-$E$9)*($G$9-$F$9))))</f>
        <v>0.934031422966356</v>
      </c>
      <c r="F300" s="51" t="n">
        <f aca="false">1+IF($G$10=$E$10,$F$10,IF(T300&lt;($F$10-$E$10)/($G$10-$E$10),$E$10+SQRT(T300*($G$10-$E$10)*($F$10-$E$10)),$G$10-SQRT((1-T300)*($G$10-$E$10)*($G$10-$F$10))))</f>
        <v>1.12058647083142</v>
      </c>
      <c r="G300" s="52" t="n">
        <f aca="false">IF($G$11=$E$11,$F$11,IF(U300&lt;($F$11-$E$11)/($G$11-$E$11),$E$11+SQRT(U300*($G$11-$E$11)*($F$11-$E$11)),$G$11-SQRT((1-U300)*($G$11-$E$11)*($G$11-$F$11))))</f>
        <v>0.0958154291346933</v>
      </c>
      <c r="H300" s="53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-2241172941.66283</v>
      </c>
      <c r="I300" s="53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-9900795.96878026</v>
      </c>
      <c r="J300" s="53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274024565.549079</v>
      </c>
      <c r="K300" s="53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613979250.608509</v>
      </c>
      <c r="L300" s="53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741253199.152918</v>
      </c>
      <c r="M300" s="53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920730086.697754</v>
      </c>
      <c r="N300" s="53" t="n">
        <f aca="false">IF(COUNT('Business Case'!B11:G11)=0,"",H300+NPV(G300,I300:M300))</f>
        <v>-458648009.793724</v>
      </c>
      <c r="P300" s="54" t="n">
        <f aca="true">RAND()</f>
        <v>0.756402774841651</v>
      </c>
      <c r="Q300" s="54" t="n">
        <f aca="true">RAND()</f>
        <v>0.417524975466022</v>
      </c>
      <c r="R300" s="54" t="n">
        <f aca="true">RAND()</f>
        <v>0.572838802372532</v>
      </c>
      <c r="S300" s="54" t="n">
        <f aca="true">RAND()</f>
        <v>0.0463255099646008</v>
      </c>
      <c r="T300" s="54" t="n">
        <f aca="true">RAND()</f>
        <v>0.776695179575095</v>
      </c>
      <c r="U300" s="54" t="n">
        <f aca="true">RAND()</f>
        <v>0.250127798714505</v>
      </c>
    </row>
    <row r="301" customFormat="false" ht="15" hidden="false" customHeight="false" outlineLevel="0" collapsed="false">
      <c r="A301" s="50" t="n">
        <v>221</v>
      </c>
      <c r="B301" s="51" t="n">
        <f aca="false">1+IF($G$6=$E$6,$F$6,IF(P301&lt;($F$6-$E$6)/($G$6-$E$6),$E$6+SQRT(P301*($G$6-$E$6)*($F$6-$E$6)),$G$6-SQRT((1-P301)*($G$6-$E$6)*($G$6-$F$6))))</f>
        <v>0.999083714014635</v>
      </c>
      <c r="C301" s="51" t="n">
        <f aca="false">1+IF($G$7=$E$7,$F$7,IF(Q301&lt;($F$7-$E$7)/($G$7-$E$7),$E$7+SQRT(Q301*($G$7-$E$7)*($F$7-$E$7)),$G$7-SQRT((1-Q301)*($G$7-$E$7)*($G$7-$F$7))))</f>
        <v>0.953311317046438</v>
      </c>
      <c r="D301" s="51" t="n">
        <f aca="false">1+IF($G$8=$E$8,$F$8,IF(R301&lt;($F$8-$E$8)/($G$8-$E$8),$E$8+SQRT(R301*($G$8-$E$8)*($F$8-$E$8)),$G$8-SQRT((1-R301)*($G$8-$E$8)*($G$8-$F$8))))</f>
        <v>1.00271164937222</v>
      </c>
      <c r="E301" s="51" t="n">
        <f aca="false">1+IF($G$9=$E$9,$F$9,IF(S301&lt;($F$9-$E$9)/($G$9-$E$9),$E$9+SQRT(S301*($G$9-$E$9)*($F$9-$E$9)),$G$9-SQRT((1-S301)*($G$9-$E$9)*($G$9-$F$9))))</f>
        <v>0.913926285545556</v>
      </c>
      <c r="F301" s="51" t="n">
        <f aca="false">1+IF($G$10=$E$10,$F$10,IF(T301&lt;($F$10-$E$10)/($G$10-$E$10),$E$10+SQRT(T301*($G$10-$E$10)*($F$10-$E$10)),$G$10-SQRT((1-T301)*($G$10-$E$10)*($G$10-$F$10))))</f>
        <v>1.06693462072729</v>
      </c>
      <c r="G301" s="52" t="n">
        <f aca="false">IF($G$11=$E$11,$F$11,IF(U301&lt;($F$11-$E$11)/($G$11-$E$11),$E$11+SQRT(U301*($G$11-$E$11)*($F$11-$E$11)),$G$11-SQRT((1-U301)*($G$11-$E$11)*($G$11-$F$11))))</f>
        <v>0.0968857094513682</v>
      </c>
      <c r="H301" s="53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-2133869241.45457</v>
      </c>
      <c r="I301" s="53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4744520.73296137</v>
      </c>
      <c r="J301" s="53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295517197.478271</v>
      </c>
      <c r="K301" s="53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639636605.259945</v>
      </c>
      <c r="L301" s="53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769477081.598408</v>
      </c>
      <c r="M301" s="53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950516460.760226</v>
      </c>
      <c r="N301" s="53" t="n">
        <f aca="false">IF(COUNT('Business Case'!B11:G11)=0,"",H301+NPV(G301,I301:M301))</f>
        <v>-269072998.819726</v>
      </c>
      <c r="P301" s="54" t="n">
        <f aca="true">RAND()</f>
        <v>0.654505492195592</v>
      </c>
      <c r="Q301" s="54" t="n">
        <f aca="true">RAND()</f>
        <v>0.475308321065191</v>
      </c>
      <c r="R301" s="54" t="n">
        <f aca="true">RAND()</f>
        <v>0.368998455475087</v>
      </c>
      <c r="S301" s="54" t="n">
        <f aca="true">RAND()</f>
        <v>0.00775765716385479</v>
      </c>
      <c r="T301" s="54" t="n">
        <f aca="true">RAND()</f>
        <v>0.553160892156503</v>
      </c>
      <c r="U301" s="54" t="n">
        <f aca="true">RAND()</f>
        <v>0.285127183676027</v>
      </c>
    </row>
    <row r="302" customFormat="false" ht="15" hidden="false" customHeight="false" outlineLevel="0" collapsed="false">
      <c r="A302" s="50" t="n">
        <v>222</v>
      </c>
      <c r="B302" s="51" t="n">
        <f aca="false">1+IF($G$6=$E$6,$F$6,IF(P302&lt;($F$6-$E$6)/($G$6-$E$6),$E$6+SQRT(P302*($G$6-$E$6)*($F$6-$E$6)),$G$6-SQRT((1-P302)*($G$6-$E$6)*($G$6-$F$6))))</f>
        <v>0.985548150817944</v>
      </c>
      <c r="C302" s="51" t="n">
        <f aca="false">1+IF($G$7=$E$7,$F$7,IF(Q302&lt;($F$7-$E$7)/($G$7-$E$7),$E$7+SQRT(Q302*($G$7-$E$7)*($F$7-$E$7)),$G$7-SQRT((1-Q302)*($G$7-$E$7)*($G$7-$F$7))))</f>
        <v>0.889140204902132</v>
      </c>
      <c r="D302" s="51" t="n">
        <f aca="false">1+IF($G$8=$E$8,$F$8,IF(R302&lt;($F$8-$E$8)/($G$8-$E$8),$E$8+SQRT(R302*($G$8-$E$8)*($F$8-$E$8)),$G$8-SQRT((1-R302)*($G$8-$E$8)*($G$8-$F$8))))</f>
        <v>0.970543512152171</v>
      </c>
      <c r="E302" s="51" t="n">
        <f aca="false">1+IF($G$9=$E$9,$F$9,IF(S302&lt;($F$9-$E$9)/($G$9-$E$9),$E$9+SQRT(S302*($G$9-$E$9)*($F$9-$E$9)),$G$9-SQRT((1-S302)*($G$9-$E$9)*($G$9-$F$9))))</f>
        <v>1.03909652423095</v>
      </c>
      <c r="F302" s="51" t="n">
        <f aca="false">1+IF($G$10=$E$10,$F$10,IF(T302&lt;($F$10-$E$10)/($G$10-$E$10),$E$10+SQRT(T302*($G$10-$E$10)*($F$10-$E$10)),$G$10-SQRT((1-T302)*($G$10-$E$10)*($G$10-$F$10))))</f>
        <v>1.08011856759835</v>
      </c>
      <c r="G302" s="52" t="n">
        <f aca="false">IF($G$11=$E$11,$F$11,IF(U302&lt;($F$11-$E$11)/($G$11-$E$11),$E$11+SQRT(U302*($G$11-$E$11)*($F$11-$E$11)),$G$11-SQRT((1-U302)*($G$11-$E$11)*($G$11-$F$11))))</f>
        <v>0.123379972141208</v>
      </c>
      <c r="H302" s="53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-2160237135.19671</v>
      </c>
      <c r="I302" s="53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-25214265.0799823</v>
      </c>
      <c r="J302" s="53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250769751.075427</v>
      </c>
      <c r="K302" s="53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580759695.610755</v>
      </c>
      <c r="L302" s="53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703038966.815835</v>
      </c>
      <c r="M302" s="53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869604262.158861</v>
      </c>
      <c r="N302" s="53" t="n">
        <f aca="false">IF(COUNT('Business Case'!B11:G11)=0,"",H302+NPV(G302,I302:M302))</f>
        <v>-646818683.410994</v>
      </c>
      <c r="P302" s="54" t="n">
        <f aca="true">RAND()</f>
        <v>0.487899073891308</v>
      </c>
      <c r="Q302" s="54" t="n">
        <f aca="true">RAND()</f>
        <v>0.264992719336447</v>
      </c>
      <c r="R302" s="54" t="n">
        <f aca="true">RAND()</f>
        <v>0.0562714522061876</v>
      </c>
      <c r="S302" s="54" t="n">
        <f aca="true">RAND()</f>
        <v>0.672011174995813</v>
      </c>
      <c r="T302" s="54" t="n">
        <f aca="true">RAND()</f>
        <v>0.61520398566886</v>
      </c>
      <c r="U302" s="54" t="n">
        <f aca="true">RAND()</f>
        <v>0.970783487432544</v>
      </c>
    </row>
    <row r="303" customFormat="false" ht="15" hidden="false" customHeight="false" outlineLevel="0" collapsed="false">
      <c r="A303" s="50" t="n">
        <v>223</v>
      </c>
      <c r="B303" s="51" t="n">
        <f aca="false">1+IF($G$6=$E$6,$F$6,IF(P303&lt;($F$6-$E$6)/($G$6-$E$6),$E$6+SQRT(P303*($G$6-$E$6)*($F$6-$E$6)),$G$6-SQRT((1-P303)*($G$6-$E$6)*($G$6-$F$6))))</f>
        <v>0.999432620532175</v>
      </c>
      <c r="C303" s="51" t="n">
        <f aca="false">1+IF($G$7=$E$7,$F$7,IF(Q303&lt;($F$7-$E$7)/($G$7-$E$7),$E$7+SQRT(Q303*($G$7-$E$7)*($F$7-$E$7)),$G$7-SQRT((1-Q303)*($G$7-$E$7)*($G$7-$F$7))))</f>
        <v>1.04795478832776</v>
      </c>
      <c r="D303" s="51" t="n">
        <f aca="false">1+IF($G$8=$E$8,$F$8,IF(R303&lt;($F$8-$E$8)/($G$8-$E$8),$E$8+SQRT(R303*($G$8-$E$8)*($F$8-$E$8)),$G$8-SQRT((1-R303)*($G$8-$E$8)*($G$8-$F$8))))</f>
        <v>1.01192580414392</v>
      </c>
      <c r="E303" s="51" t="n">
        <f aca="false">1+IF($G$9=$E$9,$F$9,IF(S303&lt;($F$9-$E$9)/($G$9-$E$9),$E$9+SQRT(S303*($G$9-$E$9)*($F$9-$E$9)),$G$9-SQRT((1-S303)*($G$9-$E$9)*($G$9-$F$9))))</f>
        <v>0.964925755687868</v>
      </c>
      <c r="F303" s="51" t="n">
        <f aca="false">1+IF($G$10=$E$10,$F$10,IF(T303&lt;($F$10-$E$10)/($G$10-$E$10),$E$10+SQRT(T303*($G$10-$E$10)*($F$10-$E$10)),$G$10-SQRT((1-T303)*($G$10-$E$10)*($G$10-$F$10))))</f>
        <v>1.01087492845238</v>
      </c>
      <c r="G303" s="52" t="n">
        <f aca="false">IF($G$11=$E$11,$F$11,IF(U303&lt;($F$11-$E$11)/($G$11-$E$11),$E$11+SQRT(U303*($G$11-$E$11)*($F$11-$E$11)),$G$11-SQRT((1-U303)*($G$11-$E$11)*($G$11-$F$11))))</f>
        <v>0.126132321662121</v>
      </c>
      <c r="H303" s="53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-2021749856.90475</v>
      </c>
      <c r="I303" s="53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22401486.2449232</v>
      </c>
      <c r="J303" s="53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337398060.577329</v>
      </c>
      <c r="K303" s="53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702938381.332354</v>
      </c>
      <c r="L303" s="53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844134007.965443</v>
      </c>
      <c r="M303" s="53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1043216234.83802</v>
      </c>
      <c r="N303" s="53" t="n">
        <f aca="false">IF(COUNT('Business Case'!B11:G11)=0,"",H303+NPV(G303,I303:M303))</f>
        <v>-142720156.07588</v>
      </c>
      <c r="P303" s="54" t="n">
        <f aca="true">RAND()</f>
        <v>0.659123068393027</v>
      </c>
      <c r="Q303" s="54" t="n">
        <f aca="true">RAND()</f>
        <v>0.845729996663211</v>
      </c>
      <c r="R303" s="54" t="n">
        <f aca="true">RAND()</f>
        <v>0.482862401620377</v>
      </c>
      <c r="S303" s="54" t="n">
        <f aca="true">RAND()</f>
        <v>0.168614150065631</v>
      </c>
      <c r="T303" s="54" t="n">
        <f aca="true">RAND()</f>
        <v>0.237589335431253</v>
      </c>
      <c r="U303" s="54" t="n">
        <f aca="true">RAND()</f>
        <v>0.990027376183133</v>
      </c>
    </row>
    <row r="304" customFormat="false" ht="15" hidden="false" customHeight="false" outlineLevel="0" collapsed="false">
      <c r="A304" s="50" t="n">
        <v>224</v>
      </c>
      <c r="B304" s="51" t="n">
        <f aca="false">1+IF($G$6=$E$6,$F$6,IF(P304&lt;($F$6-$E$6)/($G$6-$E$6),$E$6+SQRT(P304*($G$6-$E$6)*($F$6-$E$6)),$G$6-SQRT((1-P304)*($G$6-$E$6)*($G$6-$F$6))))</f>
        <v>0.945480190396422</v>
      </c>
      <c r="C304" s="51" t="n">
        <f aca="false">1+IF($G$7=$E$7,$F$7,IF(Q304&lt;($F$7-$E$7)/($G$7-$E$7),$E$7+SQRT(Q304*($G$7-$E$7)*($F$7-$E$7)),$G$7-SQRT((1-Q304)*($G$7-$E$7)*($G$7-$F$7))))</f>
        <v>1.01224513954543</v>
      </c>
      <c r="D304" s="51" t="n">
        <f aca="false">1+IF($G$8=$E$8,$F$8,IF(R304&lt;($F$8-$E$8)/($G$8-$E$8),$E$8+SQRT(R304*($G$8-$E$8)*($F$8-$E$8)),$G$8-SQRT((1-R304)*($G$8-$E$8)*($G$8-$F$8))))</f>
        <v>1.04081040467048</v>
      </c>
      <c r="E304" s="51" t="n">
        <f aca="false">1+IF($G$9=$E$9,$F$9,IF(S304&lt;($F$9-$E$9)/($G$9-$E$9),$E$9+SQRT(S304*($G$9-$E$9)*($F$9-$E$9)),$G$9-SQRT((1-S304)*($G$9-$E$9)*($G$9-$F$9))))</f>
        <v>1.05591276887661</v>
      </c>
      <c r="F304" s="51" t="n">
        <f aca="false">1+IF($G$10=$E$10,$F$10,IF(T304&lt;($F$10-$E$10)/($G$10-$E$10),$E$10+SQRT(T304*($G$10-$E$10)*($F$10-$E$10)),$G$10-SQRT((1-T304)*($G$10-$E$10)*($G$10-$F$10))))</f>
        <v>1.16581277001859</v>
      </c>
      <c r="G304" s="52" t="n">
        <f aca="false">IF($G$11=$E$11,$F$11,IF(U304&lt;($F$11-$E$11)/($G$11-$E$11),$E$11+SQRT(U304*($G$11-$E$11)*($F$11-$E$11)),$G$11-SQRT((1-U304)*($G$11-$E$11)*($G$11-$F$11))))</f>
        <v>0.107029819185704</v>
      </c>
      <c r="H304" s="53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-2331625540.03717</v>
      </c>
      <c r="I304" s="53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-71782774.0468588</v>
      </c>
      <c r="J304" s="53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172780397.223827</v>
      </c>
      <c r="K304" s="53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475634206.995442</v>
      </c>
      <c r="L304" s="53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590231179.139958</v>
      </c>
      <c r="M304" s="53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772148711.938541</v>
      </c>
      <c r="N304" s="53" t="n">
        <f aca="false">IF(COUNT('Business Case'!B11:G11)=0,"",H304+NPV(G304,I304:M304))</f>
        <v>-1047489783.00178</v>
      </c>
      <c r="P304" s="54" t="n">
        <f aca="true">RAND()</f>
        <v>0.137896514566319</v>
      </c>
      <c r="Q304" s="54" t="n">
        <f aca="true">RAND()</f>
        <v>0.718868124757672</v>
      </c>
      <c r="R304" s="54" t="n">
        <f aca="true">RAND()</f>
        <v>0.76643945364853</v>
      </c>
      <c r="S304" s="54" t="n">
        <f aca="true">RAND()</f>
        <v>0.76393581172092</v>
      </c>
      <c r="T304" s="54" t="n">
        <f aca="true">RAND()</f>
        <v>0.905500137440753</v>
      </c>
      <c r="U304" s="54" t="n">
        <f aca="true">RAND()</f>
        <v>0.648247195572361</v>
      </c>
    </row>
    <row r="305" customFormat="false" ht="15" hidden="false" customHeight="false" outlineLevel="0" collapsed="false">
      <c r="A305" s="50" t="n">
        <v>225</v>
      </c>
      <c r="B305" s="51" t="n">
        <f aca="false">1+IF($G$6=$E$6,$F$6,IF(P305&lt;($F$6-$E$6)/($G$6-$E$6),$E$6+SQRT(P305*($G$6-$E$6)*($F$6-$E$6)),$G$6-SQRT((1-P305)*($G$6-$E$6)*($G$6-$F$6))))</f>
        <v>0.993809860951244</v>
      </c>
      <c r="C305" s="51" t="n">
        <f aca="false">1+IF($G$7=$E$7,$F$7,IF(Q305&lt;($F$7-$E$7)/($G$7-$E$7),$E$7+SQRT(Q305*($G$7-$E$7)*($F$7-$E$7)),$G$7-SQRT((1-Q305)*($G$7-$E$7)*($G$7-$F$7))))</f>
        <v>0.90791730799628</v>
      </c>
      <c r="D305" s="51" t="n">
        <f aca="false">1+IF($G$8=$E$8,$F$8,IF(R305&lt;($F$8-$E$8)/($G$8-$E$8),$E$8+SQRT(R305*($G$8-$E$8)*($F$8-$E$8)),$G$8-SQRT((1-R305)*($G$8-$E$8)*($G$8-$F$8))))</f>
        <v>1.02968281610044</v>
      </c>
      <c r="E305" s="51" t="n">
        <f aca="false">1+IF($G$9=$E$9,$F$9,IF(S305&lt;($F$9-$E$9)/($G$9-$E$9),$E$9+SQRT(S305*($G$9-$E$9)*($F$9-$E$9)),$G$9-SQRT((1-S305)*($G$9-$E$9)*($G$9-$F$9))))</f>
        <v>0.991036144155545</v>
      </c>
      <c r="F305" s="51" t="n">
        <f aca="false">1+IF($G$10=$E$10,$F$10,IF(T305&lt;($F$10-$E$10)/($G$10-$E$10),$E$10+SQRT(T305*($G$10-$E$10)*($F$10-$E$10)),$G$10-SQRT((1-T305)*($G$10-$E$10)*($G$10-$F$10))))</f>
        <v>1.10477327437071</v>
      </c>
      <c r="G305" s="52" t="n">
        <f aca="false">IF($G$11=$E$11,$F$11,IF(U305&lt;($F$11-$E$11)/($G$11-$E$11),$E$11+SQRT(U305*($G$11-$E$11)*($F$11-$E$11)),$G$11-SQRT((1-U305)*($G$11-$E$11)*($G$11-$F$11))))</f>
        <v>0.10068843012172</v>
      </c>
      <c r="H305" s="53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-2209546548.74142</v>
      </c>
      <c r="I305" s="53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-37708440.1287348</v>
      </c>
      <c r="J305" s="53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222760872.358722</v>
      </c>
      <c r="K305" s="53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538468848.564714</v>
      </c>
      <c r="L305" s="53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656475343.047335</v>
      </c>
      <c r="M305" s="53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827983989.808077</v>
      </c>
      <c r="N305" s="53" t="n">
        <f aca="false">IF(COUNT('Business Case'!B11:G11)=0,"",H305+NPV(G305,I305:M305))</f>
        <v>-696366913.301849</v>
      </c>
      <c r="P305" s="54" t="n">
        <f aca="true">RAND()</f>
        <v>0.586686000779454</v>
      </c>
      <c r="Q305" s="54" t="n">
        <f aca="true">RAND()</f>
        <v>0.320219310847556</v>
      </c>
      <c r="R305" s="54" t="n">
        <f aca="true">RAND()</f>
        <v>0.670366243229009</v>
      </c>
      <c r="S305" s="54" t="n">
        <f aca="true">RAND()</f>
        <v>0.331503181708367</v>
      </c>
      <c r="T305" s="54" t="n">
        <f aca="true">RAND()</f>
        <v>0.718789308839934</v>
      </c>
      <c r="U305" s="54" t="n">
        <f aca="true">RAND()</f>
        <v>0.427221247513821</v>
      </c>
    </row>
    <row r="306" customFormat="false" ht="15" hidden="false" customHeight="false" outlineLevel="0" collapsed="false">
      <c r="A306" s="50" t="n">
        <v>226</v>
      </c>
      <c r="B306" s="51" t="n">
        <f aca="false">1+IF($G$6=$E$6,$F$6,IF(P306&lt;($F$6-$E$6)/($G$6-$E$6),$E$6+SQRT(P306*($G$6-$E$6)*($F$6-$E$6)),$G$6-SQRT((1-P306)*($G$6-$E$6)*($G$6-$F$6))))</f>
        <v>0.996963546906057</v>
      </c>
      <c r="C306" s="51" t="n">
        <f aca="false">1+IF($G$7=$E$7,$F$7,IF(Q306&lt;($F$7-$E$7)/($G$7-$E$7),$E$7+SQRT(Q306*($G$7-$E$7)*($F$7-$E$7)),$G$7-SQRT((1-Q306)*($G$7-$E$7)*($G$7-$F$7))))</f>
        <v>1.04096203550316</v>
      </c>
      <c r="D306" s="51" t="n">
        <f aca="false">1+IF($G$8=$E$8,$F$8,IF(R306&lt;($F$8-$E$8)/($G$8-$E$8),$E$8+SQRT(R306*($G$8-$E$8)*($F$8-$E$8)),$G$8-SQRT((1-R306)*($G$8-$E$8)*($G$8-$F$8))))</f>
        <v>0.997232525872505</v>
      </c>
      <c r="E306" s="51" t="n">
        <f aca="false">1+IF($G$9=$E$9,$F$9,IF(S306&lt;($F$9-$E$9)/($G$9-$E$9),$E$9+SQRT(S306*($G$9-$E$9)*($F$9-$E$9)),$G$9-SQRT((1-S306)*($G$9-$E$9)*($G$9-$F$9))))</f>
        <v>0.993846594302449</v>
      </c>
      <c r="F306" s="51" t="n">
        <f aca="false">1+IF($G$10=$E$10,$F$10,IF(T306&lt;($F$10-$E$10)/($G$10-$E$10),$E$10+SQRT(T306*($G$10-$E$10)*($F$10-$E$10)),$G$10-SQRT((1-T306)*($G$10-$E$10)*($G$10-$F$10))))</f>
        <v>1.00183979555341</v>
      </c>
      <c r="G306" s="52" t="n">
        <f aca="false">IF($G$11=$E$11,$F$11,IF(U306&lt;($F$11-$E$11)/($G$11-$E$11),$E$11+SQRT(U306*($G$11-$E$11)*($F$11-$E$11)),$G$11-SQRT((1-U306)*($G$11-$E$11)*($G$11-$F$11))))</f>
        <v>0.0982533531798963</v>
      </c>
      <c r="H306" s="53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-2003679591.10683</v>
      </c>
      <c r="I306" s="53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23310799.4940459</v>
      </c>
      <c r="J306" s="53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341930178.622452</v>
      </c>
      <c r="K306" s="53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710641547.528529</v>
      </c>
      <c r="L306" s="53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852714416.817472</v>
      </c>
      <c r="M306" s="53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1049979669.50458</v>
      </c>
      <c r="N306" s="53" t="n">
        <f aca="false">IF(COUNT('Business Case'!B11:G11)=0,"",H306+NPV(G306,I306:M306))</f>
        <v>80784103.7266281</v>
      </c>
      <c r="P306" s="54" t="n">
        <f aca="true">RAND()</f>
        <v>0.626795295240212</v>
      </c>
      <c r="Q306" s="54" t="n">
        <f aca="true">RAND()</f>
        <v>0.823862552568672</v>
      </c>
      <c r="R306" s="54" t="n">
        <f aca="true">RAND()</f>
        <v>0.297454866706244</v>
      </c>
      <c r="S306" s="54" t="n">
        <f aca="true">RAND()</f>
        <v>0.35228733048674</v>
      </c>
      <c r="T306" s="54" t="n">
        <f aca="true">RAND()</f>
        <v>0.178886839053709</v>
      </c>
      <c r="U306" s="54" t="n">
        <f aca="true">RAND()</f>
        <v>0.333184902310028</v>
      </c>
    </row>
    <row r="307" customFormat="false" ht="15" hidden="false" customHeight="false" outlineLevel="0" collapsed="false">
      <c r="A307" s="50" t="n">
        <v>227</v>
      </c>
      <c r="B307" s="51" t="n">
        <f aca="false">1+IF($G$6=$E$6,$F$6,IF(P307&lt;($F$6-$E$6)/($G$6-$E$6),$E$6+SQRT(P307*($G$6-$E$6)*($F$6-$E$6)),$G$6-SQRT((1-P307)*($G$6-$E$6)*($G$6-$F$6))))</f>
        <v>0.980814732461232</v>
      </c>
      <c r="C307" s="51" t="n">
        <f aca="false">1+IF($G$7=$E$7,$F$7,IF(Q307&lt;($F$7-$E$7)/($G$7-$E$7),$E$7+SQRT(Q307*($G$7-$E$7)*($F$7-$E$7)),$G$7-SQRT((1-Q307)*($G$7-$E$7)*($G$7-$F$7))))</f>
        <v>1.0257823294755</v>
      </c>
      <c r="D307" s="51" t="n">
        <f aca="false">1+IF($G$8=$E$8,$F$8,IF(R307&lt;($F$8-$E$8)/($G$8-$E$8),$E$8+SQRT(R307*($G$8-$E$8)*($F$8-$E$8)),$G$8-SQRT((1-R307)*($G$8-$E$8)*($G$8-$F$8))))</f>
        <v>0.961526166558323</v>
      </c>
      <c r="E307" s="51" t="n">
        <f aca="false">1+IF($G$9=$E$9,$F$9,IF(S307&lt;($F$9-$E$9)/($G$9-$E$9),$E$9+SQRT(S307*($G$9-$E$9)*($F$9-$E$9)),$G$9-SQRT((1-S307)*($G$9-$E$9)*($G$9-$F$9))))</f>
        <v>1.13185171175011</v>
      </c>
      <c r="F307" s="51" t="n">
        <f aca="false">1+IF($G$10=$E$10,$F$10,IF(T307&lt;($F$10-$E$10)/($G$10-$E$10),$E$10+SQRT(T307*($G$10-$E$10)*($F$10-$E$10)),$G$10-SQRT((1-T307)*($G$10-$E$10)*($G$10-$F$10))))</f>
        <v>1.00108267357731</v>
      </c>
      <c r="G307" s="52" t="n">
        <f aca="false">IF($G$11=$E$11,$F$11,IF(U307&lt;($F$11-$E$11)/($G$11-$E$11),$E$11+SQRT(U307*($G$11-$E$11)*($F$11-$E$11)),$G$11-SQRT((1-U307)*($G$11-$E$11)*($G$11-$F$11))))</f>
        <v>0.0992188274363824</v>
      </c>
      <c r="H307" s="53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-2002165347.15463</v>
      </c>
      <c r="I307" s="53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5941223.15723023</v>
      </c>
      <c r="J307" s="53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325096376.590184</v>
      </c>
      <c r="K307" s="53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694305663.702003</v>
      </c>
      <c r="L307" s="53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835461614.517739</v>
      </c>
      <c r="M307" s="53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1026701562.71054</v>
      </c>
      <c r="N307" s="53" t="n">
        <f aca="false">IF(COUNT('Business Case'!B11:G11)=0,"",H307+NPV(G307,I307:M307))</f>
        <v>7076058.02950764</v>
      </c>
      <c r="P307" s="54" t="n">
        <f aca="true">RAND()</f>
        <v>0.435401398852036</v>
      </c>
      <c r="Q307" s="54" t="n">
        <f aca="true">RAND()</f>
        <v>0.771406967843935</v>
      </c>
      <c r="R307" s="54" t="n">
        <f aca="true">RAND()</f>
        <v>0.0177136687373609</v>
      </c>
      <c r="S307" s="54" t="n">
        <f aca="true">RAND()</f>
        <v>0.991217056895969</v>
      </c>
      <c r="T307" s="54" t="n">
        <f aca="true">RAND()</f>
        <v>0.17386886142109</v>
      </c>
      <c r="U307" s="54" t="n">
        <f aca="true">RAND()</f>
        <v>0.369363328029446</v>
      </c>
    </row>
    <row r="308" customFormat="false" ht="15" hidden="false" customHeight="false" outlineLevel="0" collapsed="false">
      <c r="A308" s="50" t="n">
        <v>228</v>
      </c>
      <c r="B308" s="51" t="n">
        <f aca="false">1+IF($G$6=$E$6,$F$6,IF(P308&lt;($F$6-$E$6)/($G$6-$E$6),$E$6+SQRT(P308*($G$6-$E$6)*($F$6-$E$6)),$G$6-SQRT((1-P308)*($G$6-$E$6)*($G$6-$F$6))))</f>
        <v>0.952288203431999</v>
      </c>
      <c r="C308" s="51" t="n">
        <f aca="false">1+IF($G$7=$E$7,$F$7,IF(Q308&lt;($F$7-$E$7)/($G$7-$E$7),$E$7+SQRT(Q308*($G$7-$E$7)*($F$7-$E$7)),$G$7-SQRT((1-Q308)*($G$7-$E$7)*($G$7-$F$7))))</f>
        <v>0.856375503024937</v>
      </c>
      <c r="D308" s="51" t="n">
        <f aca="false">1+IF($G$8=$E$8,$F$8,IF(R308&lt;($F$8-$E$8)/($G$8-$E$8),$E$8+SQRT(R308*($G$8-$E$8)*($F$8-$E$8)),$G$8-SQRT((1-R308)*($G$8-$E$8)*($G$8-$F$8))))</f>
        <v>1.01062536506869</v>
      </c>
      <c r="E308" s="51" t="n">
        <f aca="false">1+IF($G$9=$E$9,$F$9,IF(S308&lt;($F$9-$E$9)/($G$9-$E$9),$E$9+SQRT(S308*($G$9-$E$9)*($F$9-$E$9)),$G$9-SQRT((1-S308)*($G$9-$E$9)*($G$9-$F$9))))</f>
        <v>1.05479969447317</v>
      </c>
      <c r="F308" s="51" t="n">
        <f aca="false">1+IF($G$10=$E$10,$F$10,IF(T308&lt;($F$10-$E$10)/($G$10-$E$10),$E$10+SQRT(T308*($G$10-$E$10)*($F$10-$E$10)),$G$10-SQRT((1-T308)*($G$10-$E$10)*($G$10-$F$10))))</f>
        <v>1.17367174897808</v>
      </c>
      <c r="G308" s="52" t="n">
        <f aca="false">IF($G$11=$E$11,$F$11,IF(U308&lt;($F$11-$E$11)/($G$11-$E$11),$E$11+SQRT(U308*($G$11-$E$11)*($F$11-$E$11)),$G$11-SQRT((1-U308)*($G$11-$E$11)*($G$11-$F$11))))</f>
        <v>0.0900780581188131</v>
      </c>
      <c r="H308" s="53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-2347343497.95617</v>
      </c>
      <c r="I308" s="53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-84723360.1969997</v>
      </c>
      <c r="J308" s="53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140189335.492033</v>
      </c>
      <c r="K308" s="53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423785618.629969</v>
      </c>
      <c r="L308" s="53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526940760.149072</v>
      </c>
      <c r="M308" s="53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681954096.407581</v>
      </c>
      <c r="N308" s="53" t="n">
        <f aca="false">IF(COUNT('Business Case'!B11:G11)=0,"",H308+NPV(G308,I308:M308))</f>
        <v>-1163662255.46222</v>
      </c>
      <c r="P308" s="54" t="n">
        <f aca="true">RAND()</f>
        <v>0.182270414543076</v>
      </c>
      <c r="Q308" s="54" t="n">
        <f aca="true">RAND()</f>
        <v>0.181135540342979</v>
      </c>
      <c r="R308" s="54" t="n">
        <f aca="true">RAND()</f>
        <v>0.467478308726295</v>
      </c>
      <c r="S308" s="54" t="n">
        <f aca="true">RAND()</f>
        <v>0.758317382069284</v>
      </c>
      <c r="T308" s="54" t="n">
        <f aca="true">RAND()</f>
        <v>0.922319974612469</v>
      </c>
      <c r="U308" s="54" t="n">
        <f aca="true">RAND()</f>
        <v>0.101567255446174</v>
      </c>
    </row>
    <row r="309" customFormat="false" ht="15" hidden="false" customHeight="false" outlineLevel="0" collapsed="false">
      <c r="A309" s="50" t="n">
        <v>229</v>
      </c>
      <c r="B309" s="51" t="n">
        <f aca="false">1+IF($G$6=$E$6,$F$6,IF(P309&lt;($F$6-$E$6)/($G$6-$E$6),$E$6+SQRT(P309*($G$6-$E$6)*($F$6-$E$6)),$G$6-SQRT((1-P309)*($G$6-$E$6)*($G$6-$F$6))))</f>
        <v>1.01616602307233</v>
      </c>
      <c r="C309" s="51" t="n">
        <f aca="false">1+IF($G$7=$E$7,$F$7,IF(Q309&lt;($F$7-$E$7)/($G$7-$E$7),$E$7+SQRT(Q309*($G$7-$E$7)*($F$7-$E$7)),$G$7-SQRT((1-Q309)*($G$7-$E$7)*($G$7-$F$7))))</f>
        <v>1.09027562672631</v>
      </c>
      <c r="D309" s="51" t="n">
        <f aca="false">1+IF($G$8=$E$8,$F$8,IF(R309&lt;($F$8-$E$8)/($G$8-$E$8),$E$8+SQRT(R309*($G$8-$E$8)*($F$8-$E$8)),$G$8-SQRT((1-R309)*($G$8-$E$8)*($G$8-$F$8))))</f>
        <v>1.00959752216231</v>
      </c>
      <c r="E309" s="51" t="n">
        <f aca="false">1+IF($G$9=$E$9,$F$9,IF(S309&lt;($F$9-$E$9)/($G$9-$E$9),$E$9+SQRT(S309*($G$9-$E$9)*($F$9-$E$9)),$G$9-SQRT((1-S309)*($G$9-$E$9)*($G$9-$F$9))))</f>
        <v>1.02266047779578</v>
      </c>
      <c r="F309" s="51" t="n">
        <f aca="false">1+IF($G$10=$E$10,$F$10,IF(T309&lt;($F$10-$E$10)/($G$10-$E$10),$E$10+SQRT(T309*($G$10-$E$10)*($F$10-$E$10)),$G$10-SQRT((1-T309)*($G$10-$E$10)*($G$10-$F$10))))</f>
        <v>1.02242706566449</v>
      </c>
      <c r="G309" s="52" t="n">
        <f aca="false">IF($G$11=$E$11,$F$11,IF(U309&lt;($F$11-$E$11)/($G$11-$E$11),$E$11+SQRT(U309*($G$11-$E$11)*($F$11-$E$11)),$G$11-SQRT((1-U309)*($G$11-$E$11)*($G$11-$F$11))))</f>
        <v>0.0942176467413982</v>
      </c>
      <c r="H309" s="53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-2044854131.32898</v>
      </c>
      <c r="I309" s="53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38861508.7943722</v>
      </c>
      <c r="J309" s="53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382821634.408612</v>
      </c>
      <c r="K309" s="53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777903113.306078</v>
      </c>
      <c r="L309" s="53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930845548.718063</v>
      </c>
      <c r="M309" s="53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1141435379.85788</v>
      </c>
      <c r="N309" s="53" t="n">
        <f aca="false">IF(COUNT('Business Case'!B11:G11)=0,"",H309+NPV(G309,I309:M309))</f>
        <v>281153151.52079</v>
      </c>
      <c r="P309" s="54" t="n">
        <f aca="true">RAND()</f>
        <v>0.847368267367719</v>
      </c>
      <c r="Q309" s="54" t="n">
        <f aca="true">RAND()</f>
        <v>0.947155544252822</v>
      </c>
      <c r="R309" s="54" t="n">
        <f aca="true">RAND()</f>
        <v>0.455159466720407</v>
      </c>
      <c r="S309" s="54" t="n">
        <f aca="true">RAND()</f>
        <v>0.567590562261373</v>
      </c>
      <c r="T309" s="54" t="n">
        <f aca="true">RAND()</f>
        <v>0.309474127439011</v>
      </c>
      <c r="U309" s="54" t="n">
        <f aca="true">RAND()</f>
        <v>0.202141478863189</v>
      </c>
    </row>
    <row r="310" customFormat="false" ht="15" hidden="false" customHeight="false" outlineLevel="0" collapsed="false">
      <c r="A310" s="50" t="n">
        <v>230</v>
      </c>
      <c r="B310" s="51" t="n">
        <f aca="false">1+IF($G$6=$E$6,$F$6,IF(P310&lt;($F$6-$E$6)/($G$6-$E$6),$E$6+SQRT(P310*($G$6-$E$6)*($F$6-$E$6)),$G$6-SQRT((1-P310)*($G$6-$E$6)*($G$6-$F$6))))</f>
        <v>0.948281461108866</v>
      </c>
      <c r="C310" s="51" t="n">
        <f aca="false">1+IF($G$7=$E$7,$F$7,IF(Q310&lt;($F$7-$E$7)/($G$7-$E$7),$E$7+SQRT(Q310*($G$7-$E$7)*($F$7-$E$7)),$G$7-SQRT((1-Q310)*($G$7-$E$7)*($G$7-$F$7))))</f>
        <v>0.96200080523999</v>
      </c>
      <c r="D310" s="51" t="n">
        <f aca="false">1+IF($G$8=$E$8,$F$8,IF(R310&lt;($F$8-$E$8)/($G$8-$E$8),$E$8+SQRT(R310*($G$8-$E$8)*($F$8-$E$8)),$G$8-SQRT((1-R310)*($G$8-$E$8)*($G$8-$F$8))))</f>
        <v>0.987538258547065</v>
      </c>
      <c r="E310" s="51" t="n">
        <f aca="false">1+IF($G$9=$E$9,$F$9,IF(S310&lt;($F$9-$E$9)/($G$9-$E$9),$E$9+SQRT(S310*($G$9-$E$9)*($F$9-$E$9)),$G$9-SQRT((1-S310)*($G$9-$E$9)*($G$9-$F$9))))</f>
        <v>0.990652977421612</v>
      </c>
      <c r="F310" s="51" t="n">
        <f aca="false">1+IF($G$10=$E$10,$F$10,IF(T310&lt;($F$10-$E$10)/($G$10-$E$10),$E$10+SQRT(T310*($G$10-$E$10)*($F$10-$E$10)),$G$10-SQRT((1-T310)*($G$10-$E$10)*($G$10-$F$10))))</f>
        <v>1.0103764949896</v>
      </c>
      <c r="G310" s="52" t="n">
        <f aca="false">IF($G$11=$E$11,$F$11,IF(U310&lt;($F$11-$E$11)/($G$11-$E$11),$E$11+SQRT(U310*($G$11-$E$11)*($F$11-$E$11)),$G$11-SQRT((1-U310)*($G$11-$E$11)*($G$11-$F$11))))</f>
        <v>0.104874901456463</v>
      </c>
      <c r="H310" s="53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-2020752989.97921</v>
      </c>
      <c r="I310" s="53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-28333456.7347299</v>
      </c>
      <c r="J310" s="53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232532501.331591</v>
      </c>
      <c r="K310" s="53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543917284.147391</v>
      </c>
      <c r="L310" s="53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662399878.111323</v>
      </c>
      <c r="M310" s="53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835799888.458025</v>
      </c>
      <c r="N310" s="53" t="n">
        <f aca="false">IF(COUNT('Business Case'!B11:G11)=0,"",H310+NPV(G310,I310:M310))</f>
        <v>-500532037.609603</v>
      </c>
      <c r="P310" s="54" t="n">
        <f aca="true">RAND()</f>
        <v>0.155406632453793</v>
      </c>
      <c r="Q310" s="54" t="n">
        <f aca="true">RAND()</f>
        <v>0.508477199602987</v>
      </c>
      <c r="R310" s="54" t="n">
        <f aca="true">RAND()</f>
        <v>0.187882780632834</v>
      </c>
      <c r="S310" s="54" t="n">
        <f aca="true">RAND()</f>
        <v>0.328718492616134</v>
      </c>
      <c r="T310" s="54" t="n">
        <f aca="true">RAND()</f>
        <v>0.234407677953769</v>
      </c>
      <c r="U310" s="54" t="n">
        <f aca="true">RAND()</f>
        <v>0.579152948785021</v>
      </c>
    </row>
    <row r="311" customFormat="false" ht="15" hidden="false" customHeight="false" outlineLevel="0" collapsed="false">
      <c r="A311" s="50" t="n">
        <v>231</v>
      </c>
      <c r="B311" s="51" t="n">
        <f aca="false">1+IF($G$6=$E$6,$F$6,IF(P311&lt;($F$6-$E$6)/($G$6-$E$6),$E$6+SQRT(P311*($G$6-$E$6)*($F$6-$E$6)),$G$6-SQRT((1-P311)*($G$6-$E$6)*($G$6-$F$6))))</f>
        <v>0.957007179911103</v>
      </c>
      <c r="C311" s="51" t="n">
        <f aca="false">1+IF($G$7=$E$7,$F$7,IF(Q311&lt;($F$7-$E$7)/($G$7-$E$7),$E$7+SQRT(Q311*($G$7-$E$7)*($F$7-$E$7)),$G$7-SQRT((1-Q311)*($G$7-$E$7)*($G$7-$F$7))))</f>
        <v>0.94984013002329</v>
      </c>
      <c r="D311" s="51" t="n">
        <f aca="false">1+IF($G$8=$E$8,$F$8,IF(R311&lt;($F$8-$E$8)/($G$8-$E$8),$E$8+SQRT(R311*($G$8-$E$8)*($F$8-$E$8)),$G$8-SQRT((1-R311)*($G$8-$E$8)*($G$8-$F$8))))</f>
        <v>1.03618734171748</v>
      </c>
      <c r="E311" s="51" t="n">
        <f aca="false">1+IF($G$9=$E$9,$F$9,IF(S311&lt;($F$9-$E$9)/($G$9-$E$9),$E$9+SQRT(S311*($G$9-$E$9)*($F$9-$E$9)),$G$9-SQRT((1-S311)*($G$9-$E$9)*($G$9-$F$9))))</f>
        <v>0.966232181318062</v>
      </c>
      <c r="F311" s="51" t="n">
        <f aca="false">1+IF($G$10=$E$10,$F$10,IF(T311&lt;($F$10-$E$10)/($G$10-$E$10),$E$10+SQRT(T311*($G$10-$E$10)*($F$10-$E$10)),$G$10-SQRT((1-T311)*($G$10-$E$10)*($G$10-$F$10))))</f>
        <v>1.05029567310888</v>
      </c>
      <c r="G311" s="52" t="n">
        <f aca="false">IF($G$11=$E$11,$F$11,IF(U311&lt;($F$11-$E$11)/($G$11-$E$11),$E$11+SQRT(U311*($G$11-$E$11)*($F$11-$E$11)),$G$11-SQRT((1-U311)*($G$11-$E$11)*($G$11-$F$11))))</f>
        <v>0.110223651976872</v>
      </c>
      <c r="H311" s="53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-2100591346.21777</v>
      </c>
      <c r="I311" s="53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-48848931.9854953</v>
      </c>
      <c r="J311" s="53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191852677.769853</v>
      </c>
      <c r="K311" s="53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485069071.180646</v>
      </c>
      <c r="L311" s="53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596718113.263447</v>
      </c>
      <c r="M311" s="53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769501560.16738</v>
      </c>
      <c r="N311" s="53" t="n">
        <f aca="false">IF(COUNT('Business Case'!B11:G11)=0,"",H311+NPV(G311,I311:M311))</f>
        <v>-785515296.823077</v>
      </c>
      <c r="P311" s="54" t="n">
        <f aca="true">RAND()</f>
        <v>0.216654570761128</v>
      </c>
      <c r="Q311" s="54" t="n">
        <f aca="true">RAND()</f>
        <v>0.462371041259662</v>
      </c>
      <c r="R311" s="54" t="n">
        <f aca="true">RAND()</f>
        <v>0.728529642861183</v>
      </c>
      <c r="S311" s="54" t="n">
        <f aca="true">RAND()</f>
        <v>0.175468073685944</v>
      </c>
      <c r="T311" s="54" t="n">
        <f aca="true">RAND()</f>
        <v>0.468242424279545</v>
      </c>
      <c r="U311" s="54" t="n">
        <f aca="true">RAND()</f>
        <v>0.739264039245413</v>
      </c>
    </row>
    <row r="312" customFormat="false" ht="15" hidden="false" customHeight="false" outlineLevel="0" collapsed="false">
      <c r="A312" s="50" t="n">
        <v>232</v>
      </c>
      <c r="B312" s="51" t="n">
        <f aca="false">1+IF($G$6=$E$6,$F$6,IF(P312&lt;($F$6-$E$6)/($G$6-$E$6),$E$6+SQRT(P312*($G$6-$E$6)*($F$6-$E$6)),$G$6-SQRT((1-P312)*($G$6-$E$6)*($G$6-$F$6))))</f>
        <v>0.968743211345003</v>
      </c>
      <c r="C312" s="51" t="n">
        <f aca="false">1+IF($G$7=$E$7,$F$7,IF(Q312&lt;($F$7-$E$7)/($G$7-$E$7),$E$7+SQRT(Q312*($G$7-$E$7)*($F$7-$E$7)),$G$7-SQRT((1-Q312)*($G$7-$E$7)*($G$7-$F$7))))</f>
        <v>0.882287997130173</v>
      </c>
      <c r="D312" s="51" t="n">
        <f aca="false">1+IF($G$8=$E$8,$F$8,IF(R312&lt;($F$8-$E$8)/($G$8-$E$8),$E$8+SQRT(R312*($G$8-$E$8)*($F$8-$E$8)),$G$8-SQRT((1-R312)*($G$8-$E$8)*($G$8-$F$8))))</f>
        <v>1.03128607844152</v>
      </c>
      <c r="E312" s="51" t="n">
        <f aca="false">1+IF($G$9=$E$9,$F$9,IF(S312&lt;($F$9-$E$9)/($G$9-$E$9),$E$9+SQRT(S312*($G$9-$E$9)*($F$9-$E$9)),$G$9-SQRT((1-S312)*($G$9-$E$9)*($G$9-$F$9))))</f>
        <v>0.939404286763252</v>
      </c>
      <c r="F312" s="51" t="n">
        <f aca="false">1+IF($G$10=$E$10,$F$10,IF(T312&lt;($F$10-$E$10)/($G$10-$E$10),$E$10+SQRT(T312*($G$10-$E$10)*($F$10-$E$10)),$G$10-SQRT((1-T312)*($G$10-$E$10)*($G$10-$F$10))))</f>
        <v>1.08504884189518</v>
      </c>
      <c r="G312" s="52" t="n">
        <f aca="false">IF($G$11=$E$11,$F$11,IF(U312&lt;($F$11-$E$11)/($G$11-$E$11),$E$11+SQRT(U312*($G$11-$E$11)*($F$11-$E$11)),$G$11-SQRT((1-U312)*($G$11-$E$11)*($G$11-$F$11))))</f>
        <v>0.101049818334645</v>
      </c>
      <c r="H312" s="53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-2170097683.79036</v>
      </c>
      <c r="I312" s="53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-52118490.4910946</v>
      </c>
      <c r="J312" s="53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182159385.50273</v>
      </c>
      <c r="K312" s="53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470689703.591313</v>
      </c>
      <c r="L312" s="53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578321124.067699</v>
      </c>
      <c r="M312" s="53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740784497.365809</v>
      </c>
      <c r="N312" s="53" t="n">
        <f aca="false">IF(COUNT('Business Case'!B11:G11)=0,"",H312+NPV(G312,I312:M312))</f>
        <v>-863272380.659641</v>
      </c>
      <c r="P312" s="54" t="n">
        <f aca="true">RAND()</f>
        <v>0.315041940401587</v>
      </c>
      <c r="Q312" s="54" t="n">
        <f aca="true">RAND()</f>
        <v>0.246140102946149</v>
      </c>
      <c r="R312" s="54" t="n">
        <f aca="true">RAND()</f>
        <v>0.685226465603644</v>
      </c>
      <c r="S312" s="54" t="n">
        <f aca="true">RAND()</f>
        <v>0.0621079126128232</v>
      </c>
      <c r="T312" s="54" t="n">
        <f aca="true">RAND()</f>
        <v>0.637214872531714</v>
      </c>
      <c r="U312" s="54" t="n">
        <f aca="true">RAND()</f>
        <v>0.441257987695313</v>
      </c>
    </row>
    <row r="313" customFormat="false" ht="15" hidden="false" customHeight="false" outlineLevel="0" collapsed="false">
      <c r="A313" s="50" t="n">
        <v>233</v>
      </c>
      <c r="B313" s="51" t="n">
        <f aca="false">1+IF($G$6=$E$6,$F$6,IF(P313&lt;($F$6-$E$6)/($G$6-$E$6),$E$6+SQRT(P313*($G$6-$E$6)*($F$6-$E$6)),$G$6-SQRT((1-P313)*($G$6-$E$6)*($G$6-$F$6))))</f>
        <v>0.962429103694303</v>
      </c>
      <c r="C313" s="51" t="n">
        <f aca="false">1+IF($G$7=$E$7,$F$7,IF(Q313&lt;($F$7-$E$7)/($G$7-$E$7),$E$7+SQRT(Q313*($G$7-$E$7)*($F$7-$E$7)),$G$7-SQRT((1-Q313)*($G$7-$E$7)*($G$7-$F$7))))</f>
        <v>1.00779730899969</v>
      </c>
      <c r="D313" s="51" t="n">
        <f aca="false">1+IF($G$8=$E$8,$F$8,IF(R313&lt;($F$8-$E$8)/($G$8-$E$8),$E$8+SQRT(R313*($G$8-$E$8)*($F$8-$E$8)),$G$8-SQRT((1-R313)*($G$8-$E$8)*($G$8-$F$8))))</f>
        <v>1.06023792060123</v>
      </c>
      <c r="E313" s="51" t="n">
        <f aca="false">1+IF($G$9=$E$9,$F$9,IF(S313&lt;($F$9-$E$9)/($G$9-$E$9),$E$9+SQRT(S313*($G$9-$E$9)*($F$9-$E$9)),$G$9-SQRT((1-S313)*($G$9-$E$9)*($G$9-$F$9))))</f>
        <v>0.989844334622035</v>
      </c>
      <c r="F313" s="51" t="n">
        <f aca="false">1+IF($G$10=$E$10,$F$10,IF(T313&lt;($F$10-$E$10)/($G$10-$E$10),$E$10+SQRT(T313*($G$10-$E$10)*($F$10-$E$10)),$G$10-SQRT((1-T313)*($G$10-$E$10)*($G$10-$F$10))))</f>
        <v>0.981973260483489</v>
      </c>
      <c r="G313" s="52" t="n">
        <f aca="false">IF($G$11=$E$11,$F$11,IF(U313&lt;($F$11-$E$11)/($G$11-$E$11),$E$11+SQRT(U313*($G$11-$E$11)*($F$11-$E$11)),$G$11-SQRT((1-U313)*($G$11-$E$11)*($G$11-$F$11))))</f>
        <v>0.123724207307705</v>
      </c>
      <c r="H313" s="53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-1963946520.96698</v>
      </c>
      <c r="I313" s="53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-41778241.7566042</v>
      </c>
      <c r="J313" s="53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205678057.526582</v>
      </c>
      <c r="K313" s="53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502233019.833943</v>
      </c>
      <c r="L313" s="53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618239353.333797</v>
      </c>
      <c r="M313" s="53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802604305.563821</v>
      </c>
      <c r="N313" s="53" t="n">
        <f aca="false">IF(COUNT('Business Case'!B11:G11)=0,"",H313+NPV(G313,I313:M313))</f>
        <v>-648665581.691108</v>
      </c>
      <c r="P313" s="54" t="n">
        <f aca="true">RAND()</f>
        <v>0.259826199204932</v>
      </c>
      <c r="Q313" s="54" t="n">
        <f aca="true">RAND()</f>
        <v>0.700420661811421</v>
      </c>
      <c r="R313" s="54" t="n">
        <f aca="true">RAND()</f>
        <v>0.894598469459085</v>
      </c>
      <c r="S313" s="54" t="n">
        <f aca="true">RAND()</f>
        <v>0.322880178547049</v>
      </c>
      <c r="T313" s="54" t="n">
        <f aca="true">RAND()</f>
        <v>0.068152625729668</v>
      </c>
      <c r="U313" s="54" t="n">
        <f aca="true">RAND()</f>
        <v>0.97374295072222</v>
      </c>
    </row>
    <row r="314" customFormat="false" ht="15" hidden="false" customHeight="false" outlineLevel="0" collapsed="false">
      <c r="A314" s="50" t="n">
        <v>234</v>
      </c>
      <c r="B314" s="51" t="n">
        <f aca="false">1+IF($G$6=$E$6,$F$6,IF(P314&lt;($F$6-$E$6)/($G$6-$E$6),$E$6+SQRT(P314*($G$6-$E$6)*($F$6-$E$6)),$G$6-SQRT((1-P314)*($G$6-$E$6)*($G$6-$F$6))))</f>
        <v>0.995152419486395</v>
      </c>
      <c r="C314" s="51" t="n">
        <f aca="false">1+IF($G$7=$E$7,$F$7,IF(Q314&lt;($F$7-$E$7)/($G$7-$E$7),$E$7+SQRT(Q314*($G$7-$E$7)*($F$7-$E$7)),$G$7-SQRT((1-Q314)*($G$7-$E$7)*($G$7-$F$7))))</f>
        <v>1.04003446731886</v>
      </c>
      <c r="D314" s="51" t="n">
        <f aca="false">1+IF($G$8=$E$8,$F$8,IF(R314&lt;($F$8-$E$8)/($G$8-$E$8),$E$8+SQRT(R314*($G$8-$E$8)*($F$8-$E$8)),$G$8-SQRT((1-R314)*($G$8-$E$8)*($G$8-$F$8))))</f>
        <v>1.03779875618611</v>
      </c>
      <c r="E314" s="51" t="n">
        <f aca="false">1+IF($G$9=$E$9,$F$9,IF(S314&lt;($F$9-$E$9)/($G$9-$E$9),$E$9+SQRT(S314*($G$9-$E$9)*($F$9-$E$9)),$G$9-SQRT((1-S314)*($G$9-$E$9)*($G$9-$F$9))))</f>
        <v>0.999379383846015</v>
      </c>
      <c r="F314" s="51" t="n">
        <f aca="false">1+IF($G$10=$E$10,$F$10,IF(T314&lt;($F$10-$E$10)/($G$10-$E$10),$E$10+SQRT(T314*($G$10-$E$10)*($F$10-$E$10)),$G$10-SQRT((1-T314)*($G$10-$E$10)*($G$10-$F$10))))</f>
        <v>1.04584379408945</v>
      </c>
      <c r="G314" s="52" t="n">
        <f aca="false">IF($G$11=$E$11,$F$11,IF(U314&lt;($F$11-$E$11)/($G$11-$E$11),$E$11+SQRT(U314*($G$11-$E$11)*($F$11-$E$11)),$G$11-SQRT((1-U314)*($G$11-$E$11)*($G$11-$F$11))))</f>
        <v>0.111624281663656</v>
      </c>
      <c r="H314" s="53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-2091687588.17891</v>
      </c>
      <c r="I314" s="53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-5155567.48954892</v>
      </c>
      <c r="J314" s="53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290039020.420194</v>
      </c>
      <c r="K314" s="53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637525798.03441</v>
      </c>
      <c r="L314" s="53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771693345.74262</v>
      </c>
      <c r="M314" s="53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968424780.303244</v>
      </c>
      <c r="N314" s="53" t="n">
        <f aca="false">IF(COUNT('Business Case'!B11:G11)=0,"",H314+NPV(G314,I314:M314))</f>
        <v>-321597599.444022</v>
      </c>
      <c r="P314" s="54" t="n">
        <f aca="true">RAND()</f>
        <v>0.603598862274327</v>
      </c>
      <c r="Q314" s="54" t="n">
        <f aca="true">RAND()</f>
        <v>0.820853061068919</v>
      </c>
      <c r="R314" s="54" t="n">
        <f aca="true">RAND()</f>
        <v>0.742067017866965</v>
      </c>
      <c r="S314" s="54" t="n">
        <f aca="true">RAND()</f>
        <v>0.395050477344541</v>
      </c>
      <c r="T314" s="54" t="n">
        <f aca="true">RAND()</f>
        <v>0.44426991450948</v>
      </c>
      <c r="U314" s="54" t="n">
        <f aca="true">RAND()</f>
        <v>0.774888650415566</v>
      </c>
    </row>
    <row r="315" customFormat="false" ht="15" hidden="false" customHeight="false" outlineLevel="0" collapsed="false">
      <c r="A315" s="50" t="n">
        <v>235</v>
      </c>
      <c r="B315" s="51" t="n">
        <f aca="false">1+IF($G$6=$E$6,$F$6,IF(P315&lt;($F$6-$E$6)/($G$6-$E$6),$E$6+SQRT(P315*($G$6-$E$6)*($F$6-$E$6)),$G$6-SQRT((1-P315)*($G$6-$E$6)*($G$6-$F$6))))</f>
        <v>0.986682578989174</v>
      </c>
      <c r="C315" s="51" t="n">
        <f aca="false">1+IF($G$7=$E$7,$F$7,IF(Q315&lt;($F$7-$E$7)/($G$7-$E$7),$E$7+SQRT(Q315*($G$7-$E$7)*($F$7-$E$7)),$G$7-SQRT((1-Q315)*($G$7-$E$7)*($G$7-$F$7))))</f>
        <v>0.925200740311509</v>
      </c>
      <c r="D315" s="51" t="n">
        <f aca="false">1+IF($G$8=$E$8,$F$8,IF(R315&lt;($F$8-$E$8)/($G$8-$E$8),$E$8+SQRT(R315*($G$8-$E$8)*($F$8-$E$8)),$G$8-SQRT((1-R315)*($G$8-$E$8)*($G$8-$F$8))))</f>
        <v>0.971173912331542</v>
      </c>
      <c r="E315" s="51" t="n">
        <f aca="false">1+IF($G$9=$E$9,$F$9,IF(S315&lt;($F$9-$E$9)/($G$9-$E$9),$E$9+SQRT(S315*($G$9-$E$9)*($F$9-$E$9)),$G$9-SQRT((1-S315)*($G$9-$E$9)*($G$9-$F$9))))</f>
        <v>1.03577284361816</v>
      </c>
      <c r="F315" s="51" t="n">
        <f aca="false">1+IF($G$10=$E$10,$F$10,IF(T315&lt;($F$10-$E$10)/($G$10-$E$10),$E$10+SQRT(T315*($G$10-$E$10)*($F$10-$E$10)),$G$10-SQRT((1-T315)*($G$10-$E$10)*($G$10-$F$10))))</f>
        <v>1.08168598938683</v>
      </c>
      <c r="G315" s="52" t="n">
        <f aca="false">IF($G$11=$E$11,$F$11,IF(U315&lt;($F$11-$E$11)/($G$11-$E$11),$E$11+SQRT(U315*($G$11-$E$11)*($F$11-$E$11)),$G$11-SQRT((1-U315)*($G$11-$E$11)*($G$11-$F$11))))</f>
        <v>0.0937769436465232</v>
      </c>
      <c r="H315" s="53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-2163371978.77367</v>
      </c>
      <c r="I315" s="53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-15041067.9114882</v>
      </c>
      <c r="J315" s="53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272697032.297533</v>
      </c>
      <c r="K315" s="53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614519431.975896</v>
      </c>
      <c r="L315" s="53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741981245.925119</v>
      </c>
      <c r="M315" s="53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915501372.26264</v>
      </c>
      <c r="N315" s="53" t="n">
        <f aca="false">IF(COUNT('Business Case'!B11:G11)=0,"",H315+NPV(G315,I315:M315))</f>
        <v>-376333386.037854</v>
      </c>
      <c r="P315" s="54" t="n">
        <f aca="true">RAND()</f>
        <v>0.500924633347624</v>
      </c>
      <c r="Q315" s="54" t="n">
        <f aca="true">RAND()</f>
        <v>0.375669432865569</v>
      </c>
      <c r="R315" s="54" t="n">
        <f aca="true">RAND()</f>
        <v>0.0597779417898404</v>
      </c>
      <c r="S315" s="54" t="n">
        <f aca="true">RAND()</f>
        <v>0.652057513197833</v>
      </c>
      <c r="T315" s="54" t="n">
        <f aca="true">RAND()</f>
        <v>0.62227191775081</v>
      </c>
      <c r="U315" s="54" t="n">
        <f aca="true">RAND()</f>
        <v>0.189804176239475</v>
      </c>
    </row>
    <row r="316" customFormat="false" ht="15" hidden="false" customHeight="false" outlineLevel="0" collapsed="false">
      <c r="A316" s="50" t="n">
        <v>236</v>
      </c>
      <c r="B316" s="51" t="n">
        <f aca="false">1+IF($G$6=$E$6,$F$6,IF(P316&lt;($F$6-$E$6)/($G$6-$E$6),$E$6+SQRT(P316*($G$6-$E$6)*($F$6-$E$6)),$G$6-SQRT((1-P316)*($G$6-$E$6)*($G$6-$F$6))))</f>
        <v>0.978662218416477</v>
      </c>
      <c r="C316" s="51" t="n">
        <f aca="false">1+IF($G$7=$E$7,$F$7,IF(Q316&lt;($F$7-$E$7)/($G$7-$E$7),$E$7+SQRT(Q316*($G$7-$E$7)*($F$7-$E$7)),$G$7-SQRT((1-Q316)*($G$7-$E$7)*($G$7-$F$7))))</f>
        <v>1.05813538453699</v>
      </c>
      <c r="D316" s="51" t="n">
        <f aca="false">1+IF($G$8=$E$8,$F$8,IF(R316&lt;($F$8-$E$8)/($G$8-$E$8),$E$8+SQRT(R316*($G$8-$E$8)*($F$8-$E$8)),$G$8-SQRT((1-R316)*($G$8-$E$8)*($G$8-$F$8))))</f>
        <v>0.967265462468518</v>
      </c>
      <c r="E316" s="51" t="n">
        <f aca="false">1+IF($G$9=$E$9,$F$9,IF(S316&lt;($F$9-$E$9)/($G$9-$E$9),$E$9+SQRT(S316*($G$9-$E$9)*($F$9-$E$9)),$G$9-SQRT((1-S316)*($G$9-$E$9)*($G$9-$F$9))))</f>
        <v>0.989283170964885</v>
      </c>
      <c r="F316" s="51" t="n">
        <f aca="false">1+IF($G$10=$E$10,$F$10,IF(T316&lt;($F$10-$E$10)/($G$10-$E$10),$E$10+SQRT(T316*($G$10-$E$10)*($F$10-$E$10)),$G$10-SQRT((1-T316)*($G$10-$E$10)*($G$10-$F$10))))</f>
        <v>1.00387711912349</v>
      </c>
      <c r="G316" s="52" t="n">
        <f aca="false">IF($G$11=$E$11,$F$11,IF(U316&lt;($F$11-$E$11)/($G$11-$E$11),$E$11+SQRT(U316*($G$11-$E$11)*($F$11-$E$11)),$G$11-SQRT((1-U316)*($G$11-$E$11)*($G$11-$F$11))))</f>
        <v>0.0963269708342663</v>
      </c>
      <c r="H316" s="53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-2007754238.24698</v>
      </c>
      <c r="I316" s="53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29499783.6695537</v>
      </c>
      <c r="J316" s="53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353746627.409442</v>
      </c>
      <c r="K316" s="53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728187327.105504</v>
      </c>
      <c r="L316" s="53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872058462.516652</v>
      </c>
      <c r="M316" s="53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1068897160.42151</v>
      </c>
      <c r="N316" s="53" t="n">
        <f aca="false">IF(COUNT('Business Case'!B11:G11)=0,"",H316+NPV(G316,I316:M316))</f>
        <v>144627388.404849</v>
      </c>
      <c r="P316" s="54" t="n">
        <f aca="true">RAND()</f>
        <v>0.4125163070801</v>
      </c>
      <c r="Q316" s="54" t="n">
        <f aca="true">RAND()</f>
        <v>0.874976184086428</v>
      </c>
      <c r="R316" s="54" t="n">
        <f aca="true">RAND()</f>
        <v>0.0397461592335718</v>
      </c>
      <c r="S316" s="54" t="n">
        <f aca="true">RAND()</f>
        <v>0.318859384701792</v>
      </c>
      <c r="T316" s="54" t="n">
        <f aca="true">RAND()</f>
        <v>0.192313700120631</v>
      </c>
      <c r="U316" s="54" t="n">
        <f aca="true">RAND()</f>
        <v>0.266569976622982</v>
      </c>
    </row>
    <row r="317" customFormat="false" ht="15" hidden="false" customHeight="false" outlineLevel="0" collapsed="false">
      <c r="A317" s="50" t="n">
        <v>237</v>
      </c>
      <c r="B317" s="51" t="n">
        <f aca="false">1+IF($G$6=$E$6,$F$6,IF(P317&lt;($F$6-$E$6)/($G$6-$E$6),$E$6+SQRT(P317*($G$6-$E$6)*($F$6-$E$6)),$G$6-SQRT((1-P317)*($G$6-$E$6)*($G$6-$F$6))))</f>
        <v>1.04573225347236</v>
      </c>
      <c r="C317" s="51" t="n">
        <f aca="false">1+IF($G$7=$E$7,$F$7,IF(Q317&lt;($F$7-$E$7)/($G$7-$E$7),$E$7+SQRT(Q317*($G$7-$E$7)*($F$7-$E$7)),$G$7-SQRT((1-Q317)*($G$7-$E$7)*($G$7-$F$7))))</f>
        <v>0.928806290649565</v>
      </c>
      <c r="D317" s="51" t="n">
        <f aca="false">1+IF($G$8=$E$8,$F$8,IF(R317&lt;($F$8-$E$8)/($G$8-$E$8),$E$8+SQRT(R317*($G$8-$E$8)*($F$8-$E$8)),$G$8-SQRT((1-R317)*($G$8-$E$8)*($G$8-$F$8))))</f>
        <v>1.00870514210971</v>
      </c>
      <c r="E317" s="51" t="n">
        <f aca="false">1+IF($G$9=$E$9,$F$9,IF(S317&lt;($F$9-$E$9)/($G$9-$E$9),$E$9+SQRT(S317*($G$9-$E$9)*($F$9-$E$9)),$G$9-SQRT((1-S317)*($G$9-$E$9)*($G$9-$F$9))))</f>
        <v>0.958182439017017</v>
      </c>
      <c r="F317" s="51" t="n">
        <f aca="false">1+IF($G$10=$E$10,$F$10,IF(T317&lt;($F$10-$E$10)/($G$10-$E$10),$E$10+SQRT(T317*($G$10-$E$10)*($F$10-$E$10)),$G$10-SQRT((1-T317)*($G$10-$E$10)*($G$10-$F$10))))</f>
        <v>1.00014109470851</v>
      </c>
      <c r="G317" s="52" t="n">
        <f aca="false">IF($G$11=$E$11,$F$11,IF(U317&lt;($F$11-$E$11)/($G$11-$E$11),$E$11+SQRT(U317*($G$11-$E$11)*($F$11-$E$11)),$G$11-SQRT((1-U317)*($G$11-$E$11)*($G$11-$F$11))))</f>
        <v>0.106755073163861</v>
      </c>
      <c r="H317" s="53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-2000282189.41702</v>
      </c>
      <c r="I317" s="53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29317923.0842406</v>
      </c>
      <c r="J317" s="53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345254793.395029</v>
      </c>
      <c r="K317" s="53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711198718.441242</v>
      </c>
      <c r="L317" s="53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850078538.496489</v>
      </c>
      <c r="M317" s="53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1034699953.23057</v>
      </c>
      <c r="N317" s="53" t="n">
        <f aca="false">IF(COUNT('Business Case'!B11:G11)=0,"",H317+NPV(G317,I317:M317))</f>
        <v>22347563.8943605</v>
      </c>
      <c r="P317" s="54" t="n">
        <f aca="true">RAND()</f>
        <v>0.997571511943443</v>
      </c>
      <c r="Q317" s="54" t="n">
        <f aca="true">RAND()</f>
        <v>0.387794952894914</v>
      </c>
      <c r="R317" s="54" t="n">
        <f aca="true">RAND()</f>
        <v>0.444349928186097</v>
      </c>
      <c r="S317" s="54" t="n">
        <f aca="true">RAND()</f>
        <v>0.135407848398755</v>
      </c>
      <c r="T317" s="54" t="n">
        <f aca="true">RAND()</f>
        <v>0.167607032620499</v>
      </c>
      <c r="U317" s="54" t="n">
        <f aca="true">RAND()</f>
        <v>0.63978225092169</v>
      </c>
    </row>
    <row r="318" customFormat="false" ht="15" hidden="false" customHeight="false" outlineLevel="0" collapsed="false">
      <c r="A318" s="50" t="n">
        <v>238</v>
      </c>
      <c r="B318" s="51" t="n">
        <f aca="false">1+IF($G$6=$E$6,$F$6,IF(P318&lt;($F$6-$E$6)/($G$6-$E$6),$E$6+SQRT(P318*($G$6-$E$6)*($F$6-$E$6)),$G$6-SQRT((1-P318)*($G$6-$E$6)*($G$6-$F$6))))</f>
        <v>1.03011034882004</v>
      </c>
      <c r="C318" s="51" t="n">
        <f aca="false">1+IF($G$7=$E$7,$F$7,IF(Q318&lt;($F$7-$E$7)/($G$7-$E$7),$E$7+SQRT(Q318*($G$7-$E$7)*($F$7-$E$7)),$G$7-SQRT((1-Q318)*($G$7-$E$7)*($G$7-$F$7))))</f>
        <v>0.916452202119013</v>
      </c>
      <c r="D318" s="51" t="n">
        <f aca="false">1+IF($G$8=$E$8,$F$8,IF(R318&lt;($F$8-$E$8)/($G$8-$E$8),$E$8+SQRT(R318*($G$8-$E$8)*($F$8-$E$8)),$G$8-SQRT((1-R318)*($G$8-$E$8)*($G$8-$F$8))))</f>
        <v>1.0311520043405</v>
      </c>
      <c r="E318" s="51" t="n">
        <f aca="false">1+IF($G$9=$E$9,$F$9,IF(S318&lt;($F$9-$E$9)/($G$9-$E$9),$E$9+SQRT(S318*($G$9-$E$9)*($F$9-$E$9)),$G$9-SQRT((1-S318)*($G$9-$E$9)*($G$9-$F$9))))</f>
        <v>0.930899193504737</v>
      </c>
      <c r="F318" s="51" t="n">
        <f aca="false">1+IF($G$10=$E$10,$F$10,IF(T318&lt;($F$10-$E$10)/($G$10-$E$10),$E$10+SQRT(T318*($G$10-$E$10)*($F$10-$E$10)),$G$10-SQRT((1-T318)*($G$10-$E$10)*($G$10-$F$10))))</f>
        <v>1.2130154602089</v>
      </c>
      <c r="G318" s="52" t="n">
        <f aca="false">IF($G$11=$E$11,$F$11,IF(U318&lt;($F$11-$E$11)/($G$11-$E$11),$E$11+SQRT(U318*($G$11-$E$11)*($F$11-$E$11)),$G$11-SQRT((1-U318)*($G$11-$E$11)*($G$11-$F$11))))</f>
        <v>0.0933408527462918</v>
      </c>
      <c r="H318" s="53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-2426030920.41781</v>
      </c>
      <c r="I318" s="53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-13137602.7243124</v>
      </c>
      <c r="J318" s="53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276339597.060312</v>
      </c>
      <c r="K318" s="53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626467569.855381</v>
      </c>
      <c r="L318" s="53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755586230.564704</v>
      </c>
      <c r="M318" s="53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935030664.860838</v>
      </c>
      <c r="N318" s="53" t="n">
        <f aca="false">IF(COUNT('Business Case'!B11:G11)=0,"",H318+NPV(G318,I318:M318))</f>
        <v>-600308180.571867</v>
      </c>
      <c r="P318" s="54" t="n">
        <f aca="true">RAND()</f>
        <v>0.94725357012527</v>
      </c>
      <c r="Q318" s="54" t="n">
        <f aca="true">RAND()</f>
        <v>0.347048561497556</v>
      </c>
      <c r="R318" s="54" t="n">
        <f aca="true">RAND()</f>
        <v>0.683996899577997</v>
      </c>
      <c r="S318" s="54" t="n">
        <f aca="true">RAND()</f>
        <v>0.0381904063697264</v>
      </c>
      <c r="T318" s="54" t="n">
        <f aca="true">RAND()</f>
        <v>0.981761917552545</v>
      </c>
      <c r="U318" s="54" t="n">
        <f aca="true">RAND()</f>
        <v>0.177978351998242</v>
      </c>
    </row>
    <row r="319" customFormat="false" ht="15" hidden="false" customHeight="false" outlineLevel="0" collapsed="false">
      <c r="A319" s="50" t="n">
        <v>239</v>
      </c>
      <c r="B319" s="51" t="n">
        <f aca="false">1+IF($G$6=$E$6,$F$6,IF(P319&lt;($F$6-$E$6)/($G$6-$E$6),$E$6+SQRT(P319*($G$6-$E$6)*($F$6-$E$6)),$G$6-SQRT((1-P319)*($G$6-$E$6)*($G$6-$F$6))))</f>
        <v>0.988702500068658</v>
      </c>
      <c r="C319" s="51" t="n">
        <f aca="false">1+IF($G$7=$E$7,$F$7,IF(Q319&lt;($F$7-$E$7)/($G$7-$E$7),$E$7+SQRT(Q319*($G$7-$E$7)*($F$7-$E$7)),$G$7-SQRT((1-Q319)*($G$7-$E$7)*($G$7-$F$7))))</f>
        <v>1.0536590595366</v>
      </c>
      <c r="D319" s="51" t="n">
        <f aca="false">1+IF($G$8=$E$8,$F$8,IF(R319&lt;($F$8-$E$8)/($G$8-$E$8),$E$8+SQRT(R319*($G$8-$E$8)*($F$8-$E$8)),$G$8-SQRT((1-R319)*($G$8-$E$8)*($G$8-$F$8))))</f>
        <v>0.988063525368618</v>
      </c>
      <c r="E319" s="51" t="n">
        <f aca="false">1+IF($G$9=$E$9,$F$9,IF(S319&lt;($F$9-$E$9)/($G$9-$E$9),$E$9+SQRT(S319*($G$9-$E$9)*($F$9-$E$9)),$G$9-SQRT((1-S319)*($G$9-$E$9)*($G$9-$F$9))))</f>
        <v>1.13533899371633</v>
      </c>
      <c r="F319" s="51" t="n">
        <f aca="false">1+IF($G$10=$E$10,$F$10,IF(T319&lt;($F$10-$E$10)/($G$10-$E$10),$E$10+SQRT(T319*($G$10-$E$10)*($F$10-$E$10)),$G$10-SQRT((1-T319)*($G$10-$E$10)*($G$10-$F$10))))</f>
        <v>1.01534959026832</v>
      </c>
      <c r="G319" s="52" t="n">
        <f aca="false">IF($G$11=$E$11,$F$11,IF(U319&lt;($F$11-$E$11)/($G$11-$E$11),$E$11+SQRT(U319*($G$11-$E$11)*($F$11-$E$11)),$G$11-SQRT((1-U319)*($G$11-$E$11)*($G$11-$F$11))))</f>
        <v>0.119320102252532</v>
      </c>
      <c r="H319" s="53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-2030699180.53664</v>
      </c>
      <c r="I319" s="53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3337133.080268</v>
      </c>
      <c r="J319" s="53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323659027.250368</v>
      </c>
      <c r="K319" s="53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694748400.933883</v>
      </c>
      <c r="L319" s="53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837525430.428275</v>
      </c>
      <c r="M319" s="53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1035542286.66891</v>
      </c>
      <c r="N319" s="53" t="n">
        <f aca="false">IF(COUNT('Business Case'!B11:G11)=0,"",H319+NPV(G319,I319:M319))</f>
        <v>-151037169.726321</v>
      </c>
      <c r="P319" s="54" t="n">
        <f aca="true">RAND()</f>
        <v>0.524542234562011</v>
      </c>
      <c r="Q319" s="54" t="n">
        <f aca="true">RAND()</f>
        <v>0.862495158379662</v>
      </c>
      <c r="R319" s="54" t="n">
        <f aca="true">RAND()</f>
        <v>0.193177595131656</v>
      </c>
      <c r="S319" s="54" t="n">
        <f aca="true">RAND()</f>
        <v>0.994268130526674</v>
      </c>
      <c r="T319" s="54" t="n">
        <f aca="true">RAND()</f>
        <v>0.265855802836727</v>
      </c>
      <c r="U319" s="54" t="n">
        <f aca="true">RAND()</f>
        <v>0.923959856069082</v>
      </c>
    </row>
    <row r="320" customFormat="false" ht="15" hidden="false" customHeight="false" outlineLevel="0" collapsed="false">
      <c r="A320" s="50" t="n">
        <v>240</v>
      </c>
      <c r="B320" s="51" t="n">
        <f aca="false">1+IF($G$6=$E$6,$F$6,IF(P320&lt;($F$6-$E$6)/($G$6-$E$6),$E$6+SQRT(P320*($G$6-$E$6)*($F$6-$E$6)),$G$6-SQRT((1-P320)*($G$6-$E$6)*($G$6-$F$6))))</f>
        <v>0.990950729889048</v>
      </c>
      <c r="C320" s="51" t="n">
        <f aca="false">1+IF($G$7=$E$7,$F$7,IF(Q320&lt;($F$7-$E$7)/($G$7-$E$7),$E$7+SQRT(Q320*($G$7-$E$7)*($F$7-$E$7)),$G$7-SQRT((1-Q320)*($G$7-$E$7)*($G$7-$F$7))))</f>
        <v>1.05453404559801</v>
      </c>
      <c r="D320" s="51" t="n">
        <f aca="false">1+IF($G$8=$E$8,$F$8,IF(R320&lt;($F$8-$E$8)/($G$8-$E$8),$E$8+SQRT(R320*($G$8-$E$8)*($F$8-$E$8)),$G$8-SQRT((1-R320)*($G$8-$E$8)*($G$8-$F$8))))</f>
        <v>1.05285423049319</v>
      </c>
      <c r="E320" s="51" t="n">
        <f aca="false">1+IF($G$9=$E$9,$F$9,IF(S320&lt;($F$9-$E$9)/($G$9-$E$9),$E$9+SQRT(S320*($G$9-$E$9)*($F$9-$E$9)),$G$9-SQRT((1-S320)*($G$9-$E$9)*($G$9-$F$9))))</f>
        <v>1.00194243168231</v>
      </c>
      <c r="F320" s="51" t="n">
        <f aca="false">1+IF($G$10=$E$10,$F$10,IF(T320&lt;($F$10-$E$10)/($G$10-$E$10),$E$10+SQRT(T320*($G$10-$E$10)*($F$10-$E$10)),$G$10-SQRT((1-T320)*($G$10-$E$10)*($G$10-$F$10))))</f>
        <v>1.00003412967046</v>
      </c>
      <c r="G320" s="52" t="n">
        <f aca="false">IF($G$11=$E$11,$F$11,IF(U320&lt;($F$11-$E$11)/($G$11-$E$11),$E$11+SQRT(U320*($G$11-$E$11)*($F$11-$E$11)),$G$11-SQRT((1-U320)*($G$11-$E$11)*($G$11-$F$11))))</f>
        <v>0.0946882482107422</v>
      </c>
      <c r="H320" s="53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-2000068259.34092</v>
      </c>
      <c r="I320" s="53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-9098616.82040404</v>
      </c>
      <c r="J320" s="53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278454741.17958</v>
      </c>
      <c r="K320" s="53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616009805.663086</v>
      </c>
      <c r="L320" s="53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747975823.708492</v>
      </c>
      <c r="M320" s="53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946607766.624924</v>
      </c>
      <c r="N320" s="53" t="n">
        <f aca="false">IF(COUNT('Business Case'!B11:G11)=0,"",H320+NPV(G320,I320:M320))</f>
        <v>-183392227.576724</v>
      </c>
      <c r="P320" s="54" t="n">
        <f aca="true">RAND()</f>
        <v>0.551469017823374</v>
      </c>
      <c r="Q320" s="54" t="n">
        <f aca="true">RAND()</f>
        <v>0.864981504446177</v>
      </c>
      <c r="R320" s="54" t="n">
        <f aca="true">RAND()</f>
        <v>0.851818427840729</v>
      </c>
      <c r="S320" s="54" t="n">
        <f aca="true">RAND()</f>
        <v>0.415438839036043</v>
      </c>
      <c r="T320" s="54" t="n">
        <f aca="true">RAND()</f>
        <v>0.166894182271936</v>
      </c>
      <c r="U320" s="54" t="n">
        <f aca="true">RAND()</f>
        <v>0.215744635500371</v>
      </c>
    </row>
    <row r="321" customFormat="false" ht="15" hidden="false" customHeight="false" outlineLevel="0" collapsed="false">
      <c r="A321" s="50" t="n">
        <v>241</v>
      </c>
      <c r="B321" s="51" t="n">
        <f aca="false">1+IF($G$6=$E$6,$F$6,IF(P321&lt;($F$6-$E$6)/($G$6-$E$6),$E$6+SQRT(P321*($G$6-$E$6)*($F$6-$E$6)),$G$6-SQRT((1-P321)*($G$6-$E$6)*($G$6-$F$6))))</f>
        <v>1.00962232631952</v>
      </c>
      <c r="C321" s="51" t="n">
        <f aca="false">1+IF($G$7=$E$7,$F$7,IF(Q321&lt;($F$7-$E$7)/($G$7-$E$7),$E$7+SQRT(Q321*($G$7-$E$7)*($F$7-$E$7)),$G$7-SQRT((1-Q321)*($G$7-$E$7)*($G$7-$F$7))))</f>
        <v>1.04009098422895</v>
      </c>
      <c r="D321" s="51" t="n">
        <f aca="false">1+IF($G$8=$E$8,$F$8,IF(R321&lt;($F$8-$E$8)/($G$8-$E$8),$E$8+SQRT(R321*($G$8-$E$8)*($F$8-$E$8)),$G$8-SQRT((1-R321)*($G$8-$E$8)*($G$8-$F$8))))</f>
        <v>1.03870089911992</v>
      </c>
      <c r="E321" s="51" t="n">
        <f aca="false">1+IF($G$9=$E$9,$F$9,IF(S321&lt;($F$9-$E$9)/($G$9-$E$9),$E$9+SQRT(S321*($G$9-$E$9)*($F$9-$E$9)),$G$9-SQRT((1-S321)*($G$9-$E$9)*($G$9-$F$9))))</f>
        <v>0.991144306284373</v>
      </c>
      <c r="F321" s="51" t="n">
        <f aca="false">1+IF($G$10=$E$10,$F$10,IF(T321&lt;($F$10-$E$10)/($G$10-$E$10),$E$10+SQRT(T321*($G$10-$E$10)*($F$10-$E$10)),$G$10-SQRT((1-T321)*($G$10-$E$10)*($G$10-$F$10))))</f>
        <v>1.02470884971003</v>
      </c>
      <c r="G321" s="52" t="n">
        <f aca="false">IF($G$11=$E$11,$F$11,IF(U321&lt;($F$11-$E$11)/($G$11-$E$11),$E$11+SQRT(U321*($G$11-$E$11)*($F$11-$E$11)),$G$11-SQRT((1-U321)*($G$11-$E$11)*($G$11-$F$11))))</f>
        <v>0.105299033606206</v>
      </c>
      <c r="H321" s="53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-2049417699.42006</v>
      </c>
      <c r="I321" s="53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9208597.26383025</v>
      </c>
      <c r="J321" s="53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316265936.11187</v>
      </c>
      <c r="K321" s="53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674558717.445412</v>
      </c>
      <c r="L321" s="53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813202587.901138</v>
      </c>
      <c r="M321" s="53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1012805420.85289</v>
      </c>
      <c r="N321" s="53" t="n">
        <f aca="false">IF(COUNT('Business Case'!B11:G11)=0,"",H321+NPV(G321,I321:M321))</f>
        <v>-123863206.075553</v>
      </c>
      <c r="P321" s="54" t="n">
        <f aca="true">RAND()</f>
        <v>0.782619129087001</v>
      </c>
      <c r="Q321" s="54" t="n">
        <f aca="true">RAND()</f>
        <v>0.821037159292425</v>
      </c>
      <c r="R321" s="54" t="n">
        <f aca="true">RAND()</f>
        <v>0.749494682086225</v>
      </c>
      <c r="S321" s="54" t="n">
        <f aca="true">RAND()</f>
        <v>0.332291382722387</v>
      </c>
      <c r="T321" s="54" t="n">
        <f aca="true">RAND()</f>
        <v>0.323251968013642</v>
      </c>
      <c r="U321" s="54" t="n">
        <f aca="true">RAND()</f>
        <v>0.593241506141784</v>
      </c>
    </row>
    <row r="322" customFormat="false" ht="15" hidden="false" customHeight="false" outlineLevel="0" collapsed="false">
      <c r="A322" s="50" t="n">
        <v>242</v>
      </c>
      <c r="B322" s="51" t="n">
        <f aca="false">1+IF($G$6=$E$6,$F$6,IF(P322&lt;($F$6-$E$6)/($G$6-$E$6),$E$6+SQRT(P322*($G$6-$E$6)*($F$6-$E$6)),$G$6-SQRT((1-P322)*($G$6-$E$6)*($G$6-$F$6))))</f>
        <v>1.01762454385491</v>
      </c>
      <c r="C322" s="51" t="n">
        <f aca="false">1+IF($G$7=$E$7,$F$7,IF(Q322&lt;($F$7-$E$7)/($G$7-$E$7),$E$7+SQRT(Q322*($G$7-$E$7)*($F$7-$E$7)),$G$7-SQRT((1-Q322)*($G$7-$E$7)*($G$7-$F$7))))</f>
        <v>1.07207988035288</v>
      </c>
      <c r="D322" s="51" t="n">
        <f aca="false">1+IF($G$8=$E$8,$F$8,IF(R322&lt;($F$8-$E$8)/($G$8-$E$8),$E$8+SQRT(R322*($G$8-$E$8)*($F$8-$E$8)),$G$8-SQRT((1-R322)*($G$8-$E$8)*($G$8-$F$8))))</f>
        <v>0.996725993735799</v>
      </c>
      <c r="E322" s="51" t="n">
        <f aca="false">1+IF($G$9=$E$9,$F$9,IF(S322&lt;($F$9-$E$9)/($G$9-$E$9),$E$9+SQRT(S322*($G$9-$E$9)*($F$9-$E$9)),$G$9-SQRT((1-S322)*($G$9-$E$9)*($G$9-$F$9))))</f>
        <v>1.0357728916127</v>
      </c>
      <c r="F322" s="51" t="n">
        <f aca="false">1+IF($G$10=$E$10,$F$10,IF(T322&lt;($F$10-$E$10)/($G$10-$E$10),$E$10+SQRT(T322*($G$10-$E$10)*($F$10-$E$10)),$G$10-SQRT((1-T322)*($G$10-$E$10)*($G$10-$F$10))))</f>
        <v>1.11174087383437</v>
      </c>
      <c r="G322" s="52" t="n">
        <f aca="false">IF($G$11=$E$11,$F$11,IF(U322&lt;($F$11-$E$11)/($G$11-$E$11),$E$11+SQRT(U322*($G$11-$E$11)*($F$11-$E$11)),$G$11-SQRT((1-U322)*($G$11-$E$11)*($G$11-$F$11))))</f>
        <v>0.0977745904268718</v>
      </c>
      <c r="H322" s="53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-2223481747.66874</v>
      </c>
      <c r="I322" s="53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31547489.5114763</v>
      </c>
      <c r="J322" s="53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378112105.185286</v>
      </c>
      <c r="K322" s="53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780263764.550815</v>
      </c>
      <c r="L322" s="53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933489392.1698</v>
      </c>
      <c r="M322" s="53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1140861882.00556</v>
      </c>
      <c r="N322" s="53" t="n">
        <f aca="false">IF(COUNT('Business Case'!B11:G11)=0,"",H322+NPV(G322,I322:M322))</f>
        <v>67176092.2751832</v>
      </c>
      <c r="P322" s="54" t="n">
        <f aca="true">RAND()</f>
        <v>0.860243978586323</v>
      </c>
      <c r="Q322" s="54" t="n">
        <f aca="true">RAND()</f>
        <v>0.910051184506353</v>
      </c>
      <c r="R322" s="54" t="n">
        <f aca="true">RAND()</f>
        <v>0.291109132079727</v>
      </c>
      <c r="S322" s="54" t="n">
        <f aca="true">RAND()</f>
        <v>0.652057805586001</v>
      </c>
      <c r="T322" s="54" t="n">
        <f aca="true">RAND()</f>
        <v>0.745125520425552</v>
      </c>
      <c r="U322" s="54" t="n">
        <f aca="true">RAND()</f>
        <v>0.315936064843041</v>
      </c>
    </row>
    <row r="323" customFormat="false" ht="15" hidden="false" customHeight="false" outlineLevel="0" collapsed="false">
      <c r="A323" s="50" t="n">
        <v>243</v>
      </c>
      <c r="B323" s="51" t="n">
        <f aca="false">1+IF($G$6=$E$6,$F$6,IF(P323&lt;($F$6-$E$6)/($G$6-$E$6),$E$6+SQRT(P323*($G$6-$E$6)*($F$6-$E$6)),$G$6-SQRT((1-P323)*($G$6-$E$6)*($G$6-$F$6))))</f>
        <v>0.983324274616654</v>
      </c>
      <c r="C323" s="51" t="n">
        <f aca="false">1+IF($G$7=$E$7,$F$7,IF(Q323&lt;($F$7-$E$7)/($G$7-$E$7),$E$7+SQRT(Q323*($G$7-$E$7)*($F$7-$E$7)),$G$7-SQRT((1-Q323)*($G$7-$E$7)*($G$7-$F$7))))</f>
        <v>1.0506872160468</v>
      </c>
      <c r="D323" s="51" t="n">
        <f aca="false">1+IF($G$8=$E$8,$F$8,IF(R323&lt;($F$8-$E$8)/($G$8-$E$8),$E$8+SQRT(R323*($G$8-$E$8)*($F$8-$E$8)),$G$8-SQRT((1-R323)*($G$8-$E$8)*($G$8-$F$8))))</f>
        <v>1.0009696674393</v>
      </c>
      <c r="E323" s="51" t="n">
        <f aca="false">1+IF($G$9=$E$9,$F$9,IF(S323&lt;($F$9-$E$9)/($G$9-$E$9),$E$9+SQRT(S323*($G$9-$E$9)*($F$9-$E$9)),$G$9-SQRT((1-S323)*($G$9-$E$9)*($G$9-$F$9))))</f>
        <v>0.977402226048306</v>
      </c>
      <c r="F323" s="51" t="n">
        <f aca="false">1+IF($G$10=$E$10,$F$10,IF(T323&lt;($F$10-$E$10)/($G$10-$E$10),$E$10+SQRT(T323*($G$10-$E$10)*($F$10-$E$10)),$G$10-SQRT((1-T323)*($G$10-$E$10)*($G$10-$F$10))))</f>
        <v>1.01259810182985</v>
      </c>
      <c r="G323" s="52" t="n">
        <f aca="false">IF($G$11=$E$11,$F$11,IF(U323&lt;($F$11-$E$11)/($G$11-$E$11),$E$11+SQRT(U323*($G$11-$E$11)*($F$11-$E$11)),$G$11-SQRT((1-U323)*($G$11-$E$11)*($G$11-$F$11))))</f>
        <v>0.111722288141038</v>
      </c>
      <c r="H323" s="53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-2025196203.6597</v>
      </c>
      <c r="I323" s="53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14042444.8948652</v>
      </c>
      <c r="J323" s="53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321890634.6352</v>
      </c>
      <c r="K323" s="53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680368729.467028</v>
      </c>
      <c r="L323" s="53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818691018.126083</v>
      </c>
      <c r="M323" s="53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1015075257.89361</v>
      </c>
      <c r="N323" s="53" t="n">
        <f aca="false">IF(COUNT('Business Case'!B11:G11)=0,"",H323+NPV(G323,I323:M323))</f>
        <v>-123239943.960955</v>
      </c>
      <c r="P323" s="54" t="n">
        <f aca="true">RAND()</f>
        <v>0.462862316026101</v>
      </c>
      <c r="Q323" s="54" t="n">
        <f aca="true">RAND()</f>
        <v>0.853881051014291</v>
      </c>
      <c r="R323" s="54" t="n">
        <f aca="true">RAND()</f>
        <v>0.346199548861205</v>
      </c>
      <c r="S323" s="54" t="n">
        <f aca="true">RAND()</f>
        <v>0.239644183889321</v>
      </c>
      <c r="T323" s="54" t="n">
        <f aca="true">RAND()</f>
        <v>0.248537849936123</v>
      </c>
      <c r="U323" s="54" t="n">
        <f aca="true">RAND()</f>
        <v>0.777283499467167</v>
      </c>
    </row>
    <row r="324" customFormat="false" ht="15" hidden="false" customHeight="false" outlineLevel="0" collapsed="false">
      <c r="A324" s="50" t="n">
        <v>244</v>
      </c>
      <c r="B324" s="51" t="n">
        <f aca="false">1+IF($G$6=$E$6,$F$6,IF(P324&lt;($F$6-$E$6)/($G$6-$E$6),$E$6+SQRT(P324*($G$6-$E$6)*($F$6-$E$6)),$G$6-SQRT((1-P324)*($G$6-$E$6)*($G$6-$F$6))))</f>
        <v>0.981569447985705</v>
      </c>
      <c r="C324" s="51" t="n">
        <f aca="false">1+IF($G$7=$E$7,$F$7,IF(Q324&lt;($F$7-$E$7)/($G$7-$E$7),$E$7+SQRT(Q324*($G$7-$E$7)*($F$7-$E$7)),$G$7-SQRT((1-Q324)*($G$7-$E$7)*($G$7-$F$7))))</f>
        <v>0.880691791768809</v>
      </c>
      <c r="D324" s="51" t="n">
        <f aca="false">1+IF($G$8=$E$8,$F$8,IF(R324&lt;($F$8-$E$8)/($G$8-$E$8),$E$8+SQRT(R324*($G$8-$E$8)*($F$8-$E$8)),$G$8-SQRT((1-R324)*($G$8-$E$8)*($G$8-$F$8))))</f>
        <v>0.978994875188948</v>
      </c>
      <c r="E324" s="51" t="n">
        <f aca="false">1+IF($G$9=$E$9,$F$9,IF(S324&lt;($F$9-$E$9)/($G$9-$E$9),$E$9+SQRT(S324*($G$9-$E$9)*($F$9-$E$9)),$G$9-SQRT((1-S324)*($G$9-$E$9)*($G$9-$F$9))))</f>
        <v>1.02751439329187</v>
      </c>
      <c r="F324" s="51" t="n">
        <f aca="false">1+IF($G$10=$E$10,$F$10,IF(T324&lt;($F$10-$E$10)/($G$10-$E$10),$E$10+SQRT(T324*($G$10-$E$10)*($F$10-$E$10)),$G$10-SQRT((1-T324)*($G$10-$E$10)*($G$10-$F$10))))</f>
        <v>1.05888429338893</v>
      </c>
      <c r="G324" s="52" t="n">
        <f aca="false">IF($G$11=$E$11,$F$11,IF(U324&lt;($F$11-$E$11)/($G$11-$E$11),$E$11+SQRT(U324*($G$11-$E$11)*($F$11-$E$11)),$G$11-SQRT((1-U324)*($G$11-$E$11)*($G$11-$F$11))))</f>
        <v>0.0997010175077158</v>
      </c>
      <c r="H324" s="53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-2117768586.77787</v>
      </c>
      <c r="I324" s="53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-30133194.7100355</v>
      </c>
      <c r="J324" s="53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236548201.12637</v>
      </c>
      <c r="K324" s="53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556173811.632222</v>
      </c>
      <c r="L324" s="53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674943353.231986</v>
      </c>
      <c r="M324" s="53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839259939.663948</v>
      </c>
      <c r="N324" s="53" t="n">
        <f aca="false">IF(COUNT('Business Case'!B11:G11)=0,"",H324+NPV(G324,I324:M324))</f>
        <v>-548046521.430656</v>
      </c>
      <c r="P324" s="54" t="n">
        <f aca="true">RAND()</f>
        <v>0.443571656312842</v>
      </c>
      <c r="Q324" s="54" t="n">
        <f aca="true">RAND()</f>
        <v>0.241848323056464</v>
      </c>
      <c r="R324" s="54" t="n">
        <f aca="true">RAND()</f>
        <v>0.112093704963026</v>
      </c>
      <c r="S324" s="54" t="n">
        <f aca="true">RAND()</f>
        <v>0.599927363982417</v>
      </c>
      <c r="T324" s="54" t="n">
        <f aca="true">RAND()</f>
        <v>0.512997155820703</v>
      </c>
      <c r="U324" s="54" t="n">
        <f aca="true">RAND()</f>
        <v>0.388130090839323</v>
      </c>
    </row>
    <row r="325" customFormat="false" ht="15" hidden="false" customHeight="false" outlineLevel="0" collapsed="false">
      <c r="A325" s="50" t="n">
        <v>245</v>
      </c>
      <c r="B325" s="51" t="n">
        <f aca="false">1+IF($G$6=$E$6,$F$6,IF(P325&lt;($F$6-$E$6)/($G$6-$E$6),$E$6+SQRT(P325*($G$6-$E$6)*($F$6-$E$6)),$G$6-SQRT((1-P325)*($G$6-$E$6)*($G$6-$F$6))))</f>
        <v>0.984910962715775</v>
      </c>
      <c r="C325" s="51" t="n">
        <f aca="false">1+IF($G$7=$E$7,$F$7,IF(Q325&lt;($F$7-$E$7)/($G$7-$E$7),$E$7+SQRT(Q325*($G$7-$E$7)*($F$7-$E$7)),$G$7-SQRT((1-Q325)*($G$7-$E$7)*($G$7-$F$7))))</f>
        <v>1.03952844667154</v>
      </c>
      <c r="D325" s="51" t="n">
        <f aca="false">1+IF($G$8=$E$8,$F$8,IF(R325&lt;($F$8-$E$8)/($G$8-$E$8),$E$8+SQRT(R325*($G$8-$E$8)*($F$8-$E$8)),$G$8-SQRT((1-R325)*($G$8-$E$8)*($G$8-$F$8))))</f>
        <v>1.00604844170187</v>
      </c>
      <c r="E325" s="51" t="n">
        <f aca="false">1+IF($G$9=$E$9,$F$9,IF(S325&lt;($F$9-$E$9)/($G$9-$E$9),$E$9+SQRT(S325*($G$9-$E$9)*($F$9-$E$9)),$G$9-SQRT((1-S325)*($G$9-$E$9)*($G$9-$F$9))))</f>
        <v>0.977552386581163</v>
      </c>
      <c r="F325" s="51" t="n">
        <f aca="false">1+IF($G$10=$E$10,$F$10,IF(T325&lt;($F$10-$E$10)/($G$10-$E$10),$E$10+SQRT(T325*($G$10-$E$10)*($F$10-$E$10)),$G$10-SQRT((1-T325)*($G$10-$E$10)*($G$10-$F$10))))</f>
        <v>1.14694330392945</v>
      </c>
      <c r="G325" s="52" t="n">
        <f aca="false">IF($G$11=$E$11,$F$11,IF(U325&lt;($F$11-$E$11)/($G$11-$E$11),$E$11+SQRT(U325*($G$11-$E$11)*($F$11-$E$11)),$G$11-SQRT((1-U325)*($G$11-$E$11)*($G$11-$F$11))))</f>
        <v>0.10806780239889</v>
      </c>
      <c r="H325" s="53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-2293886607.8589</v>
      </c>
      <c r="I325" s="53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-3551308.78493083</v>
      </c>
      <c r="J325" s="53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299675681.406264</v>
      </c>
      <c r="K325" s="53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660249836.793932</v>
      </c>
      <c r="L325" s="53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796709512.998557</v>
      </c>
      <c r="M325" s="53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991321583.440135</v>
      </c>
      <c r="N325" s="53" t="n">
        <f aca="false">IF(COUNT('Business Case'!B11:G11)=0,"",H325+NPV(G325,I325:M325))</f>
        <v>-445784467.603198</v>
      </c>
      <c r="P325" s="54" t="n">
        <f aca="true">RAND()</f>
        <v>0.480658105954652</v>
      </c>
      <c r="Q325" s="54" t="n">
        <f aca="true">RAND()</f>
        <v>0.819200531928853</v>
      </c>
      <c r="R325" s="54" t="n">
        <f aca="true">RAND()</f>
        <v>0.411540312890201</v>
      </c>
      <c r="S325" s="54" t="n">
        <f aca="true">RAND()</f>
        <v>0.240574906577366</v>
      </c>
      <c r="T325" s="54" t="n">
        <f aca="true">RAND()</f>
        <v>0.858390898600294</v>
      </c>
      <c r="U325" s="54" t="n">
        <f aca="true">RAND()</f>
        <v>0.679319138923916</v>
      </c>
    </row>
    <row r="326" customFormat="false" ht="15" hidden="false" customHeight="false" outlineLevel="0" collapsed="false">
      <c r="A326" s="50" t="n">
        <v>246</v>
      </c>
      <c r="B326" s="51" t="n">
        <f aca="false">1+IF($G$6=$E$6,$F$6,IF(P326&lt;($F$6-$E$6)/($G$6-$E$6),$E$6+SQRT(P326*($G$6-$E$6)*($F$6-$E$6)),$G$6-SQRT((1-P326)*($G$6-$E$6)*($G$6-$F$6))))</f>
        <v>0.992637821995094</v>
      </c>
      <c r="C326" s="51" t="n">
        <f aca="false">1+IF($G$7=$E$7,$F$7,IF(Q326&lt;($F$7-$E$7)/($G$7-$E$7),$E$7+SQRT(Q326*($G$7-$E$7)*($F$7-$E$7)),$G$7-SQRT((1-Q326)*($G$7-$E$7)*($G$7-$F$7))))</f>
        <v>1.0272639231514</v>
      </c>
      <c r="D326" s="51" t="n">
        <f aca="false">1+IF($G$8=$E$8,$F$8,IF(R326&lt;($F$8-$E$8)/($G$8-$E$8),$E$8+SQRT(R326*($G$8-$E$8)*($F$8-$E$8)),$G$8-SQRT((1-R326)*($G$8-$E$8)*($G$8-$F$8))))</f>
        <v>1.00465738757577</v>
      </c>
      <c r="E326" s="51" t="n">
        <f aca="false">1+IF($G$9=$E$9,$F$9,IF(S326&lt;($F$9-$E$9)/($G$9-$E$9),$E$9+SQRT(S326*($G$9-$E$9)*($F$9-$E$9)),$G$9-SQRT((1-S326)*($G$9-$E$9)*($G$9-$F$9))))</f>
        <v>1.06163615992877</v>
      </c>
      <c r="F326" s="51" t="n">
        <f aca="false">1+IF($G$10=$E$10,$F$10,IF(T326&lt;($F$10-$E$10)/($G$10-$E$10),$E$10+SQRT(T326*($G$10-$E$10)*($F$10-$E$10)),$G$10-SQRT((1-T326)*($G$10-$E$10)*($G$10-$F$10))))</f>
        <v>1.09318312813501</v>
      </c>
      <c r="G326" s="52" t="n">
        <f aca="false">IF($G$11=$E$11,$F$11,IF(U326&lt;($F$11-$E$11)/($G$11-$E$11),$E$11+SQRT(U326*($G$11-$E$11)*($F$11-$E$11)),$G$11-SQRT((1-U326)*($G$11-$E$11)*($G$11-$F$11))))</f>
        <v>0.114332398345807</v>
      </c>
      <c r="H326" s="53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-2186366256.27001</v>
      </c>
      <c r="I326" s="53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-6261879.5551865</v>
      </c>
      <c r="J326" s="53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300620516.692412</v>
      </c>
      <c r="K326" s="53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662162069.34676</v>
      </c>
      <c r="L326" s="53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799697068.794234</v>
      </c>
      <c r="M326" s="53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993521839.301413</v>
      </c>
      <c r="N326" s="53" t="n">
        <f aca="false">IF(COUNT('Business Case'!B11:G11)=0,"",H326+NPV(G326,I326:M326))</f>
        <v>-374472299.18414</v>
      </c>
      <c r="P326" s="54" t="n">
        <f aca="true">RAND()</f>
        <v>0.572117737599644</v>
      </c>
      <c r="Q326" s="54" t="n">
        <f aca="true">RAND()</f>
        <v>0.776827487997236</v>
      </c>
      <c r="R326" s="54" t="n">
        <f aca="true">RAND()</f>
        <v>0.393985750408252</v>
      </c>
      <c r="S326" s="54" t="n">
        <f aca="true">RAND()</f>
        <v>0.79178218047645</v>
      </c>
      <c r="T326" s="54" t="n">
        <f aca="true">RAND()</f>
        <v>0.672112915979704</v>
      </c>
      <c r="U326" s="54" t="n">
        <f aca="true">RAND()</f>
        <v>0.836350838937023</v>
      </c>
    </row>
    <row r="327" customFormat="false" ht="15" hidden="false" customHeight="false" outlineLevel="0" collapsed="false">
      <c r="A327" s="50" t="n">
        <v>247</v>
      </c>
      <c r="B327" s="51" t="n">
        <f aca="false">1+IF($G$6=$E$6,$F$6,IF(P327&lt;($F$6-$E$6)/($G$6-$E$6),$E$6+SQRT(P327*($G$6-$E$6)*($F$6-$E$6)),$G$6-SQRT((1-P327)*($G$6-$E$6)*($G$6-$F$6))))</f>
        <v>1.02037451118494</v>
      </c>
      <c r="C327" s="51" t="n">
        <f aca="false">1+IF($G$7=$E$7,$F$7,IF(Q327&lt;($F$7-$E$7)/($G$7-$E$7),$E$7+SQRT(Q327*($G$7-$E$7)*($F$7-$E$7)),$G$7-SQRT((1-Q327)*($G$7-$E$7)*($G$7-$F$7))))</f>
        <v>0.980951255065075</v>
      </c>
      <c r="D327" s="51" t="n">
        <f aca="false">1+IF($G$8=$E$8,$F$8,IF(R327&lt;($F$8-$E$8)/($G$8-$E$8),$E$8+SQRT(R327*($G$8-$E$8)*($F$8-$E$8)),$G$8-SQRT((1-R327)*($G$8-$E$8)*($G$8-$F$8))))</f>
        <v>1.04592086906966</v>
      </c>
      <c r="E327" s="51" t="n">
        <f aca="false">1+IF($G$9=$E$9,$F$9,IF(S327&lt;($F$9-$E$9)/($G$9-$E$9),$E$9+SQRT(S327*($G$9-$E$9)*($F$9-$E$9)),$G$9-SQRT((1-S327)*($G$9-$E$9)*($G$9-$F$9))))</f>
        <v>0.969577154610259</v>
      </c>
      <c r="F327" s="51" t="n">
        <f aca="false">1+IF($G$10=$E$10,$F$10,IF(T327&lt;($F$10-$E$10)/($G$10-$E$10),$E$10+SQRT(T327*($G$10-$E$10)*($F$10-$E$10)),$G$10-SQRT((1-T327)*($G$10-$E$10)*($G$10-$F$10))))</f>
        <v>1.05418642024155</v>
      </c>
      <c r="G327" s="52" t="n">
        <f aca="false">IF($G$11=$E$11,$F$11,IF(U327&lt;($F$11-$E$11)/($G$11-$E$11),$E$11+SQRT(U327*($G$11-$E$11)*($F$11-$E$11)),$G$11-SQRT((1-U327)*($G$11-$E$11)*($G$11-$F$11))))</f>
        <v>0.0982383007199852</v>
      </c>
      <c r="H327" s="53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-2108372840.4831</v>
      </c>
      <c r="I327" s="53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-569696.145974189</v>
      </c>
      <c r="J327" s="53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294041729.276535</v>
      </c>
      <c r="K327" s="53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641362475.711122</v>
      </c>
      <c r="L327" s="53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774158689.624458</v>
      </c>
      <c r="M327" s="53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964416919.539872</v>
      </c>
      <c r="N327" s="53" t="n">
        <f aca="false">IF(COUNT('Business Case'!B11:G11)=0,"",H327+NPV(G327,I327:M327))</f>
        <v>-245106744.383795</v>
      </c>
      <c r="P327" s="54" t="n">
        <f aca="true">RAND()</f>
        <v>0.882977388329205</v>
      </c>
      <c r="Q327" s="54" t="n">
        <f aca="true">RAND()</f>
        <v>0.584693390538079</v>
      </c>
      <c r="R327" s="54" t="n">
        <f aca="true">RAND()</f>
        <v>0.805029839854592</v>
      </c>
      <c r="S327" s="54" t="n">
        <f aca="true">RAND()</f>
        <v>0.193639217746396</v>
      </c>
      <c r="T327" s="54" t="n">
        <f aca="true">RAND()</f>
        <v>0.488760559762419</v>
      </c>
      <c r="U327" s="54" t="n">
        <f aca="true">RAND()</f>
        <v>0.332635613152612</v>
      </c>
    </row>
    <row r="328" customFormat="false" ht="15" hidden="false" customHeight="false" outlineLevel="0" collapsed="false">
      <c r="A328" s="50" t="n">
        <v>248</v>
      </c>
      <c r="B328" s="51" t="n">
        <f aca="false">1+IF($G$6=$E$6,$F$6,IF(P328&lt;($F$6-$E$6)/($G$6-$E$6),$E$6+SQRT(P328*($G$6-$E$6)*($F$6-$E$6)),$G$6-SQRT((1-P328)*($G$6-$E$6)*($G$6-$F$6))))</f>
        <v>0.957382507366231</v>
      </c>
      <c r="C328" s="51" t="n">
        <f aca="false">1+IF($G$7=$E$7,$F$7,IF(Q328&lt;($F$7-$E$7)/($G$7-$E$7),$E$7+SQRT(Q328*($G$7-$E$7)*($F$7-$E$7)),$G$7-SQRT((1-Q328)*($G$7-$E$7)*($G$7-$F$7))))</f>
        <v>0.959192523364434</v>
      </c>
      <c r="D328" s="51" t="n">
        <f aca="false">1+IF($G$8=$E$8,$F$8,IF(R328&lt;($F$8-$E$8)/($G$8-$E$8),$E$8+SQRT(R328*($G$8-$E$8)*($F$8-$E$8)),$G$8-SQRT((1-R328)*($G$8-$E$8)*($G$8-$F$8))))</f>
        <v>0.996133436235435</v>
      </c>
      <c r="E328" s="51" t="n">
        <f aca="false">1+IF($G$9=$E$9,$F$9,IF(S328&lt;($F$9-$E$9)/($G$9-$E$9),$E$9+SQRT(S328*($G$9-$E$9)*($F$9-$E$9)),$G$9-SQRT((1-S328)*($G$9-$E$9)*($G$9-$F$9))))</f>
        <v>1.00439168213279</v>
      </c>
      <c r="F328" s="51" t="n">
        <f aca="false">1+IF($G$10=$E$10,$F$10,IF(T328&lt;($F$10-$E$10)/($G$10-$E$10),$E$10+SQRT(T328*($G$10-$E$10)*($F$10-$E$10)),$G$10-SQRT((1-T328)*($G$10-$E$10)*($G$10-$F$10))))</f>
        <v>1.06402612317272</v>
      </c>
      <c r="G328" s="52" t="n">
        <f aca="false">IF($G$11=$E$11,$F$11,IF(U328&lt;($F$11-$E$11)/($G$11-$E$11),$E$11+SQRT(U328*($G$11-$E$11)*($F$11-$E$11)),$G$11-SQRT((1-U328)*($G$11-$E$11)*($G$11-$F$11))))</f>
        <v>0.10898206028128</v>
      </c>
      <c r="H328" s="53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-2128052246.34544</v>
      </c>
      <c r="I328" s="53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-33798351.2914153</v>
      </c>
      <c r="J328" s="53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229235812.110243</v>
      </c>
      <c r="K328" s="53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545471281.670537</v>
      </c>
      <c r="L328" s="53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664886272.922104</v>
      </c>
      <c r="M328" s="53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839439425.23601</v>
      </c>
      <c r="N328" s="53" t="n">
        <f aca="false">IF(COUNT('Business Case'!B11:G11)=0,"",H328+NPV(G328,I328:M328))</f>
        <v>-632142821.725956</v>
      </c>
      <c r="P328" s="54" t="n">
        <f aca="true">RAND()</f>
        <v>0.219516810109034</v>
      </c>
      <c r="Q328" s="54" t="n">
        <f aca="true">RAND()</f>
        <v>0.4976352901335</v>
      </c>
      <c r="R328" s="54" t="n">
        <f aca="true">RAND()</f>
        <v>0.283772525185192</v>
      </c>
      <c r="S328" s="54" t="n">
        <f aca="true">RAND()</f>
        <v>0.434619140476804</v>
      </c>
      <c r="T328" s="54" t="n">
        <f aca="true">RAND()</f>
        <v>0.538849561837748</v>
      </c>
      <c r="U328" s="54" t="n">
        <f aca="true">RAND()</f>
        <v>0.705497473320156</v>
      </c>
    </row>
    <row r="329" customFormat="false" ht="15" hidden="false" customHeight="false" outlineLevel="0" collapsed="false">
      <c r="A329" s="50" t="n">
        <v>249</v>
      </c>
      <c r="B329" s="51" t="n">
        <f aca="false">1+IF($G$6=$E$6,$F$6,IF(P329&lt;($F$6-$E$6)/($G$6-$E$6),$E$6+SQRT(P329*($G$6-$E$6)*($F$6-$E$6)),$G$6-SQRT((1-P329)*($G$6-$E$6)*($G$6-$F$6))))</f>
        <v>1.01349413002314</v>
      </c>
      <c r="C329" s="51" t="n">
        <f aca="false">1+IF($G$7=$E$7,$F$7,IF(Q329&lt;($F$7-$E$7)/($G$7-$E$7),$E$7+SQRT(Q329*($G$7-$E$7)*($F$7-$E$7)),$G$7-SQRT((1-Q329)*($G$7-$E$7)*($G$7-$F$7))))</f>
        <v>0.999025724358061</v>
      </c>
      <c r="D329" s="51" t="n">
        <f aca="false">1+IF($G$8=$E$8,$F$8,IF(R329&lt;($F$8-$E$8)/($G$8-$E$8),$E$8+SQRT(R329*($G$8-$E$8)*($F$8-$E$8)),$G$8-SQRT((1-R329)*($G$8-$E$8)*($G$8-$F$8))))</f>
        <v>0.988967286172883</v>
      </c>
      <c r="E329" s="51" t="n">
        <f aca="false">1+IF($G$9=$E$9,$F$9,IF(S329&lt;($F$9-$E$9)/($G$9-$E$9),$E$9+SQRT(S329*($G$9-$E$9)*($F$9-$E$9)),$G$9-SQRT((1-S329)*($G$9-$E$9)*($G$9-$F$9))))</f>
        <v>1.09439989852255</v>
      </c>
      <c r="F329" s="51" t="n">
        <f aca="false">1+IF($G$10=$E$10,$F$10,IF(T329&lt;($F$10-$E$10)/($G$10-$E$10),$E$10+SQRT(T329*($G$10-$E$10)*($F$10-$E$10)),$G$10-SQRT((1-T329)*($G$10-$E$10)*($G$10-$F$10))))</f>
        <v>1.05638027171019</v>
      </c>
      <c r="G329" s="52" t="n">
        <f aca="false">IF($G$11=$E$11,$F$11,IF(U329&lt;($F$11-$E$11)/($G$11-$E$11),$E$11+SQRT(U329*($G$11-$E$11)*($F$11-$E$11)),$G$11-SQRT((1-U329)*($G$11-$E$11)*($G$11-$F$11))))</f>
        <v>0.0985462048018041</v>
      </c>
      <c r="H329" s="53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-2112760543.42039</v>
      </c>
      <c r="I329" s="53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9786968.84477292</v>
      </c>
      <c r="J329" s="53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333323978.141</v>
      </c>
      <c r="K329" s="53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709680001.022736</v>
      </c>
      <c r="L329" s="53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852517902.595163</v>
      </c>
      <c r="M329" s="53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1044975177.53377</v>
      </c>
      <c r="N329" s="53" t="n">
        <f aca="false">IF(COUNT('Business Case'!B11:G11)=0,"",H329+NPV(G329,I329:M329))</f>
        <v>-53813068.9738572</v>
      </c>
      <c r="P329" s="54" t="n">
        <f aca="true">RAND()</f>
        <v>0.822309527631009</v>
      </c>
      <c r="Q329" s="54" t="n">
        <f aca="true">RAND()</f>
        <v>0.662343583910095</v>
      </c>
      <c r="R329" s="54" t="n">
        <f aca="true">RAND()</f>
        <v>0.202459918890579</v>
      </c>
      <c r="S329" s="54" t="n">
        <f aca="true">RAND()</f>
        <v>0.917563432418593</v>
      </c>
      <c r="T329" s="54" t="n">
        <f aca="true">RAND()</f>
        <v>0.500152010893082</v>
      </c>
      <c r="U329" s="54" t="n">
        <f aca="true">RAND()</f>
        <v>0.34396171255046</v>
      </c>
    </row>
    <row r="330" customFormat="false" ht="15" hidden="false" customHeight="false" outlineLevel="0" collapsed="false">
      <c r="A330" s="50" t="n">
        <v>250</v>
      </c>
      <c r="B330" s="51" t="n">
        <f aca="false">1+IF($G$6=$E$6,$F$6,IF(P330&lt;($F$6-$E$6)/($G$6-$E$6),$E$6+SQRT(P330*($G$6-$E$6)*($F$6-$E$6)),$G$6-SQRT((1-P330)*($G$6-$E$6)*($G$6-$F$6))))</f>
        <v>0.999229548387535</v>
      </c>
      <c r="C330" s="51" t="n">
        <f aca="false">1+IF($G$7=$E$7,$F$7,IF(Q330&lt;($F$7-$E$7)/($G$7-$E$7),$E$7+SQRT(Q330*($G$7-$E$7)*($F$7-$E$7)),$G$7-SQRT((1-Q330)*($G$7-$E$7)*($G$7-$F$7))))</f>
        <v>0.991646318710056</v>
      </c>
      <c r="D330" s="51" t="n">
        <f aca="false">1+IF($G$8=$E$8,$F$8,IF(R330&lt;($F$8-$E$8)/($G$8-$E$8),$E$8+SQRT(R330*($G$8-$E$8)*($F$8-$E$8)),$G$8-SQRT((1-R330)*($G$8-$E$8)*($G$8-$F$8))))</f>
        <v>1.0069172687599</v>
      </c>
      <c r="E330" s="51" t="n">
        <f aca="false">1+IF($G$9=$E$9,$F$9,IF(S330&lt;($F$9-$E$9)/($G$9-$E$9),$E$9+SQRT(S330*($G$9-$E$9)*($F$9-$E$9)),$G$9-SQRT((1-S330)*($G$9-$E$9)*($G$9-$F$9))))</f>
        <v>1.03431854678538</v>
      </c>
      <c r="F330" s="51" t="n">
        <f aca="false">1+IF($G$10=$E$10,$F$10,IF(T330&lt;($F$10-$E$10)/($G$10-$E$10),$E$10+SQRT(T330*($G$10-$E$10)*($F$10-$E$10)),$G$10-SQRT((1-T330)*($G$10-$E$10)*($G$10-$F$10))))</f>
        <v>1.11258350954351</v>
      </c>
      <c r="G330" s="52" t="n">
        <f aca="false">IF($G$11=$E$11,$F$11,IF(U330&lt;($F$11-$E$11)/($G$11-$E$11),$E$11+SQRT(U330*($G$11-$E$11)*($F$11-$E$11)),$G$11-SQRT((1-U330)*($G$11-$E$11)*($G$11-$F$11))))</f>
        <v>0.118759279913944</v>
      </c>
      <c r="H330" s="53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-2225167019.08702</v>
      </c>
      <c r="I330" s="53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-9256927.6299779</v>
      </c>
      <c r="J330" s="53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291191931.645414</v>
      </c>
      <c r="K330" s="53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647269966.397981</v>
      </c>
      <c r="L330" s="53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781664478.555204</v>
      </c>
      <c r="M330" s="53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970011386.748374</v>
      </c>
      <c r="N330" s="53" t="n">
        <f aca="false">IF(COUNT('Business Case'!B11:G11)=0,"",H330+NPV(G330,I330:M330))</f>
        <v>-486102616.195439</v>
      </c>
      <c r="P330" s="54" t="n">
        <f aca="true">RAND()</f>
        <v>0.656433551546275</v>
      </c>
      <c r="Q330" s="54" t="n">
        <f aca="true">RAND()</f>
        <v>0.630056112719464</v>
      </c>
      <c r="R330" s="54" t="n">
        <f aca="true">RAND()</f>
        <v>0.422373676325506</v>
      </c>
      <c r="S330" s="54" t="n">
        <f aca="true">RAND()</f>
        <v>0.643141370190787</v>
      </c>
      <c r="T330" s="54" t="n">
        <f aca="true">RAND()</f>
        <v>0.748222775341625</v>
      </c>
      <c r="U330" s="54" t="n">
        <f aca="true">RAND()</f>
        <v>0.915764141297952</v>
      </c>
    </row>
    <row r="331" customFormat="false" ht="15" hidden="false" customHeight="false" outlineLevel="0" collapsed="false">
      <c r="A331" s="50" t="n">
        <v>251</v>
      </c>
      <c r="B331" s="51" t="n">
        <f aca="false">1+IF($G$6=$E$6,$F$6,IF(P331&lt;($F$6-$E$6)/($G$6-$E$6),$E$6+SQRT(P331*($G$6-$E$6)*($F$6-$E$6)),$G$6-SQRT((1-P331)*($G$6-$E$6)*($G$6-$F$6))))</f>
        <v>0.940548686729078</v>
      </c>
      <c r="C331" s="51" t="n">
        <f aca="false">1+IF($G$7=$E$7,$F$7,IF(Q331&lt;($F$7-$E$7)/($G$7-$E$7),$E$7+SQRT(Q331*($G$7-$E$7)*($F$7-$E$7)),$G$7-SQRT((1-Q331)*($G$7-$E$7)*($G$7-$F$7))))</f>
        <v>0.99211155606157</v>
      </c>
      <c r="D331" s="51" t="n">
        <f aca="false">1+IF($G$8=$E$8,$F$8,IF(R331&lt;($F$8-$E$8)/($G$8-$E$8),$E$8+SQRT(R331*($G$8-$E$8)*($F$8-$E$8)),$G$8-SQRT((1-R331)*($G$8-$E$8)*($G$8-$F$8))))</f>
        <v>1.008288249996</v>
      </c>
      <c r="E331" s="51" t="n">
        <f aca="false">1+IF($G$9=$E$9,$F$9,IF(S331&lt;($F$9-$E$9)/($G$9-$E$9),$E$9+SQRT(S331*($G$9-$E$9)*($F$9-$E$9)),$G$9-SQRT((1-S331)*($G$9-$E$9)*($G$9-$F$9))))</f>
        <v>0.985211197441635</v>
      </c>
      <c r="F331" s="51" t="n">
        <f aca="false">1+IF($G$10=$E$10,$F$10,IF(T331&lt;($F$10-$E$10)/($G$10-$E$10),$E$10+SQRT(T331*($G$10-$E$10)*($F$10-$E$10)),$G$10-SQRT((1-T331)*($G$10-$E$10)*($G$10-$F$10))))</f>
        <v>1.10956479090705</v>
      </c>
      <c r="G331" s="52" t="n">
        <f aca="false">IF($G$11=$E$11,$F$11,IF(U331&lt;($F$11-$E$11)/($G$11-$E$11),$E$11+SQRT(U331*($G$11-$E$11)*($F$11-$E$11)),$G$11-SQRT((1-U331)*($G$11-$E$11)*($G$11-$F$11))))</f>
        <v>0.10734639226994</v>
      </c>
      <c r="H331" s="53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-2219129581.81411</v>
      </c>
      <c r="I331" s="53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-47218111.4443747</v>
      </c>
      <c r="J331" s="53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204990707.302181</v>
      </c>
      <c r="K331" s="53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512677765.59409</v>
      </c>
      <c r="L331" s="53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628996317.725625</v>
      </c>
      <c r="M331" s="53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806365520.080382</v>
      </c>
      <c r="N331" s="53" t="n">
        <f aca="false">IF(COUNT('Business Case'!B11:G11)=0,"",H331+NPV(G331,I331:M331))</f>
        <v>-814404686.422468</v>
      </c>
      <c r="P331" s="54" t="n">
        <f aca="true">RAND()</f>
        <v>0.10961306636353</v>
      </c>
      <c r="Q331" s="54" t="n">
        <f aca="true">RAND()</f>
        <v>0.632067860627494</v>
      </c>
      <c r="R331" s="54" t="n">
        <f aca="true">RAND()</f>
        <v>0.439263660746866</v>
      </c>
      <c r="S331" s="54" t="n">
        <f aca="true">RAND()</f>
        <v>0.290437926777495</v>
      </c>
      <c r="T331" s="54" t="n">
        <f aca="true">RAND()</f>
        <v>0.737039360626936</v>
      </c>
      <c r="U331" s="54" t="n">
        <f aca="true">RAND()</f>
        <v>0.657876037875044</v>
      </c>
    </row>
    <row r="332" customFormat="false" ht="15" hidden="false" customHeight="false" outlineLevel="0" collapsed="false">
      <c r="A332" s="50" t="n">
        <v>252</v>
      </c>
      <c r="B332" s="51" t="n">
        <f aca="false">1+IF($G$6=$E$6,$F$6,IF(P332&lt;($F$6-$E$6)/($G$6-$E$6),$E$6+SQRT(P332*($G$6-$E$6)*($F$6-$E$6)),$G$6-SQRT((1-P332)*($G$6-$E$6)*($G$6-$F$6))))</f>
        <v>0.9619732856859</v>
      </c>
      <c r="C332" s="51" t="n">
        <f aca="false">1+IF($G$7=$E$7,$F$7,IF(Q332&lt;($F$7-$E$7)/($G$7-$E$7),$E$7+SQRT(Q332*($G$7-$E$7)*($F$7-$E$7)),$G$7-SQRT((1-Q332)*($G$7-$E$7)*($G$7-$F$7))))</f>
        <v>1.0334804584146</v>
      </c>
      <c r="D332" s="51" t="n">
        <f aca="false">1+IF($G$8=$E$8,$F$8,IF(R332&lt;($F$8-$E$8)/($G$8-$E$8),$E$8+SQRT(R332*($G$8-$E$8)*($F$8-$E$8)),$G$8-SQRT((1-R332)*($G$8-$E$8)*($G$8-$F$8))))</f>
        <v>1.00415434969383</v>
      </c>
      <c r="E332" s="51" t="n">
        <f aca="false">1+IF($G$9=$E$9,$F$9,IF(S332&lt;($F$9-$E$9)/($G$9-$E$9),$E$9+SQRT(S332*($G$9-$E$9)*($F$9-$E$9)),$G$9-SQRT((1-S332)*($G$9-$E$9)*($G$9-$F$9))))</f>
        <v>0.941679519223108</v>
      </c>
      <c r="F332" s="51" t="n">
        <f aca="false">1+IF($G$10=$E$10,$F$10,IF(T332&lt;($F$10-$E$10)/($G$10-$E$10),$E$10+SQRT(T332*($G$10-$E$10)*($F$10-$E$10)),$G$10-SQRT((1-T332)*($G$10-$E$10)*($G$10-$F$10))))</f>
        <v>1.00299156838888</v>
      </c>
      <c r="G332" s="52" t="n">
        <f aca="false">IF($G$11=$E$11,$F$11,IF(U332&lt;($F$11-$E$11)/($G$11-$E$11),$E$11+SQRT(U332*($G$11-$E$11)*($F$11-$E$11)),$G$11-SQRT((1-U332)*($G$11-$E$11)*($G$11-$F$11))))</f>
        <v>0.105989987206402</v>
      </c>
      <c r="H332" s="53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-2005983136.77777</v>
      </c>
      <c r="I332" s="53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-2696033.98158932</v>
      </c>
      <c r="J332" s="53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280352238.412682</v>
      </c>
      <c r="K332" s="53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613550089.226396</v>
      </c>
      <c r="L332" s="53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742258394.626784</v>
      </c>
      <c r="M332" s="53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931232241.606085</v>
      </c>
      <c r="N332" s="53" t="n">
        <f aca="false">IF(COUNT('Business Case'!B11:G11)=0,"",H332+NPV(G332,I332:M332))</f>
        <v>-266896695.877548</v>
      </c>
      <c r="P332" s="54" t="n">
        <f aca="true">RAND()</f>
        <v>0.256045875913747</v>
      </c>
      <c r="Q332" s="54" t="n">
        <f aca="true">RAND()</f>
        <v>0.798862169314489</v>
      </c>
      <c r="R332" s="54" t="n">
        <f aca="true">RAND()</f>
        <v>0.38757408782588</v>
      </c>
      <c r="S332" s="54" t="n">
        <f aca="true">RAND()</f>
        <v>0.0694872929067756</v>
      </c>
      <c r="T332" s="54" t="n">
        <f aca="true">RAND()</f>
        <v>0.186491129506884</v>
      </c>
      <c r="U332" s="54" t="n">
        <f aca="true">RAND()</f>
        <v>0.6156795237675</v>
      </c>
    </row>
    <row r="333" customFormat="false" ht="15" hidden="false" customHeight="false" outlineLevel="0" collapsed="false">
      <c r="A333" s="50" t="n">
        <v>253</v>
      </c>
      <c r="B333" s="51" t="n">
        <f aca="false">1+IF($G$6=$E$6,$F$6,IF(P333&lt;($F$6-$E$6)/($G$6-$E$6),$E$6+SQRT(P333*($G$6-$E$6)*($F$6-$E$6)),$G$6-SQRT((1-P333)*($G$6-$E$6)*($G$6-$F$6))))</f>
        <v>0.927856372580647</v>
      </c>
      <c r="C333" s="51" t="n">
        <f aca="false">1+IF($G$7=$E$7,$F$7,IF(Q333&lt;($F$7-$E$7)/($G$7-$E$7),$E$7+SQRT(Q333*($G$7-$E$7)*($F$7-$E$7)),$G$7-SQRT((1-Q333)*($G$7-$E$7)*($G$7-$F$7))))</f>
        <v>0.839110833776639</v>
      </c>
      <c r="D333" s="51" t="n">
        <f aca="false">1+IF($G$8=$E$8,$F$8,IF(R333&lt;($F$8-$E$8)/($G$8-$E$8),$E$8+SQRT(R333*($G$8-$E$8)*($F$8-$E$8)),$G$8-SQRT((1-R333)*($G$8-$E$8)*($G$8-$F$8))))</f>
        <v>1.03895642085985</v>
      </c>
      <c r="E333" s="51" t="n">
        <f aca="false">1+IF($G$9=$E$9,$F$9,IF(S333&lt;($F$9-$E$9)/($G$9-$E$9),$E$9+SQRT(S333*($G$9-$E$9)*($F$9-$E$9)),$G$9-SQRT((1-S333)*($G$9-$E$9)*($G$9-$F$9))))</f>
        <v>0.966756617955311</v>
      </c>
      <c r="F333" s="51" t="n">
        <f aca="false">1+IF($G$10=$E$10,$F$10,IF(T333&lt;($F$10-$E$10)/($G$10-$E$10),$E$10+SQRT(T333*($G$10-$E$10)*($F$10-$E$10)),$G$10-SQRT((1-T333)*($G$10-$E$10)*($G$10-$F$10))))</f>
        <v>1.05497424959152</v>
      </c>
      <c r="G333" s="52" t="n">
        <f aca="false">IF($G$11=$E$11,$F$11,IF(U333&lt;($F$11-$E$11)/($G$11-$E$11),$E$11+SQRT(U333*($G$11-$E$11)*($F$11-$E$11)),$G$11-SQRT((1-U333)*($G$11-$E$11)*($G$11-$F$11))))</f>
        <v>0.0887988135842126</v>
      </c>
      <c r="H333" s="53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-2109948499.18304</v>
      </c>
      <c r="I333" s="53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-91914717.6641655</v>
      </c>
      <c r="J333" s="53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99502074.2004567</v>
      </c>
      <c r="K333" s="53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343667578.544655</v>
      </c>
      <c r="L333" s="53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434380704.830456</v>
      </c>
      <c r="M333" s="53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582372114.317222</v>
      </c>
      <c r="N333" s="53" t="n">
        <f aca="false">IF(COUNT('Business Case'!B11:G11)=0,"",H333+NPV(G333,I333:M333))</f>
        <v>-1154498629.74757</v>
      </c>
      <c r="P333" s="54" t="n">
        <f aca="true">RAND()</f>
        <v>0.0517318328901205</v>
      </c>
      <c r="Q333" s="54" t="n">
        <f aca="true">RAND()</f>
        <v>0.143346844992827</v>
      </c>
      <c r="R333" s="54" t="n">
        <f aca="true">RAND()</f>
        <v>0.751578763050677</v>
      </c>
      <c r="S333" s="54" t="n">
        <f aca="true">RAND()</f>
        <v>0.178257841633253</v>
      </c>
      <c r="T333" s="54" t="n">
        <f aca="true">RAND()</f>
        <v>0.492866089034788</v>
      </c>
      <c r="U333" s="54" t="n">
        <f aca="true">RAND()</f>
        <v>0.0774191204897244</v>
      </c>
    </row>
    <row r="334" customFormat="false" ht="15" hidden="false" customHeight="false" outlineLevel="0" collapsed="false">
      <c r="A334" s="50" t="n">
        <v>254</v>
      </c>
      <c r="B334" s="51" t="n">
        <f aca="false">1+IF($G$6=$E$6,$F$6,IF(P334&lt;($F$6-$E$6)/($G$6-$E$6),$E$6+SQRT(P334*($G$6-$E$6)*($F$6-$E$6)),$G$6-SQRT((1-P334)*($G$6-$E$6)*($G$6-$F$6))))</f>
        <v>1.014452784269</v>
      </c>
      <c r="C334" s="51" t="n">
        <f aca="false">1+IF($G$7=$E$7,$F$7,IF(Q334&lt;($F$7-$E$7)/($G$7-$E$7),$E$7+SQRT(Q334*($G$7-$E$7)*($F$7-$E$7)),$G$7-SQRT((1-Q334)*($G$7-$E$7)*($G$7-$F$7))))</f>
        <v>0.919300805575986</v>
      </c>
      <c r="D334" s="51" t="n">
        <f aca="false">1+IF($G$8=$E$8,$F$8,IF(R334&lt;($F$8-$E$8)/($G$8-$E$8),$E$8+SQRT(R334*($G$8-$E$8)*($F$8-$E$8)),$G$8-SQRT((1-R334)*($G$8-$E$8)*($G$8-$F$8))))</f>
        <v>1.04657136164288</v>
      </c>
      <c r="E334" s="51" t="n">
        <f aca="false">1+IF($G$9=$E$9,$F$9,IF(S334&lt;($F$9-$E$9)/($G$9-$E$9),$E$9+SQRT(S334*($G$9-$E$9)*($F$9-$E$9)),$G$9-SQRT((1-S334)*($G$9-$E$9)*($G$9-$F$9))))</f>
        <v>1.0539952170017</v>
      </c>
      <c r="F334" s="51" t="n">
        <f aca="false">1+IF($G$10=$E$10,$F$10,IF(T334&lt;($F$10-$E$10)/($G$10-$E$10),$E$10+SQRT(T334*($G$10-$E$10)*($F$10-$E$10)),$G$10-SQRT((1-T334)*($G$10-$E$10)*($G$10-$F$10))))</f>
        <v>0.989675718275891</v>
      </c>
      <c r="G334" s="52" t="n">
        <f aca="false">IF($G$11=$E$11,$F$11,IF(U334&lt;($F$11-$E$11)/($G$11-$E$11),$E$11+SQRT(U334*($G$11-$E$11)*($F$11-$E$11)),$G$11-SQRT((1-U334)*($G$11-$E$11)*($G$11-$F$11))))</f>
        <v>0.0981144458417064</v>
      </c>
      <c r="H334" s="53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-1979351436.55178</v>
      </c>
      <c r="I334" s="53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-25860247.2060395</v>
      </c>
      <c r="J334" s="53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245470520.924724</v>
      </c>
      <c r="K334" s="53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566285074.969282</v>
      </c>
      <c r="L334" s="53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688958880.113917</v>
      </c>
      <c r="M334" s="53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866225066.836347</v>
      </c>
      <c r="N334" s="53" t="n">
        <f aca="false">IF(COUNT('Business Case'!B11:G11)=0,"",H334+NPV(G334,I334:M334))</f>
        <v>-355382102.184896</v>
      </c>
      <c r="P334" s="54" t="n">
        <f aca="true">RAND()</f>
        <v>0.831519393836525</v>
      </c>
      <c r="Q334" s="54" t="n">
        <f aca="true">RAND()</f>
        <v>0.356243283898344</v>
      </c>
      <c r="R334" s="54" t="n">
        <f aca="true">RAND()</f>
        <v>0.809692040220257</v>
      </c>
      <c r="S334" s="54" t="n">
        <f aca="true">RAND()</f>
        <v>0.754215510438651</v>
      </c>
      <c r="T334" s="54" t="n">
        <f aca="true">RAND()</f>
        <v>0.104944174713856</v>
      </c>
      <c r="U334" s="54" t="n">
        <f aca="true">RAND()</f>
        <v>0.328133148152116</v>
      </c>
    </row>
    <row r="335" customFormat="false" ht="15" hidden="false" customHeight="false" outlineLevel="0" collapsed="false">
      <c r="A335" s="50" t="n">
        <v>255</v>
      </c>
      <c r="B335" s="51" t="n">
        <f aca="false">1+IF($G$6=$E$6,$F$6,IF(P335&lt;($F$6-$E$6)/($G$6-$E$6),$E$6+SQRT(P335*($G$6-$E$6)*($F$6-$E$6)),$G$6-SQRT((1-P335)*($G$6-$E$6)*($G$6-$F$6))))</f>
        <v>0.98621810712161</v>
      </c>
      <c r="C335" s="51" t="n">
        <f aca="false">1+IF($G$7=$E$7,$F$7,IF(Q335&lt;($F$7-$E$7)/($G$7-$E$7),$E$7+SQRT(Q335*($G$7-$E$7)*($F$7-$E$7)),$G$7-SQRT((1-Q335)*($G$7-$E$7)*($G$7-$F$7))))</f>
        <v>1.02641366817617</v>
      </c>
      <c r="D335" s="51" t="n">
        <f aca="false">1+IF($G$8=$E$8,$F$8,IF(R335&lt;($F$8-$E$8)/($G$8-$E$8),$E$8+SQRT(R335*($G$8-$E$8)*($F$8-$E$8)),$G$8-SQRT((1-R335)*($G$8-$E$8)*($G$8-$F$8))))</f>
        <v>0.998919275391537</v>
      </c>
      <c r="E335" s="51" t="n">
        <f aca="false">1+IF($G$9=$E$9,$F$9,IF(S335&lt;($F$9-$E$9)/($G$9-$E$9),$E$9+SQRT(S335*($G$9-$E$9)*($F$9-$E$9)),$G$9-SQRT((1-S335)*($G$9-$E$9)*($G$9-$F$9))))</f>
        <v>1.00422807368586</v>
      </c>
      <c r="F335" s="51" t="n">
        <f aca="false">1+IF($G$10=$E$10,$F$10,IF(T335&lt;($F$10-$E$10)/($G$10-$E$10),$E$10+SQRT(T335*($G$10-$E$10)*($F$10-$E$10)),$G$10-SQRT((1-T335)*($G$10-$E$10)*($G$10-$F$10))))</f>
        <v>1.10754738012384</v>
      </c>
      <c r="G335" s="52" t="n">
        <f aca="false">IF($G$11=$E$11,$F$11,IF(U335&lt;($F$11-$E$11)/($G$11-$E$11),$E$11+SQRT(U335*($G$11-$E$11)*($F$11-$E$11)),$G$11-SQRT((1-U335)*($G$11-$E$11)*($G$11-$F$11))))</f>
        <v>0.0896220763295045</v>
      </c>
      <c r="H335" s="53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-2215094760.24767</v>
      </c>
      <c r="I335" s="53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-1785590.84859195</v>
      </c>
      <c r="J335" s="53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302460748.291664</v>
      </c>
      <c r="K335" s="53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662084456.438113</v>
      </c>
      <c r="L335" s="53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798483876.083755</v>
      </c>
      <c r="M335" s="53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990895729.044318</v>
      </c>
      <c r="N335" s="53" t="n">
        <f aca="false">IF(COUNT('Business Case'!B11:G11)=0,"",H335+NPV(G335,I335:M335))</f>
        <v>-238615716.676023</v>
      </c>
      <c r="P335" s="54" t="n">
        <f aca="true">RAND()</f>
        <v>0.495570799708899</v>
      </c>
      <c r="Q335" s="54" t="n">
        <f aca="true">RAND()</f>
        <v>0.773724719797502</v>
      </c>
      <c r="R335" s="54" t="n">
        <f aca="true">RAND()</f>
        <v>0.319079400644398</v>
      </c>
      <c r="S335" s="54" t="n">
        <f aca="true">RAND()</f>
        <v>0.433347879964403</v>
      </c>
      <c r="T335" s="54" t="n">
        <f aca="true">RAND()</f>
        <v>0.729430014538897</v>
      </c>
      <c r="U335" s="54" t="n">
        <f aca="true">RAND()</f>
        <v>0.0925843528908103</v>
      </c>
    </row>
    <row r="336" customFormat="false" ht="15" hidden="false" customHeight="false" outlineLevel="0" collapsed="false">
      <c r="A336" s="50" t="n">
        <v>256</v>
      </c>
      <c r="B336" s="51" t="n">
        <f aca="false">1+IF($G$6=$E$6,$F$6,IF(P336&lt;($F$6-$E$6)/($G$6-$E$6),$E$6+SQRT(P336*($G$6-$E$6)*($F$6-$E$6)),$G$6-SQRT((1-P336)*($G$6-$E$6)*($G$6-$F$6))))</f>
        <v>1.00691949780575</v>
      </c>
      <c r="C336" s="51" t="n">
        <f aca="false">1+IF($G$7=$E$7,$F$7,IF(Q336&lt;($F$7-$E$7)/($G$7-$E$7),$E$7+SQRT(Q336*($G$7-$E$7)*($F$7-$E$7)),$G$7-SQRT((1-Q336)*($G$7-$E$7)*($G$7-$F$7))))</f>
        <v>0.972845597685948</v>
      </c>
      <c r="D336" s="51" t="n">
        <f aca="false">1+IF($G$8=$E$8,$F$8,IF(R336&lt;($F$8-$E$8)/($G$8-$E$8),$E$8+SQRT(R336*($G$8-$E$8)*($F$8-$E$8)),$G$8-SQRT((1-R336)*($G$8-$E$8)*($G$8-$F$8))))</f>
        <v>1.05171162685457</v>
      </c>
      <c r="E336" s="51" t="n">
        <f aca="false">1+IF($G$9=$E$9,$F$9,IF(S336&lt;($F$9-$E$9)/($G$9-$E$9),$E$9+SQRT(S336*($G$9-$E$9)*($F$9-$E$9)),$G$9-SQRT((1-S336)*($G$9-$E$9)*($G$9-$F$9))))</f>
        <v>0.984366015402407</v>
      </c>
      <c r="F336" s="51" t="n">
        <f aca="false">1+IF($G$10=$E$10,$F$10,IF(T336&lt;($F$10-$E$10)/($G$10-$E$10),$E$10+SQRT(T336*($G$10-$E$10)*($F$10-$E$10)),$G$10-SQRT((1-T336)*($G$10-$E$10)*($G$10-$F$10))))</f>
        <v>1.02092670546547</v>
      </c>
      <c r="G336" s="52" t="n">
        <f aca="false">IF($G$11=$E$11,$F$11,IF(U336&lt;($F$11-$E$11)/($G$11-$E$11),$E$11+SQRT(U336*($G$11-$E$11)*($F$11-$E$11)),$G$11-SQRT((1-U336)*($G$11-$E$11)*($G$11-$F$11))))</f>
        <v>0.10175783206388</v>
      </c>
      <c r="H336" s="53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-2041853410.93094</v>
      </c>
      <c r="I336" s="53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-14279040.2994164</v>
      </c>
      <c r="J336" s="53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264292719.420383</v>
      </c>
      <c r="K336" s="53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593910814.413456</v>
      </c>
      <c r="L336" s="53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720622255.708352</v>
      </c>
      <c r="M336" s="53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906820290.010654</v>
      </c>
      <c r="N336" s="53" t="n">
        <f aca="false">IF(COUNT('Business Case'!B11:G11)=0,"",H336+NPV(G336,I336:M336))</f>
        <v>-345357081.977295</v>
      </c>
      <c r="P336" s="54" t="n">
        <f aca="true">RAND()</f>
        <v>0.752542710758825</v>
      </c>
      <c r="Q336" s="54" t="n">
        <f aca="true">RAND()</f>
        <v>0.551442371678535</v>
      </c>
      <c r="R336" s="54" t="n">
        <f aca="true">RAND()</f>
        <v>0.844548867931208</v>
      </c>
      <c r="S336" s="54" t="n">
        <f aca="true">RAND()</f>
        <v>0.284704982195169</v>
      </c>
      <c r="T336" s="54" t="n">
        <f aca="true">RAND()</f>
        <v>0.300339009747959</v>
      </c>
      <c r="U336" s="54" t="n">
        <f aca="true">RAND()</f>
        <v>0.468253300178677</v>
      </c>
    </row>
    <row r="337" customFormat="false" ht="15" hidden="false" customHeight="false" outlineLevel="0" collapsed="false">
      <c r="A337" s="50" t="n">
        <v>257</v>
      </c>
      <c r="B337" s="51" t="n">
        <f aca="false">1+IF($G$6=$E$6,$F$6,IF(P337&lt;($F$6-$E$6)/($G$6-$E$6),$E$6+SQRT(P337*($G$6-$E$6)*($F$6-$E$6)),$G$6-SQRT((1-P337)*($G$6-$E$6)*($G$6-$F$6))))</f>
        <v>1.00985907321352</v>
      </c>
      <c r="C337" s="51" t="n">
        <f aca="false">1+IF($G$7=$E$7,$F$7,IF(Q337&lt;($F$7-$E$7)/($G$7-$E$7),$E$7+SQRT(Q337*($G$7-$E$7)*($F$7-$E$7)),$G$7-SQRT((1-Q337)*($G$7-$E$7)*($G$7-$F$7))))</f>
        <v>0.846548510793948</v>
      </c>
      <c r="D337" s="51" t="n">
        <f aca="false">1+IF($G$8=$E$8,$F$8,IF(R337&lt;($F$8-$E$8)/($G$8-$E$8),$E$8+SQRT(R337*($G$8-$E$8)*($F$8-$E$8)),$G$8-SQRT((1-R337)*($G$8-$E$8)*($G$8-$F$8))))</f>
        <v>1.04927168343584</v>
      </c>
      <c r="E337" s="51" t="n">
        <f aca="false">1+IF($G$9=$E$9,$F$9,IF(S337&lt;($F$9-$E$9)/($G$9-$E$9),$E$9+SQRT(S337*($G$9-$E$9)*($F$9-$E$9)),$G$9-SQRT((1-S337)*($G$9-$E$9)*($G$9-$F$9))))</f>
        <v>0.96372104469865</v>
      </c>
      <c r="F337" s="51" t="n">
        <f aca="false">1+IF($G$10=$E$10,$F$10,IF(T337&lt;($F$10-$E$10)/($G$10-$E$10),$E$10+SQRT(T337*($G$10-$E$10)*($F$10-$E$10)),$G$10-SQRT((1-T337)*($G$10-$E$10)*($G$10-$F$10))))</f>
        <v>1.06150061302488</v>
      </c>
      <c r="G337" s="52" t="n">
        <f aca="false">IF($G$11=$E$11,$F$11,IF(U337&lt;($F$11-$E$11)/($G$11-$E$11),$E$11+SQRT(U337*($G$11-$E$11)*($F$11-$E$11)),$G$11-SQRT((1-U337)*($G$11-$E$11)*($G$11-$F$11))))</f>
        <v>0.094631377243207</v>
      </c>
      <c r="H337" s="53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-2123001226.04975</v>
      </c>
      <c r="I337" s="53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-42006369.914139</v>
      </c>
      <c r="J337" s="53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203496194.995345</v>
      </c>
      <c r="K337" s="53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502073790.556074</v>
      </c>
      <c r="L337" s="53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613453139.502561</v>
      </c>
      <c r="M337" s="53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775951523.040849</v>
      </c>
      <c r="N337" s="53" t="n">
        <f aca="false">IF(COUNT('Business Case'!B11:G11)=0,"",H337+NPV(G337,I337:M337))</f>
        <v>-687737165.716168</v>
      </c>
      <c r="P337" s="54" t="n">
        <f aca="true">RAND()</f>
        <v>0.785160799562945</v>
      </c>
      <c r="Q337" s="54" t="n">
        <f aca="true">RAND()</f>
        <v>0.159084933451288</v>
      </c>
      <c r="R337" s="54" t="n">
        <f aca="true">RAND()</f>
        <v>0.828442526571073</v>
      </c>
      <c r="S337" s="54" t="n">
        <f aca="true">RAND()</f>
        <v>0.162414861499493</v>
      </c>
      <c r="T337" s="54" t="n">
        <f aca="true">RAND()</f>
        <v>0.526239748133371</v>
      </c>
      <c r="U337" s="54" t="n">
        <f aca="true">RAND()</f>
        <v>0.214077200033035</v>
      </c>
    </row>
    <row r="338" customFormat="false" ht="15" hidden="false" customHeight="false" outlineLevel="0" collapsed="false">
      <c r="A338" s="50" t="n">
        <v>258</v>
      </c>
      <c r="B338" s="51" t="n">
        <f aca="false">1+IF($G$6=$E$6,$F$6,IF(P338&lt;($F$6-$E$6)/($G$6-$E$6),$E$6+SQRT(P338*($G$6-$E$6)*($F$6-$E$6)),$G$6-SQRT((1-P338)*($G$6-$E$6)*($G$6-$F$6))))</f>
        <v>0.973625380930128</v>
      </c>
      <c r="C338" s="51" t="n">
        <f aca="false">1+IF($G$7=$E$7,$F$7,IF(Q338&lt;($F$7-$E$7)/($G$7-$E$7),$E$7+SQRT(Q338*($G$7-$E$7)*($F$7-$E$7)),$G$7-SQRT((1-Q338)*($G$7-$E$7)*($G$7-$F$7))))</f>
        <v>0.753832196133919</v>
      </c>
      <c r="D338" s="51" t="n">
        <f aca="false">1+IF($G$8=$E$8,$F$8,IF(R338&lt;($F$8-$E$8)/($G$8-$E$8),$E$8+SQRT(R338*($G$8-$E$8)*($F$8-$E$8)),$G$8-SQRT((1-R338)*($G$8-$E$8)*($G$8-$F$8))))</f>
        <v>1.08847314279637</v>
      </c>
      <c r="E338" s="51" t="n">
        <f aca="false">1+IF($G$9=$E$9,$F$9,IF(S338&lt;($F$9-$E$9)/($G$9-$E$9),$E$9+SQRT(S338*($G$9-$E$9)*($F$9-$E$9)),$G$9-SQRT((1-S338)*($G$9-$E$9)*($G$9-$F$9))))</f>
        <v>1.02219442383307</v>
      </c>
      <c r="F338" s="51" t="n">
        <f aca="false">1+IF($G$10=$E$10,$F$10,IF(T338&lt;($F$10-$E$10)/($G$10-$E$10),$E$10+SQRT(T338*($G$10-$E$10)*($F$10-$E$10)),$G$10-SQRT((1-T338)*($G$10-$E$10)*($G$10-$F$10))))</f>
        <v>1.16994607321486</v>
      </c>
      <c r="G338" s="52" t="n">
        <f aca="false">IF($G$11=$E$11,$F$11,IF(U338&lt;($F$11-$E$11)/($G$11-$E$11),$E$11+SQRT(U338*($G$11-$E$11)*($F$11-$E$11)),$G$11-SQRT((1-U338)*($G$11-$E$11)*($G$11-$F$11))))</f>
        <v>0.0865651009626614</v>
      </c>
      <c r="H338" s="53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-2339892146.42973</v>
      </c>
      <c r="I338" s="53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-119284326.851429</v>
      </c>
      <c r="J338" s="53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61829976.9363827</v>
      </c>
      <c r="K338" s="53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301441584.384937</v>
      </c>
      <c r="L338" s="53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387178336.480002</v>
      </c>
      <c r="M338" s="53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526687582.725205</v>
      </c>
      <c r="N338" s="53" t="n">
        <f aca="false">IF(COUNT('Business Case'!B11:G11)=0,"",H338+NPV(G338,I338:M338))</f>
        <v>-1536792467.63423</v>
      </c>
      <c r="P338" s="54" t="n">
        <f aca="true">RAND()</f>
        <v>0.361379781140431</v>
      </c>
      <c r="Q338" s="54" t="n">
        <f aca="true">RAND()</f>
        <v>0.0214659654859316</v>
      </c>
      <c r="R338" s="54" t="n">
        <f aca="true">RAND()</f>
        <v>0.991142104200472</v>
      </c>
      <c r="S338" s="54" t="n">
        <f aca="true">RAND()</f>
        <v>0.564419592017047</v>
      </c>
      <c r="T338" s="54" t="n">
        <f aca="true">RAND()</f>
        <v>0.914551584083733</v>
      </c>
      <c r="U338" s="54" t="n">
        <f aca="true">RAND()</f>
        <v>0.0431005506499379</v>
      </c>
    </row>
    <row r="339" customFormat="false" ht="15" hidden="false" customHeight="false" outlineLevel="0" collapsed="false">
      <c r="A339" s="50" t="n">
        <v>259</v>
      </c>
      <c r="B339" s="51" t="n">
        <f aca="false">1+IF($G$6=$E$6,$F$6,IF(P339&lt;($F$6-$E$6)/($G$6-$E$6),$E$6+SQRT(P339*($G$6-$E$6)*($F$6-$E$6)),$G$6-SQRT((1-P339)*($G$6-$E$6)*($G$6-$F$6))))</f>
        <v>1.00027620670567</v>
      </c>
      <c r="C339" s="51" t="n">
        <f aca="false">1+IF($G$7=$E$7,$F$7,IF(Q339&lt;($F$7-$E$7)/($G$7-$E$7),$E$7+SQRT(Q339*($G$7-$E$7)*($F$7-$E$7)),$G$7-SQRT((1-Q339)*($G$7-$E$7)*($G$7-$F$7))))</f>
        <v>1.01840369552936</v>
      </c>
      <c r="D339" s="51" t="n">
        <f aca="false">1+IF($G$8=$E$8,$F$8,IF(R339&lt;($F$8-$E$8)/($G$8-$E$8),$E$8+SQRT(R339*($G$8-$E$8)*($F$8-$E$8)),$G$8-SQRT((1-R339)*($G$8-$E$8)*($G$8-$F$8))))</f>
        <v>1.00514592110015</v>
      </c>
      <c r="E339" s="51" t="n">
        <f aca="false">1+IF($G$9=$E$9,$F$9,IF(S339&lt;($F$9-$E$9)/($G$9-$E$9),$E$9+SQRT(S339*($G$9-$E$9)*($F$9-$E$9)),$G$9-SQRT((1-S339)*($G$9-$E$9)*($G$9-$F$9))))</f>
        <v>1.0054258985783</v>
      </c>
      <c r="F339" s="51" t="n">
        <f aca="false">1+IF($G$10=$E$10,$F$10,IF(T339&lt;($F$10-$E$10)/($G$10-$E$10),$E$10+SQRT(T339*($G$10-$E$10)*($F$10-$E$10)),$G$10-SQRT((1-T339)*($G$10-$E$10)*($G$10-$F$10))))</f>
        <v>0.968684224438567</v>
      </c>
      <c r="G339" s="52" t="n">
        <f aca="false">IF($G$11=$E$11,$F$11,IF(U339&lt;($F$11-$E$11)/($G$11-$E$11),$E$11+SQRT(U339*($G$11-$E$11)*($F$11-$E$11)),$G$11-SQRT((1-U339)*($G$11-$E$11)*($G$11-$F$11))))</f>
        <v>0.0967308660051707</v>
      </c>
      <c r="H339" s="53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-1937368448.87713</v>
      </c>
      <c r="I339" s="53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17703732.9432847</v>
      </c>
      <c r="J339" s="53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328056080.754463</v>
      </c>
      <c r="K339" s="53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686842639.78757</v>
      </c>
      <c r="L339" s="53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825499175.488764</v>
      </c>
      <c r="M339" s="53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1019130817.52484</v>
      </c>
      <c r="N339" s="53" t="n">
        <f aca="false">IF(COUNT('Business Case'!B11:G11)=0,"",H339+NPV(G339,I339:M339))</f>
        <v>85044155.7900658</v>
      </c>
      <c r="P339" s="54" t="n">
        <f aca="true">RAND()</f>
        <v>0.670339250723091</v>
      </c>
      <c r="Q339" s="54" t="n">
        <f aca="true">RAND()</f>
        <v>0.7434431503655</v>
      </c>
      <c r="R339" s="54" t="n">
        <f aca="true">RAND()</f>
        <v>0.400180247737453</v>
      </c>
      <c r="S339" s="54" t="n">
        <f aca="true">RAND()</f>
        <v>0.44262211194957</v>
      </c>
      <c r="T339" s="54" t="n">
        <f aca="true">RAND()</f>
        <v>0.0232733495247159</v>
      </c>
      <c r="U339" s="54" t="n">
        <f aca="true">RAND()</f>
        <v>0.279921877282978</v>
      </c>
    </row>
    <row r="340" customFormat="false" ht="15" hidden="false" customHeight="false" outlineLevel="0" collapsed="false">
      <c r="A340" s="50" t="n">
        <v>260</v>
      </c>
      <c r="B340" s="51" t="n">
        <f aca="false">1+IF($G$6=$E$6,$F$6,IF(P340&lt;($F$6-$E$6)/($G$6-$E$6),$E$6+SQRT(P340*($G$6-$E$6)*($F$6-$E$6)),$G$6-SQRT((1-P340)*($G$6-$E$6)*($G$6-$F$6))))</f>
        <v>0.955533228633213</v>
      </c>
      <c r="C340" s="51" t="n">
        <f aca="false">1+IF($G$7=$E$7,$F$7,IF(Q340&lt;($F$7-$E$7)/($G$7-$E$7),$E$7+SQRT(Q340*($G$7-$E$7)*($F$7-$E$7)),$G$7-SQRT((1-Q340)*($G$7-$E$7)*($G$7-$F$7))))</f>
        <v>0.900591126102402</v>
      </c>
      <c r="D340" s="51" t="n">
        <f aca="false">1+IF($G$8=$E$8,$F$8,IF(R340&lt;($F$8-$E$8)/($G$8-$E$8),$E$8+SQRT(R340*($G$8-$E$8)*($F$8-$E$8)),$G$8-SQRT((1-R340)*($G$8-$E$8)*($G$8-$F$8))))</f>
        <v>1.06223185322277</v>
      </c>
      <c r="E340" s="51" t="n">
        <f aca="false">1+IF($G$9=$E$9,$F$9,IF(S340&lt;($F$9-$E$9)/($G$9-$E$9),$E$9+SQRT(S340*($G$9-$E$9)*($F$9-$E$9)),$G$9-SQRT((1-S340)*($G$9-$E$9)*($G$9-$F$9))))</f>
        <v>1.03940083022961</v>
      </c>
      <c r="F340" s="51" t="n">
        <f aca="false">1+IF($G$10=$E$10,$F$10,IF(T340&lt;($F$10-$E$10)/($G$10-$E$10),$E$10+SQRT(T340*($G$10-$E$10)*($F$10-$E$10)),$G$10-SQRT((1-T340)*($G$10-$E$10)*($G$10-$F$10))))</f>
        <v>1.02903269561142</v>
      </c>
      <c r="G340" s="52" t="n">
        <f aca="false">IF($G$11=$E$11,$F$11,IF(U340&lt;($F$11-$E$11)/($G$11-$E$11),$E$11+SQRT(U340*($G$11-$E$11)*($F$11-$E$11)),$G$11-SQRT((1-U340)*($G$11-$E$11)*($G$11-$F$11))))</f>
        <v>0.105802355450145</v>
      </c>
      <c r="H340" s="53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-2058065391.22285</v>
      </c>
      <c r="I340" s="53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-80189999.2293946</v>
      </c>
      <c r="J340" s="53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134936708.814538</v>
      </c>
      <c r="K340" s="53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401515051.639042</v>
      </c>
      <c r="L340" s="53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502964380.756042</v>
      </c>
      <c r="M340" s="53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666536726.152334</v>
      </c>
      <c r="N340" s="53" t="n">
        <f aca="false">IF(COUNT('Business Case'!B11:G11)=0,"",H340+NPV(G340,I340:M340))</f>
        <v>-983792043.227211</v>
      </c>
      <c r="P340" s="54" t="n">
        <f aca="true">RAND()</f>
        <v>0.205595965495249</v>
      </c>
      <c r="Q340" s="54" t="n">
        <f aca="true">RAND()</f>
        <v>0.298050369415035</v>
      </c>
      <c r="R340" s="54" t="n">
        <f aca="true">RAND()</f>
        <v>0.904904472600898</v>
      </c>
      <c r="S340" s="54" t="n">
        <f aca="true">RAND()</f>
        <v>0.673808630562688</v>
      </c>
      <c r="T340" s="54" t="n">
        <f aca="true">RAND()</f>
        <v>0.348979338549949</v>
      </c>
      <c r="U340" s="54" t="n">
        <f aca="true">RAND()</f>
        <v>0.609649332159242</v>
      </c>
    </row>
    <row r="341" customFormat="false" ht="15" hidden="false" customHeight="false" outlineLevel="0" collapsed="false">
      <c r="A341" s="50" t="n">
        <v>261</v>
      </c>
      <c r="B341" s="51" t="n">
        <f aca="false">1+IF($G$6=$E$6,$F$6,IF(P341&lt;($F$6-$E$6)/($G$6-$E$6),$E$6+SQRT(P341*($G$6-$E$6)*($F$6-$E$6)),$G$6-SQRT((1-P341)*($G$6-$E$6)*($G$6-$F$6))))</f>
        <v>1.00977499504879</v>
      </c>
      <c r="C341" s="51" t="n">
        <f aca="false">1+IF($G$7=$E$7,$F$7,IF(Q341&lt;($F$7-$E$7)/($G$7-$E$7),$E$7+SQRT(Q341*($G$7-$E$7)*($F$7-$E$7)),$G$7-SQRT((1-Q341)*($G$7-$E$7)*($G$7-$F$7))))</f>
        <v>0.898487595100163</v>
      </c>
      <c r="D341" s="51" t="n">
        <f aca="false">1+IF($G$8=$E$8,$F$8,IF(R341&lt;($F$8-$E$8)/($G$8-$E$8),$E$8+SQRT(R341*($G$8-$E$8)*($F$8-$E$8)),$G$8-SQRT((1-R341)*($G$8-$E$8)*($G$8-$F$8))))</f>
        <v>0.978801606262845</v>
      </c>
      <c r="E341" s="51" t="n">
        <f aca="false">1+IF($G$9=$E$9,$F$9,IF(S341&lt;($F$9-$E$9)/($G$9-$E$9),$E$9+SQRT(S341*($G$9-$E$9)*($F$9-$E$9)),$G$9-SQRT((1-S341)*($G$9-$E$9)*($G$9-$F$9))))</f>
        <v>1.12417012868235</v>
      </c>
      <c r="F341" s="51" t="n">
        <f aca="false">1+IF($G$10=$E$10,$F$10,IF(T341&lt;($F$10-$E$10)/($G$10-$E$10),$E$10+SQRT(T341*($G$10-$E$10)*($F$10-$E$10)),$G$10-SQRT((1-T341)*($G$10-$E$10)*($G$10-$F$10))))</f>
        <v>1.12864236194023</v>
      </c>
      <c r="G341" s="52" t="n">
        <f aca="false">IF($G$11=$E$11,$F$11,IF(U341&lt;($F$11-$E$11)/($G$11-$E$11),$E$11+SQRT(U341*($G$11-$E$11)*($F$11-$E$11)),$G$11-SQRT((1-U341)*($G$11-$E$11)*($G$11-$F$11))))</f>
        <v>0.0941010818093508</v>
      </c>
      <c r="H341" s="53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-2257284723.88047</v>
      </c>
      <c r="I341" s="53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-26837904.9670427</v>
      </c>
      <c r="J341" s="53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266078311.267936</v>
      </c>
      <c r="K341" s="53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615426645.599928</v>
      </c>
      <c r="L341" s="53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744420646.151166</v>
      </c>
      <c r="M341" s="53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916874586.085514</v>
      </c>
      <c r="N341" s="53" t="n">
        <f aca="false">IF(COUNT('Business Case'!B11:G11)=0,"",H341+NPV(G341,I341:M341))</f>
        <v>-485314631.583638</v>
      </c>
      <c r="P341" s="54" t="n">
        <f aca="true">RAND()</f>
        <v>0.784259863556719</v>
      </c>
      <c r="Q341" s="54" t="n">
        <f aca="true">RAND()</f>
        <v>0.291832040064045</v>
      </c>
      <c r="R341" s="54" t="n">
        <f aca="true">RAND()</f>
        <v>0.11060433644266</v>
      </c>
      <c r="S341" s="54" t="n">
        <f aca="true">RAND()</f>
        <v>0.982208473272368</v>
      </c>
      <c r="T341" s="54" t="n">
        <f aca="true">RAND()</f>
        <v>0.803630982460732</v>
      </c>
      <c r="U341" s="54" t="n">
        <f aca="true">RAND()</f>
        <v>0.198840508194005</v>
      </c>
    </row>
    <row r="342" customFormat="false" ht="15" hidden="false" customHeight="false" outlineLevel="0" collapsed="false">
      <c r="A342" s="50" t="n">
        <v>262</v>
      </c>
      <c r="B342" s="51" t="n">
        <f aca="false">1+IF($G$6=$E$6,$F$6,IF(P342&lt;($F$6-$E$6)/($G$6-$E$6),$E$6+SQRT(P342*($G$6-$E$6)*($F$6-$E$6)),$G$6-SQRT((1-P342)*($G$6-$E$6)*($G$6-$F$6))))</f>
        <v>0.964281306320117</v>
      </c>
      <c r="C342" s="51" t="n">
        <f aca="false">1+IF($G$7=$E$7,$F$7,IF(Q342&lt;($F$7-$E$7)/($G$7-$E$7),$E$7+SQRT(Q342*($G$7-$E$7)*($F$7-$E$7)),$G$7-SQRT((1-Q342)*($G$7-$E$7)*($G$7-$F$7))))</f>
        <v>1.01436149190717</v>
      </c>
      <c r="D342" s="51" t="n">
        <f aca="false">1+IF($G$8=$E$8,$F$8,IF(R342&lt;($F$8-$E$8)/($G$8-$E$8),$E$8+SQRT(R342*($G$8-$E$8)*($F$8-$E$8)),$G$8-SQRT((1-R342)*($G$8-$E$8)*($G$8-$F$8))))</f>
        <v>1.09662830307756</v>
      </c>
      <c r="E342" s="51" t="n">
        <f aca="false">1+IF($G$9=$E$9,$F$9,IF(S342&lt;($F$9-$E$9)/($G$9-$E$9),$E$9+SQRT(S342*($G$9-$E$9)*($F$9-$E$9)),$G$9-SQRT((1-S342)*($G$9-$E$9)*($G$9-$F$9))))</f>
        <v>1.07645525188728</v>
      </c>
      <c r="F342" s="51" t="n">
        <f aca="false">1+IF($G$10=$E$10,$F$10,IF(T342&lt;($F$10-$E$10)/($G$10-$E$10),$E$10+SQRT(T342*($G$10-$E$10)*($F$10-$E$10)),$G$10-SQRT((1-T342)*($G$10-$E$10)*($G$10-$F$10))))</f>
        <v>1.11033686413912</v>
      </c>
      <c r="G342" s="52" t="n">
        <f aca="false">IF($G$11=$E$11,$F$11,IF(U342&lt;($F$11-$E$11)/($G$11-$E$11),$E$11+SQRT(U342*($G$11-$E$11)*($F$11-$E$11)),$G$11-SQRT((1-U342)*($G$11-$E$11)*($G$11-$F$11))))</f>
        <v>0.0867362162157278</v>
      </c>
      <c r="H342" s="53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-2220673728.27823</v>
      </c>
      <c r="I342" s="53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-83101422.5696396</v>
      </c>
      <c r="J342" s="53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148609028.194932</v>
      </c>
      <c r="K342" s="53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435836322.16646</v>
      </c>
      <c r="L342" s="53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546877305.822602</v>
      </c>
      <c r="M342" s="53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732800222.863006</v>
      </c>
      <c r="N342" s="53" t="n">
        <f aca="false">IF(COUNT('Business Case'!B11:G11)=0,"",H342+NPV(G342,I342:M342))</f>
        <v>-956160223.483645</v>
      </c>
      <c r="P342" s="54" t="n">
        <f aca="true">RAND()</f>
        <v>0.275472422814714</v>
      </c>
      <c r="Q342" s="54" t="n">
        <f aca="true">RAND()</f>
        <v>0.727439927738554</v>
      </c>
      <c r="R342" s="54" t="n">
        <f aca="true">RAND()</f>
        <v>0.999242110657546</v>
      </c>
      <c r="S342" s="54" t="n">
        <f aca="true">RAND()</f>
        <v>0.855764534000982</v>
      </c>
      <c r="T342" s="54" t="n">
        <f aca="true">RAND()</f>
        <v>0.73992277975339</v>
      </c>
      <c r="U342" s="54" t="n">
        <f aca="true">RAND()</f>
        <v>0.0453766089050342</v>
      </c>
    </row>
    <row r="343" customFormat="false" ht="15" hidden="false" customHeight="false" outlineLevel="0" collapsed="false">
      <c r="A343" s="50" t="n">
        <v>263</v>
      </c>
      <c r="B343" s="51" t="n">
        <f aca="false">1+IF($G$6=$E$6,$F$6,IF(P343&lt;($F$6-$E$6)/($G$6-$E$6),$E$6+SQRT(P343*($G$6-$E$6)*($F$6-$E$6)),$G$6-SQRT((1-P343)*($G$6-$E$6)*($G$6-$F$6))))</f>
        <v>0.980411728713972</v>
      </c>
      <c r="C343" s="51" t="n">
        <f aca="false">1+IF($G$7=$E$7,$F$7,IF(Q343&lt;($F$7-$E$7)/($G$7-$E$7),$E$7+SQRT(Q343*($G$7-$E$7)*($F$7-$E$7)),$G$7-SQRT((1-Q343)*($G$7-$E$7)*($G$7-$F$7))))</f>
        <v>1.0407422590887</v>
      </c>
      <c r="D343" s="51" t="n">
        <f aca="false">1+IF($G$8=$E$8,$F$8,IF(R343&lt;($F$8-$E$8)/($G$8-$E$8),$E$8+SQRT(R343*($G$8-$E$8)*($F$8-$E$8)),$G$8-SQRT((1-R343)*($G$8-$E$8)*($G$8-$F$8))))</f>
        <v>1.05351720847122</v>
      </c>
      <c r="E343" s="51" t="n">
        <f aca="false">1+IF($G$9=$E$9,$F$9,IF(S343&lt;($F$9-$E$9)/($G$9-$E$9),$E$9+SQRT(S343*($G$9-$E$9)*($F$9-$E$9)),$G$9-SQRT((1-S343)*($G$9-$E$9)*($G$9-$F$9))))</f>
        <v>1.05468263890754</v>
      </c>
      <c r="F343" s="51" t="n">
        <f aca="false">1+IF($G$10=$E$10,$F$10,IF(T343&lt;($F$10-$E$10)/($G$10-$E$10),$E$10+SQRT(T343*($G$10-$E$10)*($F$10-$E$10)),$G$10-SQRT((1-T343)*($G$10-$E$10)*($G$10-$F$10))))</f>
        <v>1.14021812598046</v>
      </c>
      <c r="G343" s="52" t="n">
        <f aca="false">IF($G$11=$E$11,$F$11,IF(U343&lt;($F$11-$E$11)/($G$11-$E$11),$E$11+SQRT(U343*($G$11-$E$11)*($F$11-$E$11)),$G$11-SQRT((1-U343)*($G$11-$E$11)*($G$11-$F$11))))</f>
        <v>0.101347567565962</v>
      </c>
      <c r="H343" s="53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-2280436251.96093</v>
      </c>
      <c r="I343" s="53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-42437475.7789131</v>
      </c>
      <c r="J343" s="53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232017983.049791</v>
      </c>
      <c r="K343" s="53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563484348.177519</v>
      </c>
      <c r="L343" s="53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690233001.625033</v>
      </c>
      <c r="M343" s="53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884182254.400401</v>
      </c>
      <c r="N343" s="53" t="n">
        <f aca="false">IF(COUNT('Business Case'!B11:G11)=0,"",H343+NPV(G343,I343:M343))</f>
        <v>-691092670.988918</v>
      </c>
      <c r="P343" s="54" t="n">
        <f aca="true">RAND()</f>
        <v>0.431069740984625</v>
      </c>
      <c r="Q343" s="54" t="n">
        <f aca="true">RAND()</f>
        <v>0.823151793347532</v>
      </c>
      <c r="R343" s="54" t="n">
        <f aca="true">RAND()</f>
        <v>0.855956672779448</v>
      </c>
      <c r="S343" s="54" t="n">
        <f aca="true">RAND()</f>
        <v>0.757722684649864</v>
      </c>
      <c r="T343" s="54" t="n">
        <f aca="true">RAND()</f>
        <v>0.839305868490115</v>
      </c>
      <c r="U343" s="54" t="n">
        <f aca="true">RAND()</f>
        <v>0.452692077075261</v>
      </c>
    </row>
    <row r="344" customFormat="false" ht="15" hidden="false" customHeight="false" outlineLevel="0" collapsed="false">
      <c r="A344" s="50" t="n">
        <v>264</v>
      </c>
      <c r="B344" s="51" t="n">
        <f aca="false">1+IF($G$6=$E$6,$F$6,IF(P344&lt;($F$6-$E$6)/($G$6-$E$6),$E$6+SQRT(P344*($G$6-$E$6)*($F$6-$E$6)),$G$6-SQRT((1-P344)*($G$6-$E$6)*($G$6-$F$6))))</f>
        <v>0.963150462561185</v>
      </c>
      <c r="C344" s="51" t="n">
        <f aca="false">1+IF($G$7=$E$7,$F$7,IF(Q344&lt;($F$7-$E$7)/($G$7-$E$7),$E$7+SQRT(Q344*($G$7-$E$7)*($F$7-$E$7)),$G$7-SQRT((1-Q344)*($G$7-$E$7)*($G$7-$F$7))))</f>
        <v>0.988554300998522</v>
      </c>
      <c r="D344" s="51" t="n">
        <f aca="false">1+IF($G$8=$E$8,$F$8,IF(R344&lt;($F$8-$E$8)/($G$8-$E$8),$E$8+SQRT(R344*($G$8-$E$8)*($F$8-$E$8)),$G$8-SQRT((1-R344)*($G$8-$E$8)*($G$8-$F$8))))</f>
        <v>0.97021660761852</v>
      </c>
      <c r="E344" s="51" t="n">
        <f aca="false">1+IF($G$9=$E$9,$F$9,IF(S344&lt;($F$9-$E$9)/($G$9-$E$9),$E$9+SQRT(S344*($G$9-$E$9)*($F$9-$E$9)),$G$9-SQRT((1-S344)*($G$9-$E$9)*($G$9-$F$9))))</f>
        <v>0.978544454916287</v>
      </c>
      <c r="F344" s="51" t="n">
        <f aca="false">1+IF($G$10=$E$10,$F$10,IF(T344&lt;($F$10-$E$10)/($G$10-$E$10),$E$10+SQRT(T344*($G$10-$E$10)*($F$10-$E$10)),$G$10-SQRT((1-T344)*($G$10-$E$10)*($G$10-$F$10))))</f>
        <v>1.10964644707824</v>
      </c>
      <c r="G344" s="52" t="n">
        <f aca="false">IF($G$11=$E$11,$F$11,IF(U344&lt;($F$11-$E$11)/($G$11-$E$11),$E$11+SQRT(U344*($G$11-$E$11)*($F$11-$E$11)),$G$11-SQRT((1-U344)*($G$11-$E$11)*($G$11-$F$11))))</f>
        <v>0.101039858254988</v>
      </c>
      <c r="H344" s="53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-2219292894.15647</v>
      </c>
      <c r="I344" s="53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-10600235.4286508</v>
      </c>
      <c r="J344" s="53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278271434.77268</v>
      </c>
      <c r="K344" s="53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622625427.327923</v>
      </c>
      <c r="L344" s="53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751821477.017075</v>
      </c>
      <c r="M344" s="53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932801688.271636</v>
      </c>
      <c r="N344" s="53" t="n">
        <f aca="false">IF(COUNT('Business Case'!B11:G11)=0,"",H344+NPV(G344,I344:M344))</f>
        <v>-444880990.641778</v>
      </c>
      <c r="P344" s="54" t="n">
        <f aca="true">RAND()</f>
        <v>0.265865394779438</v>
      </c>
      <c r="Q344" s="54" t="n">
        <f aca="true">RAND()</f>
        <v>0.616767293516634</v>
      </c>
      <c r="R344" s="54" t="n">
        <f aca="true">RAND()</f>
        <v>0.0544948298134939</v>
      </c>
      <c r="S344" s="54" t="n">
        <f aca="true">RAND()</f>
        <v>0.246769255923867</v>
      </c>
      <c r="T344" s="54" t="n">
        <f aca="true">RAND()</f>
        <v>0.737345069096504</v>
      </c>
      <c r="U344" s="54" t="n">
        <f aca="true">RAND()</f>
        <v>0.440873460072558</v>
      </c>
    </row>
    <row r="345" customFormat="false" ht="15" hidden="false" customHeight="false" outlineLevel="0" collapsed="false">
      <c r="A345" s="50" t="n">
        <v>265</v>
      </c>
      <c r="B345" s="51" t="n">
        <f aca="false">1+IF($G$6=$E$6,$F$6,IF(P345&lt;($F$6-$E$6)/($G$6-$E$6),$E$6+SQRT(P345*($G$6-$E$6)*($F$6-$E$6)),$G$6-SQRT((1-P345)*($G$6-$E$6)*($G$6-$F$6))))</f>
        <v>0.984629935535524</v>
      </c>
      <c r="C345" s="51" t="n">
        <f aca="false">1+IF($G$7=$E$7,$F$7,IF(Q345&lt;($F$7-$E$7)/($G$7-$E$7),$E$7+SQRT(Q345*($G$7-$E$7)*($F$7-$E$7)),$G$7-SQRT((1-Q345)*($G$7-$E$7)*($G$7-$F$7))))</f>
        <v>0.890201202727607</v>
      </c>
      <c r="D345" s="51" t="n">
        <f aca="false">1+IF($G$8=$E$8,$F$8,IF(R345&lt;($F$8-$E$8)/($G$8-$E$8),$E$8+SQRT(R345*($G$8-$E$8)*($F$8-$E$8)),$G$8-SQRT((1-R345)*($G$8-$E$8)*($G$8-$F$8))))</f>
        <v>1.01003500592396</v>
      </c>
      <c r="E345" s="51" t="n">
        <f aca="false">1+IF($G$9=$E$9,$F$9,IF(S345&lt;($F$9-$E$9)/($G$9-$E$9),$E$9+SQRT(S345*($G$9-$E$9)*($F$9-$E$9)),$G$9-SQRT((1-S345)*($G$9-$E$9)*($G$9-$F$9))))</f>
        <v>1.00135563956032</v>
      </c>
      <c r="F345" s="51" t="n">
        <f aca="false">1+IF($G$10=$E$10,$F$10,IF(T345&lt;($F$10-$E$10)/($G$10-$E$10),$E$10+SQRT(T345*($G$10-$E$10)*($F$10-$E$10)),$G$10-SQRT((1-T345)*($G$10-$E$10)*($G$10-$F$10))))</f>
        <v>1.06999649526483</v>
      </c>
      <c r="G345" s="52" t="n">
        <f aca="false">IF($G$11=$E$11,$F$11,IF(U345&lt;($F$11-$E$11)/($G$11-$E$11),$E$11+SQRT(U345*($G$11-$E$11)*($F$11-$E$11)),$G$11-SQRT((1-U345)*($G$11-$E$11)*($G$11-$F$11))))</f>
        <v>0.0875482327824522</v>
      </c>
      <c r="H345" s="53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-2139992990.52967</v>
      </c>
      <c r="I345" s="53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-37184055.9911881</v>
      </c>
      <c r="J345" s="53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220463041.637604</v>
      </c>
      <c r="K345" s="53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531609964.029639</v>
      </c>
      <c r="L345" s="53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647784818.004583</v>
      </c>
      <c r="M345" s="53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814393502.547324</v>
      </c>
      <c r="N345" s="53" t="n">
        <f aca="false">IF(COUNT('Business Case'!B11:G11)=0,"",H345+NPV(G345,I345:M345))</f>
        <v>-576151321.549232</v>
      </c>
      <c r="P345" s="54" t="n">
        <f aca="true">RAND()</f>
        <v>0.477481732583129</v>
      </c>
      <c r="Q345" s="54" t="n">
        <f aca="true">RAND()</f>
        <v>0.267974055696505</v>
      </c>
      <c r="R345" s="54" t="n">
        <f aca="true">RAND()</f>
        <v>0.460419989393212</v>
      </c>
      <c r="S345" s="54" t="n">
        <f aca="true">RAND()</f>
        <v>0.410796109586061</v>
      </c>
      <c r="T345" s="54" t="n">
        <f aca="true">RAND()</f>
        <v>0.567983177107428</v>
      </c>
      <c r="U345" s="54" t="n">
        <f aca="true">RAND()</f>
        <v>0.0569758181380853</v>
      </c>
    </row>
    <row r="346" customFormat="false" ht="15" hidden="false" customHeight="false" outlineLevel="0" collapsed="false">
      <c r="A346" s="50" t="n">
        <v>266</v>
      </c>
      <c r="B346" s="51" t="n">
        <f aca="false">1+IF($G$6=$E$6,$F$6,IF(P346&lt;($F$6-$E$6)/($G$6-$E$6),$E$6+SQRT(P346*($G$6-$E$6)*($F$6-$E$6)),$G$6-SQRT((1-P346)*($G$6-$E$6)*($G$6-$F$6))))</f>
        <v>1.0279305907134</v>
      </c>
      <c r="C346" s="51" t="n">
        <f aca="false">1+IF($G$7=$E$7,$F$7,IF(Q346&lt;($F$7-$E$7)/($G$7-$E$7),$E$7+SQRT(Q346*($G$7-$E$7)*($F$7-$E$7)),$G$7-SQRT((1-Q346)*($G$7-$E$7)*($G$7-$F$7))))</f>
        <v>0.884751220108108</v>
      </c>
      <c r="D346" s="51" t="n">
        <f aca="false">1+IF($G$8=$E$8,$F$8,IF(R346&lt;($F$8-$E$8)/($G$8-$E$8),$E$8+SQRT(R346*($G$8-$E$8)*($F$8-$E$8)),$G$8-SQRT((1-R346)*($G$8-$E$8)*($G$8-$F$8))))</f>
        <v>1.01603215466674</v>
      </c>
      <c r="E346" s="51" t="n">
        <f aca="false">1+IF($G$9=$E$9,$F$9,IF(S346&lt;($F$9-$E$9)/($G$9-$E$9),$E$9+SQRT(S346*($G$9-$E$9)*($F$9-$E$9)),$G$9-SQRT((1-S346)*($G$9-$E$9)*($G$9-$F$9))))</f>
        <v>1.11606700863725</v>
      </c>
      <c r="F346" s="51" t="n">
        <f aca="false">1+IF($G$10=$E$10,$F$10,IF(T346&lt;($F$10-$E$10)/($G$10-$E$10),$E$10+SQRT(T346*($G$10-$E$10)*($F$10-$E$10)),$G$10-SQRT((1-T346)*($G$10-$E$10)*($G$10-$F$10))))</f>
        <v>1.18384979677549</v>
      </c>
      <c r="G346" s="52" t="n">
        <f aca="false">IF($G$11=$E$11,$F$11,IF(U346&lt;($F$11-$E$11)/($G$11-$E$11),$E$11+SQRT(U346*($G$11-$E$11)*($F$11-$E$11)),$G$11-SQRT((1-U346)*($G$11-$E$11)*($G$11-$F$11))))</f>
        <v>0.0931071665342372</v>
      </c>
      <c r="H346" s="53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-2367699593.55097</v>
      </c>
      <c r="I346" s="53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-39503868.9946202</v>
      </c>
      <c r="J346" s="53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245228524.166081</v>
      </c>
      <c r="K346" s="53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589153407.165556</v>
      </c>
      <c r="L346" s="53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715495240.785493</v>
      </c>
      <c r="M346" s="53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888365938.233864</v>
      </c>
      <c r="N346" s="53" t="n">
        <f aca="false">IF(COUNT('Business Case'!B11:G11)=0,"",H346+NPV(G346,I346:M346))</f>
        <v>-677186738.159372</v>
      </c>
      <c r="P346" s="54" t="n">
        <f aca="true">RAND()</f>
        <v>0.935058823165416</v>
      </c>
      <c r="Q346" s="54" t="n">
        <f aca="true">RAND()</f>
        <v>0.252837135788403</v>
      </c>
      <c r="R346" s="54" t="n">
        <f aca="true">RAND()</f>
        <v>0.529960063339271</v>
      </c>
      <c r="S346" s="54" t="n">
        <f aca="true">RAND()</f>
        <v>0.969294722591346</v>
      </c>
      <c r="T346" s="54" t="n">
        <f aca="true">RAND()</f>
        <v>0.941655341511409</v>
      </c>
      <c r="U346" s="54" t="n">
        <f aca="true">RAND()</f>
        <v>0.171797814556229</v>
      </c>
    </row>
    <row r="347" customFormat="false" ht="15" hidden="false" customHeight="false" outlineLevel="0" collapsed="false">
      <c r="A347" s="50" t="n">
        <v>267</v>
      </c>
      <c r="B347" s="51" t="n">
        <f aca="false">1+IF($G$6=$E$6,$F$6,IF(P347&lt;($F$6-$E$6)/($G$6-$E$6),$E$6+SQRT(P347*($G$6-$E$6)*($F$6-$E$6)),$G$6-SQRT((1-P347)*($G$6-$E$6)*($G$6-$F$6))))</f>
        <v>0.984976465456366</v>
      </c>
      <c r="C347" s="51" t="n">
        <f aca="false">1+IF($G$7=$E$7,$F$7,IF(Q347&lt;($F$7-$E$7)/($G$7-$E$7),$E$7+SQRT(Q347*($G$7-$E$7)*($F$7-$E$7)),$G$7-SQRT((1-Q347)*($G$7-$E$7)*($G$7-$F$7))))</f>
        <v>1.08075204135356</v>
      </c>
      <c r="D347" s="51" t="n">
        <f aca="false">1+IF($G$8=$E$8,$F$8,IF(R347&lt;($F$8-$E$8)/($G$8-$E$8),$E$8+SQRT(R347*($G$8-$E$8)*($F$8-$E$8)),$G$8-SQRT((1-R347)*($G$8-$E$8)*($G$8-$F$8))))</f>
        <v>0.982631342649427</v>
      </c>
      <c r="E347" s="51" t="n">
        <f aca="false">1+IF($G$9=$E$9,$F$9,IF(S347&lt;($F$9-$E$9)/($G$9-$E$9),$E$9+SQRT(S347*($G$9-$E$9)*($F$9-$E$9)),$G$9-SQRT((1-S347)*($G$9-$E$9)*($G$9-$F$9))))</f>
        <v>1.01935954810011</v>
      </c>
      <c r="F347" s="51" t="n">
        <f aca="false">1+IF($G$10=$E$10,$F$10,IF(T347&lt;($F$10-$E$10)/($G$10-$E$10),$E$10+SQRT(T347*($G$10-$E$10)*($F$10-$E$10)),$G$10-SQRT((1-T347)*($G$10-$E$10)*($G$10-$F$10))))</f>
        <v>1.03867531071774</v>
      </c>
      <c r="G347" s="52" t="n">
        <f aca="false">IF($G$11=$E$11,$F$11,IF(U347&lt;($F$11-$E$11)/($G$11-$E$11),$E$11+SQRT(U347*($G$11-$E$11)*($F$11-$E$11)),$G$11-SQRT((1-U347)*($G$11-$E$11)*($G$11-$F$11))))</f>
        <v>0.0986038523305867</v>
      </c>
      <c r="H347" s="53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-2077350621.43549</v>
      </c>
      <c r="I347" s="53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24260537.3562904</v>
      </c>
      <c r="J347" s="53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352526008.009888</v>
      </c>
      <c r="K347" s="53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732725244.199373</v>
      </c>
      <c r="L347" s="53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878936717.407703</v>
      </c>
      <c r="M347" s="53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1081279790.52193</v>
      </c>
      <c r="N347" s="53" t="n">
        <f aca="false">IF(COUNT('Business Case'!B11:G11)=0,"",H347+NPV(G347,I347:M347))</f>
        <v>68475794.1493893</v>
      </c>
      <c r="P347" s="54" t="n">
        <f aca="true">RAND()</f>
        <v>0.4813999787638</v>
      </c>
      <c r="Q347" s="54" t="n">
        <f aca="true">RAND()</f>
        <v>0.928958818122983</v>
      </c>
      <c r="R347" s="54" t="n">
        <f aca="true">RAND()</f>
        <v>0.141973936413909</v>
      </c>
      <c r="S347" s="54" t="n">
        <f aca="true">RAND()</f>
        <v>0.544881928730448</v>
      </c>
      <c r="T347" s="54" t="n">
        <f aca="true">RAND()</f>
        <v>0.404558342663441</v>
      </c>
      <c r="U347" s="54" t="n">
        <f aca="true">RAND()</f>
        <v>0.346103321538277</v>
      </c>
    </row>
    <row r="348" customFormat="false" ht="15" hidden="false" customHeight="false" outlineLevel="0" collapsed="false">
      <c r="A348" s="50" t="n">
        <v>268</v>
      </c>
      <c r="B348" s="51" t="n">
        <f aca="false">1+IF($G$6=$E$6,$F$6,IF(P348&lt;($F$6-$E$6)/($G$6-$E$6),$E$6+SQRT(P348*($G$6-$E$6)*($F$6-$E$6)),$G$6-SQRT((1-P348)*($G$6-$E$6)*($G$6-$F$6))))</f>
        <v>1.02579875764342</v>
      </c>
      <c r="C348" s="51" t="n">
        <f aca="false">1+IF($G$7=$E$7,$F$7,IF(Q348&lt;($F$7-$E$7)/($G$7-$E$7),$E$7+SQRT(Q348*($G$7-$E$7)*($F$7-$E$7)),$G$7-SQRT((1-Q348)*($G$7-$E$7)*($G$7-$F$7))))</f>
        <v>1.00450046778571</v>
      </c>
      <c r="D348" s="51" t="n">
        <f aca="false">1+IF($G$8=$E$8,$F$8,IF(R348&lt;($F$8-$E$8)/($G$8-$E$8),$E$8+SQRT(R348*($G$8-$E$8)*($F$8-$E$8)),$G$8-SQRT((1-R348)*($G$8-$E$8)*($G$8-$F$8))))</f>
        <v>0.983549123580747</v>
      </c>
      <c r="E348" s="51" t="n">
        <f aca="false">1+IF($G$9=$E$9,$F$9,IF(S348&lt;($F$9-$E$9)/($G$9-$E$9),$E$9+SQRT(S348*($G$9-$E$9)*($F$9-$E$9)),$G$9-SQRT((1-S348)*($G$9-$E$9)*($G$9-$F$9))))</f>
        <v>1.09643624688452</v>
      </c>
      <c r="F348" s="51" t="n">
        <f aca="false">1+IF($G$10=$E$10,$F$10,IF(T348&lt;($F$10-$E$10)/($G$10-$E$10),$E$10+SQRT(T348*($G$10-$E$10)*($F$10-$E$10)),$G$10-SQRT((1-T348)*($G$10-$E$10)*($G$10-$F$10))))</f>
        <v>1.12312032116058</v>
      </c>
      <c r="G348" s="52" t="n">
        <f aca="false">IF($G$11=$E$11,$F$11,IF(U348&lt;($F$11-$E$11)/($G$11-$E$11),$E$11+SQRT(U348*($G$11-$E$11)*($F$11-$E$11)),$G$11-SQRT((1-U348)*($G$11-$E$11)*($G$11-$F$11))))</f>
        <v>0.109838637989575</v>
      </c>
      <c r="H348" s="53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-2246240642.32117</v>
      </c>
      <c r="I348" s="53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16577903.5306055</v>
      </c>
      <c r="J348" s="53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354797804.290297</v>
      </c>
      <c r="K348" s="53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749173721.108018</v>
      </c>
      <c r="L348" s="53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897524841.898614</v>
      </c>
      <c r="M348" s="53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1093386188.18746</v>
      </c>
      <c r="N348" s="53" t="n">
        <f aca="false">IF(COUNT('Business Case'!B11:G11)=0,"",H348+NPV(G348,I348:M348))</f>
        <v>-154314833.251463</v>
      </c>
      <c r="P348" s="54" t="n">
        <f aca="true">RAND()</f>
        <v>0.921906649119767</v>
      </c>
      <c r="Q348" s="54" t="n">
        <f aca="true">RAND()</f>
        <v>0.68636868333958</v>
      </c>
      <c r="R348" s="54" t="n">
        <f aca="true">RAND()</f>
        <v>0.150072492404828</v>
      </c>
      <c r="S348" s="54" t="n">
        <f aca="true">RAND()</f>
        <v>0.923491316058225</v>
      </c>
      <c r="T348" s="54" t="n">
        <f aca="true">RAND()</f>
        <v>0.785353961301422</v>
      </c>
      <c r="U348" s="54" t="n">
        <f aca="true">RAND()</f>
        <v>0.729012987923062</v>
      </c>
    </row>
    <row r="349" customFormat="false" ht="15" hidden="false" customHeight="false" outlineLevel="0" collapsed="false">
      <c r="A349" s="50" t="n">
        <v>269</v>
      </c>
      <c r="B349" s="51" t="n">
        <f aca="false">1+IF($G$6=$E$6,$F$6,IF(P349&lt;($F$6-$E$6)/($G$6-$E$6),$E$6+SQRT(P349*($G$6-$E$6)*($F$6-$E$6)),$G$6-SQRT((1-P349)*($G$6-$E$6)*($G$6-$F$6))))</f>
        <v>1.00440879805904</v>
      </c>
      <c r="C349" s="51" t="n">
        <f aca="false">1+IF($G$7=$E$7,$F$7,IF(Q349&lt;($F$7-$E$7)/($G$7-$E$7),$E$7+SQRT(Q349*($G$7-$E$7)*($F$7-$E$7)),$G$7-SQRT((1-Q349)*($G$7-$E$7)*($G$7-$F$7))))</f>
        <v>0.996391553352042</v>
      </c>
      <c r="D349" s="51" t="n">
        <f aca="false">1+IF($G$8=$E$8,$F$8,IF(R349&lt;($F$8-$E$8)/($G$8-$E$8),$E$8+SQRT(R349*($G$8-$E$8)*($F$8-$E$8)),$G$8-SQRT((1-R349)*($G$8-$E$8)*($G$8-$F$8))))</f>
        <v>0.994234230635837</v>
      </c>
      <c r="E349" s="51" t="n">
        <f aca="false">1+IF($G$9=$E$9,$F$9,IF(S349&lt;($F$9-$E$9)/($G$9-$E$9),$E$9+SQRT(S349*($G$9-$E$9)*($F$9-$E$9)),$G$9-SQRT((1-S349)*($G$9-$E$9)*($G$9-$F$9))))</f>
        <v>1.02681389035694</v>
      </c>
      <c r="F349" s="51" t="n">
        <f aca="false">1+IF($G$10=$E$10,$F$10,IF(T349&lt;($F$10-$E$10)/($G$10-$E$10),$E$10+SQRT(T349*($G$10-$E$10)*($F$10-$E$10)),$G$10-SQRT((1-T349)*($G$10-$E$10)*($G$10-$F$10))))</f>
        <v>1.13134349213203</v>
      </c>
      <c r="G349" s="52" t="n">
        <f aca="false">IF($G$11=$E$11,$F$11,IF(U349&lt;($F$11-$E$11)/($G$11-$E$11),$E$11+SQRT(U349*($G$11-$E$11)*($F$11-$E$11)),$G$11-SQRT((1-U349)*($G$11-$E$11)*($G$11-$F$11))))</f>
        <v>0.0938840175353119</v>
      </c>
      <c r="H349" s="53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-2262686984.26406</v>
      </c>
      <c r="I349" s="53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1554762.88919225</v>
      </c>
      <c r="J349" s="53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314137475.699467</v>
      </c>
      <c r="K349" s="53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683287363.116342</v>
      </c>
      <c r="L349" s="53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822068711.052516</v>
      </c>
      <c r="M349" s="53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1012297817.88263</v>
      </c>
      <c r="N349" s="53" t="n">
        <f aca="false">IF(COUNT('Business Case'!B11:G11)=0,"",H349+NPV(G349,I349:M349))</f>
        <v>-256240499.267909</v>
      </c>
      <c r="P349" s="54" t="n">
        <f aca="true">RAND()</f>
        <v>0.722858974077113</v>
      </c>
      <c r="Q349" s="54" t="n">
        <f aca="true">RAND()</f>
        <v>0.650725577025453</v>
      </c>
      <c r="R349" s="54" t="n">
        <f aca="true">RAND()</f>
        <v>0.260888954659251</v>
      </c>
      <c r="S349" s="54" t="n">
        <f aca="true">RAND()</f>
        <v>0.595338197093536</v>
      </c>
      <c r="T349" s="54" t="n">
        <f aca="true">RAND()</f>
        <v>0.812275108541049</v>
      </c>
      <c r="U349" s="54" t="n">
        <f aca="true">RAND()</f>
        <v>0.192765942920848</v>
      </c>
    </row>
    <row r="350" customFormat="false" ht="15" hidden="false" customHeight="false" outlineLevel="0" collapsed="false">
      <c r="A350" s="50" t="n">
        <v>270</v>
      </c>
      <c r="B350" s="51" t="n">
        <f aca="false">1+IF($G$6=$E$6,$F$6,IF(P350&lt;($F$6-$E$6)/($G$6-$E$6),$E$6+SQRT(P350*($G$6-$E$6)*($F$6-$E$6)),$G$6-SQRT((1-P350)*($G$6-$E$6)*($G$6-$F$6))))</f>
        <v>1.01368581968894</v>
      </c>
      <c r="C350" s="51" t="n">
        <f aca="false">1+IF($G$7=$E$7,$F$7,IF(Q350&lt;($F$7-$E$7)/($G$7-$E$7),$E$7+SQRT(Q350*($G$7-$E$7)*($F$7-$E$7)),$G$7-SQRT((1-Q350)*($G$7-$E$7)*($G$7-$F$7))))</f>
        <v>0.771758836229181</v>
      </c>
      <c r="D350" s="51" t="n">
        <f aca="false">1+IF($G$8=$E$8,$F$8,IF(R350&lt;($F$8-$E$8)/($G$8-$E$8),$E$8+SQRT(R350*($G$8-$E$8)*($F$8-$E$8)),$G$8-SQRT((1-R350)*($G$8-$E$8)*($G$8-$F$8))))</f>
        <v>1.01162783388943</v>
      </c>
      <c r="E350" s="51" t="n">
        <f aca="false">1+IF($G$9=$E$9,$F$9,IF(S350&lt;($F$9-$E$9)/($G$9-$E$9),$E$9+SQRT(S350*($G$9-$E$9)*($F$9-$E$9)),$G$9-SQRT((1-S350)*($G$9-$E$9)*($G$9-$F$9))))</f>
        <v>0.991087056411086</v>
      </c>
      <c r="F350" s="51" t="n">
        <f aca="false">1+IF($G$10=$E$10,$F$10,IF(T350&lt;($F$10-$E$10)/($G$10-$E$10),$E$10+SQRT(T350*($G$10-$E$10)*($F$10-$E$10)),$G$10-SQRT((1-T350)*($G$10-$E$10)*($G$10-$F$10))))</f>
        <v>1.05071402591523</v>
      </c>
      <c r="G350" s="52" t="n">
        <f aca="false">IF($G$11=$E$11,$F$11,IF(U350&lt;($F$11-$E$11)/($G$11-$E$11),$E$11+SQRT(U350*($G$11-$E$11)*($F$11-$E$11)),$G$11-SQRT((1-U350)*($G$11-$E$11)*($G$11-$F$11))))</f>
        <v>0.0944920407742098</v>
      </c>
      <c r="H350" s="53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-2101428051.83046</v>
      </c>
      <c r="I350" s="53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-45454979.2699353</v>
      </c>
      <c r="J350" s="53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195649543.517417</v>
      </c>
      <c r="K350" s="53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489289767.60053</v>
      </c>
      <c r="L350" s="53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596694955.225719</v>
      </c>
      <c r="M350" s="53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745398528.72078</v>
      </c>
      <c r="N350" s="53" t="n">
        <f aca="false">IF(COUNT('Business Case'!B11:G11)=0,"",H350+NPV(G350,I350:M350))</f>
        <v>-716030545.8603</v>
      </c>
      <c r="P350" s="54" t="n">
        <f aca="true">RAND()</f>
        <v>0.824170707778151</v>
      </c>
      <c r="Q350" s="54" t="n">
        <f aca="true">RAND()</f>
        <v>0.0381431894590101</v>
      </c>
      <c r="R350" s="54" t="n">
        <f aca="true">RAND()</f>
        <v>0.479357350461714</v>
      </c>
      <c r="S350" s="54" t="n">
        <f aca="true">RAND()</f>
        <v>0.331874073825451</v>
      </c>
      <c r="T350" s="54" t="n">
        <f aca="true">RAND()</f>
        <v>0.470468007107802</v>
      </c>
      <c r="U350" s="54" t="n">
        <f aca="true">RAND()</f>
        <v>0.210019245801358</v>
      </c>
    </row>
    <row r="351" customFormat="false" ht="15" hidden="false" customHeight="false" outlineLevel="0" collapsed="false">
      <c r="A351" s="50" t="n">
        <v>271</v>
      </c>
      <c r="B351" s="51" t="n">
        <f aca="false">1+IF($G$6=$E$6,$F$6,IF(P351&lt;($F$6-$E$6)/($G$6-$E$6),$E$6+SQRT(P351*($G$6-$E$6)*($F$6-$E$6)),$G$6-SQRT((1-P351)*($G$6-$E$6)*($G$6-$F$6))))</f>
        <v>0.957433937696628</v>
      </c>
      <c r="C351" s="51" t="n">
        <f aca="false">1+IF($G$7=$E$7,$F$7,IF(Q351&lt;($F$7-$E$7)/($G$7-$E$7),$E$7+SQRT(Q351*($G$7-$E$7)*($F$7-$E$7)),$G$7-SQRT((1-Q351)*($G$7-$E$7)*($G$7-$F$7))))</f>
        <v>1.02898828853175</v>
      </c>
      <c r="D351" s="51" t="n">
        <f aca="false">1+IF($G$8=$E$8,$F$8,IF(R351&lt;($F$8-$E$8)/($G$8-$E$8),$E$8+SQRT(R351*($G$8-$E$8)*($F$8-$E$8)),$G$8-SQRT((1-R351)*($G$8-$E$8)*($G$8-$F$8))))</f>
        <v>1.07609013685226</v>
      </c>
      <c r="E351" s="51" t="n">
        <f aca="false">1+IF($G$9=$E$9,$F$9,IF(S351&lt;($F$9-$E$9)/($G$9-$E$9),$E$9+SQRT(S351*($G$9-$E$9)*($F$9-$E$9)),$G$9-SQRT((1-S351)*($G$9-$E$9)*($G$9-$F$9))))</f>
        <v>0.991616994475884</v>
      </c>
      <c r="F351" s="51" t="n">
        <f aca="false">1+IF($G$10=$E$10,$F$10,IF(T351&lt;($F$10-$E$10)/($G$10-$E$10),$E$10+SQRT(T351*($G$10-$E$10)*($F$10-$E$10)),$G$10-SQRT((1-T351)*($G$10-$E$10)*($G$10-$F$10))))</f>
        <v>1.00414102862151</v>
      </c>
      <c r="G351" s="52" t="n">
        <f aca="false">IF($G$11=$E$11,$F$11,IF(U351&lt;($F$11-$E$11)/($G$11-$E$11),$E$11+SQRT(U351*($G$11-$E$11)*($F$11-$E$11)),$G$11-SQRT((1-U351)*($G$11-$E$11)*($G$11-$F$11))))</f>
        <v>0.124902270309925</v>
      </c>
      <c r="H351" s="53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-2008282057.24303</v>
      </c>
      <c r="I351" s="53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-52394943.9971927</v>
      </c>
      <c r="J351" s="53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187704313.417306</v>
      </c>
      <c r="K351" s="53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478010622.262881</v>
      </c>
      <c r="L351" s="53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592091816.024427</v>
      </c>
      <c r="M351" s="53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779356409.786348</v>
      </c>
      <c r="N351" s="53" t="n">
        <f aca="false">IF(COUNT('Business Case'!B11:G11)=0,"",H351+NPV(G351,I351:M351))</f>
        <v>-768270569.487588</v>
      </c>
      <c r="P351" s="54" t="n">
        <f aca="true">RAND()</f>
        <v>0.219910479956013</v>
      </c>
      <c r="Q351" s="54" t="n">
        <f aca="true">RAND()</f>
        <v>0.783054306481841</v>
      </c>
      <c r="R351" s="54" t="n">
        <f aca="true">RAND()</f>
        <v>0.961887896283748</v>
      </c>
      <c r="S351" s="54" t="n">
        <f aca="true">RAND()</f>
        <v>0.335746947071769</v>
      </c>
      <c r="T351" s="54" t="n">
        <f aca="true">RAND()</f>
        <v>0.194044882569503</v>
      </c>
      <c r="U351" s="54" t="n">
        <f aca="true">RAND()</f>
        <v>0.982675434671282</v>
      </c>
    </row>
    <row r="352" customFormat="false" ht="15" hidden="false" customHeight="false" outlineLevel="0" collapsed="false">
      <c r="A352" s="50" t="n">
        <v>272</v>
      </c>
      <c r="B352" s="51" t="n">
        <f aca="false">1+IF($G$6=$E$6,$F$6,IF(P352&lt;($F$6-$E$6)/($G$6-$E$6),$E$6+SQRT(P352*($G$6-$E$6)*($F$6-$E$6)),$G$6-SQRT((1-P352)*($G$6-$E$6)*($G$6-$F$6))))</f>
        <v>0.964404142965645</v>
      </c>
      <c r="C352" s="51" t="n">
        <f aca="false">1+IF($G$7=$E$7,$F$7,IF(Q352&lt;($F$7-$E$7)/($G$7-$E$7),$E$7+SQRT(Q352*($G$7-$E$7)*($F$7-$E$7)),$G$7-SQRT((1-Q352)*($G$7-$E$7)*($G$7-$F$7))))</f>
        <v>0.909691519893935</v>
      </c>
      <c r="D352" s="51" t="n">
        <f aca="false">1+IF($G$8=$E$8,$F$8,IF(R352&lt;($F$8-$E$8)/($G$8-$E$8),$E$8+SQRT(R352*($G$8-$E$8)*($F$8-$E$8)),$G$8-SQRT((1-R352)*($G$8-$E$8)*($G$8-$F$8))))</f>
        <v>1.02470677799341</v>
      </c>
      <c r="E352" s="51" t="n">
        <f aca="false">1+IF($G$9=$E$9,$F$9,IF(S352&lt;($F$9-$E$9)/($G$9-$E$9),$E$9+SQRT(S352*($G$9-$E$9)*($F$9-$E$9)),$G$9-SQRT((1-S352)*($G$9-$E$9)*($G$9-$F$9))))</f>
        <v>0.953580307896912</v>
      </c>
      <c r="F352" s="51" t="n">
        <f aca="false">1+IF($G$10=$E$10,$F$10,IF(T352&lt;($F$10-$E$10)/($G$10-$E$10),$E$10+SQRT(T352*($G$10-$E$10)*($F$10-$E$10)),$G$10-SQRT((1-T352)*($G$10-$E$10)*($G$10-$F$10))))</f>
        <v>1.0406174046365</v>
      </c>
      <c r="G352" s="52" t="n">
        <f aca="false">IF($G$11=$E$11,$F$11,IF(U352&lt;($F$11-$E$11)/($G$11-$E$11),$E$11+SQRT(U352*($G$11-$E$11)*($F$11-$E$11)),$G$11-SQRT((1-U352)*($G$11-$E$11)*($G$11-$F$11))))</f>
        <v>0.0963236287347972</v>
      </c>
      <c r="H352" s="53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-2081234809.273</v>
      </c>
      <c r="I352" s="53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-43755311.2984199</v>
      </c>
      <c r="J352" s="53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197630002.077988</v>
      </c>
      <c r="K352" s="53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491046185.686222</v>
      </c>
      <c r="L352" s="53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601827799.763849</v>
      </c>
      <c r="M352" s="53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768586936.000718</v>
      </c>
      <c r="N352" s="53" t="n">
        <f aca="false">IF(COUNT('Business Case'!B11:G11)=0,"",H352+NPV(G352,I352:M352))</f>
        <v>-682178233.039381</v>
      </c>
      <c r="P352" s="54" t="n">
        <f aca="true">RAND()</f>
        <v>0.276526242075949</v>
      </c>
      <c r="Q352" s="54" t="n">
        <f aca="true">RAND()</f>
        <v>0.32570765566984</v>
      </c>
      <c r="R352" s="54" t="n">
        <f aca="true">RAND()</f>
        <v>0.622062047991107</v>
      </c>
      <c r="S352" s="54" t="n">
        <f aca="true">RAND()</f>
        <v>0.114833975773114</v>
      </c>
      <c r="T352" s="54" t="n">
        <f aca="true">RAND()</f>
        <v>0.415452383451272</v>
      </c>
      <c r="U352" s="54" t="n">
        <f aca="true">RAND()</f>
        <v>0.266460855071497</v>
      </c>
    </row>
    <row r="353" customFormat="false" ht="15" hidden="false" customHeight="false" outlineLevel="0" collapsed="false">
      <c r="A353" s="50" t="n">
        <v>273</v>
      </c>
      <c r="B353" s="51" t="n">
        <f aca="false">1+IF($G$6=$E$6,$F$6,IF(P353&lt;($F$6-$E$6)/($G$6-$E$6),$E$6+SQRT(P353*($G$6-$E$6)*($F$6-$E$6)),$G$6-SQRT((1-P353)*($G$6-$E$6)*($G$6-$F$6))))</f>
        <v>0.956262148322452</v>
      </c>
      <c r="C353" s="51" t="n">
        <f aca="false">1+IF($G$7=$E$7,$F$7,IF(Q353&lt;($F$7-$E$7)/($G$7-$E$7),$E$7+SQRT(Q353*($G$7-$E$7)*($F$7-$E$7)),$G$7-SQRT((1-Q353)*($G$7-$E$7)*($G$7-$F$7))))</f>
        <v>0.892577411904725</v>
      </c>
      <c r="D353" s="51" t="n">
        <f aca="false">1+IF($G$8=$E$8,$F$8,IF(R353&lt;($F$8-$E$8)/($G$8-$E$8),$E$8+SQRT(R353*($G$8-$E$8)*($F$8-$E$8)),$G$8-SQRT((1-R353)*($G$8-$E$8)*($G$8-$F$8))))</f>
        <v>0.999240234708129</v>
      </c>
      <c r="E353" s="51" t="n">
        <f aca="false">1+IF($G$9=$E$9,$F$9,IF(S353&lt;($F$9-$E$9)/($G$9-$E$9),$E$9+SQRT(S353*($G$9-$E$9)*($F$9-$E$9)),$G$9-SQRT((1-S353)*($G$9-$E$9)*($G$9-$F$9))))</f>
        <v>1.02380896508977</v>
      </c>
      <c r="F353" s="51" t="n">
        <f aca="false">1+IF($G$10=$E$10,$F$10,IF(T353&lt;($F$10-$E$10)/($G$10-$E$10),$E$10+SQRT(T353*($G$10-$E$10)*($F$10-$E$10)),$G$10-SQRT((1-T353)*($G$10-$E$10)*($G$10-$F$10))))</f>
        <v>0.963431985695133</v>
      </c>
      <c r="G353" s="52" t="n">
        <f aca="false">IF($G$11=$E$11,$F$11,IF(U353&lt;($F$11-$E$11)/($G$11-$E$11),$E$11+SQRT(U353*($G$11-$E$11)*($F$11-$E$11)),$G$11-SQRT((1-U353)*($G$11-$E$11)*($G$11-$F$11))))</f>
        <v>0.0925598653975091</v>
      </c>
      <c r="H353" s="53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-1926863971.39027</v>
      </c>
      <c r="I353" s="53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-43648242.1062547</v>
      </c>
      <c r="J353" s="53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198879758.773326</v>
      </c>
      <c r="K353" s="53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489579358.937664</v>
      </c>
      <c r="L353" s="53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599920298.951229</v>
      </c>
      <c r="M353" s="53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762160800.746606</v>
      </c>
      <c r="N353" s="53" t="n">
        <f aca="false">IF(COUNT('Business Case'!B11:G11)=0,"",H353+NPV(G353,I353:M353))</f>
        <v>-514204872.716028</v>
      </c>
      <c r="P353" s="54" t="n">
        <f aca="true">RAND()</f>
        <v>0.211028622257174</v>
      </c>
      <c r="Q353" s="54" t="n">
        <f aca="true">RAND()</f>
        <v>0.274711552414238</v>
      </c>
      <c r="R353" s="54" t="n">
        <f aca="true">RAND()</f>
        <v>0.323280095214884</v>
      </c>
      <c r="S353" s="54" t="n">
        <f aca="true">RAND()</f>
        <v>0.575355272220939</v>
      </c>
      <c r="T353" s="54" t="n">
        <f aca="true">RAND()</f>
        <v>0.0120278826476167</v>
      </c>
      <c r="U353" s="54" t="n">
        <f aca="true">RAND()</f>
        <v>0.157750218803548</v>
      </c>
    </row>
    <row r="354" customFormat="false" ht="15" hidden="false" customHeight="false" outlineLevel="0" collapsed="false">
      <c r="A354" s="50" t="n">
        <v>274</v>
      </c>
      <c r="B354" s="51" t="n">
        <f aca="false">1+IF($G$6=$E$6,$F$6,IF(P354&lt;($F$6-$E$6)/($G$6-$E$6),$E$6+SQRT(P354*($G$6-$E$6)*($F$6-$E$6)),$G$6-SQRT((1-P354)*($G$6-$E$6)*($G$6-$F$6))))</f>
        <v>0.92878633382672</v>
      </c>
      <c r="C354" s="51" t="n">
        <f aca="false">1+IF($G$7=$E$7,$F$7,IF(Q354&lt;($F$7-$E$7)/($G$7-$E$7),$E$7+SQRT(Q354*($G$7-$E$7)*($F$7-$E$7)),$G$7-SQRT((1-Q354)*($G$7-$E$7)*($G$7-$F$7))))</f>
        <v>0.981568328371446</v>
      </c>
      <c r="D354" s="51" t="n">
        <f aca="false">1+IF($G$8=$E$8,$F$8,IF(R354&lt;($F$8-$E$8)/($G$8-$E$8),$E$8+SQRT(R354*($G$8-$E$8)*($F$8-$E$8)),$G$8-SQRT((1-R354)*($G$8-$E$8)*($G$8-$F$8))))</f>
        <v>1.01875777553692</v>
      </c>
      <c r="E354" s="51" t="n">
        <f aca="false">1+IF($G$9=$E$9,$F$9,IF(S354&lt;($F$9-$E$9)/($G$9-$E$9),$E$9+SQRT(S354*($G$9-$E$9)*($F$9-$E$9)),$G$9-SQRT((1-S354)*($G$9-$E$9)*($G$9-$F$9))))</f>
        <v>1.00804640620494</v>
      </c>
      <c r="F354" s="51" t="n">
        <f aca="false">1+IF($G$10=$E$10,$F$10,IF(T354&lt;($F$10-$E$10)/($G$10-$E$10),$E$10+SQRT(T354*($G$10-$E$10)*($F$10-$E$10)),$G$10-SQRT((1-T354)*($G$10-$E$10)*($G$10-$F$10))))</f>
        <v>0.999533077433608</v>
      </c>
      <c r="G354" s="52" t="n">
        <f aca="false">IF($G$11=$E$11,$F$11,IF(U354&lt;($F$11-$E$11)/($G$11-$E$11),$E$11+SQRT(U354*($G$11-$E$11)*($F$11-$E$11)),$G$11-SQRT((1-U354)*($G$11-$E$11)*($G$11-$F$11))))</f>
        <v>0.0949489835741605</v>
      </c>
      <c r="H354" s="53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-1999066154.86722</v>
      </c>
      <c r="I354" s="53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-55747169.1839058</v>
      </c>
      <c r="J354" s="53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179063998.531679</v>
      </c>
      <c r="K354" s="53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463851820.118944</v>
      </c>
      <c r="L354" s="53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573629429.486663</v>
      </c>
      <c r="M354" s="53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746919140.197214</v>
      </c>
      <c r="N354" s="53" t="n">
        <f aca="false">IF(COUNT('Business Case'!B11:G11)=0,"",H354+NPV(G354,I354:M354))</f>
        <v>-673629521.696293</v>
      </c>
      <c r="P354" s="54" t="n">
        <f aca="true">RAND()</f>
        <v>0.0552435343455574</v>
      </c>
      <c r="Q354" s="54" t="n">
        <f aca="true">RAND()</f>
        <v>0.587264618828818</v>
      </c>
      <c r="R354" s="54" t="n">
        <f aca="true">RAND()</f>
        <v>0.559980064286015</v>
      </c>
      <c r="S354" s="54" t="n">
        <f aca="true">RAND()</f>
        <v>0.462644725564485</v>
      </c>
      <c r="T354" s="54" t="n">
        <f aca="true">RAND()</f>
        <v>0.163568384002922</v>
      </c>
      <c r="U354" s="54" t="n">
        <f aca="true">RAND()</f>
        <v>0.223472109900521</v>
      </c>
    </row>
    <row r="355" customFormat="false" ht="15" hidden="false" customHeight="false" outlineLevel="0" collapsed="false">
      <c r="A355" s="50" t="n">
        <v>275</v>
      </c>
      <c r="B355" s="51" t="n">
        <f aca="false">1+IF($G$6=$E$6,$F$6,IF(P355&lt;($F$6-$E$6)/($G$6-$E$6),$E$6+SQRT(P355*($G$6-$E$6)*($F$6-$E$6)),$G$6-SQRT((1-P355)*($G$6-$E$6)*($G$6-$F$6))))</f>
        <v>1.00490206061017</v>
      </c>
      <c r="C355" s="51" t="n">
        <f aca="false">1+IF($G$7=$E$7,$F$7,IF(Q355&lt;($F$7-$E$7)/($G$7-$E$7),$E$7+SQRT(Q355*($G$7-$E$7)*($F$7-$E$7)),$G$7-SQRT((1-Q355)*($G$7-$E$7)*($G$7-$F$7))))</f>
        <v>0.836952010767015</v>
      </c>
      <c r="D355" s="51" t="n">
        <f aca="false">1+IF($G$8=$E$8,$F$8,IF(R355&lt;($F$8-$E$8)/($G$8-$E$8),$E$8+SQRT(R355*($G$8-$E$8)*($F$8-$E$8)),$G$8-SQRT((1-R355)*($G$8-$E$8)*($G$8-$F$8))))</f>
        <v>1.03915786345886</v>
      </c>
      <c r="E355" s="51" t="n">
        <f aca="false">1+IF($G$9=$E$9,$F$9,IF(S355&lt;($F$9-$E$9)/($G$9-$E$9),$E$9+SQRT(S355*($G$9-$E$9)*($F$9-$E$9)),$G$9-SQRT((1-S355)*($G$9-$E$9)*($G$9-$F$9))))</f>
        <v>1.00766662480215</v>
      </c>
      <c r="F355" s="51" t="n">
        <f aca="false">1+IF($G$10=$E$10,$F$10,IF(T355&lt;($F$10-$E$10)/($G$10-$E$10),$E$10+SQRT(T355*($G$10-$E$10)*($F$10-$E$10)),$G$10-SQRT((1-T355)*($G$10-$E$10)*($G$10-$F$10))))</f>
        <v>1.09833633348585</v>
      </c>
      <c r="G355" s="52" t="n">
        <f aca="false">IF($G$11=$E$11,$F$11,IF(U355&lt;($F$11-$E$11)/($G$11-$E$11),$E$11+SQRT(U355*($G$11-$E$11)*($F$11-$E$11)),$G$11-SQRT((1-U355)*($G$11-$E$11)*($G$11-$F$11))))</f>
        <v>0.119787038222775</v>
      </c>
      <c r="H355" s="53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-2196672666.9717</v>
      </c>
      <c r="I355" s="53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-53069427.6907879</v>
      </c>
      <c r="J355" s="53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190585252.858918</v>
      </c>
      <c r="K355" s="53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489156750.082915</v>
      </c>
      <c r="L355" s="53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599441830.829512</v>
      </c>
      <c r="M355" s="53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759309527.261336</v>
      </c>
      <c r="N355" s="53" t="n">
        <f aca="false">IF(COUNT('Business Case'!B11:G11)=0,"",H355+NPV(G355,I355:M355))</f>
        <v>-931194629.355332</v>
      </c>
      <c r="P355" s="54" t="n">
        <f aca="true">RAND()</f>
        <v>0.72882344837219</v>
      </c>
      <c r="Q355" s="54" t="n">
        <f aca="true">RAND()</f>
        <v>0.138932246319471</v>
      </c>
      <c r="R355" s="54" t="n">
        <f aca="true">RAND()</f>
        <v>0.753215628073964</v>
      </c>
      <c r="S355" s="54" t="n">
        <f aca="true">RAND()</f>
        <v>0.459765608127667</v>
      </c>
      <c r="T355" s="54" t="n">
        <f aca="true">RAND()</f>
        <v>0.693308430126457</v>
      </c>
      <c r="U355" s="54" t="n">
        <f aca="true">RAND()</f>
        <v>0.930463607824621</v>
      </c>
    </row>
    <row r="356" customFormat="false" ht="15" hidden="false" customHeight="false" outlineLevel="0" collapsed="false">
      <c r="A356" s="50" t="n">
        <v>276</v>
      </c>
      <c r="B356" s="51" t="n">
        <f aca="false">1+IF($G$6=$E$6,$F$6,IF(P356&lt;($F$6-$E$6)/($G$6-$E$6),$E$6+SQRT(P356*($G$6-$E$6)*($F$6-$E$6)),$G$6-SQRT((1-P356)*($G$6-$E$6)*($G$6-$F$6))))</f>
        <v>0.991581484951755</v>
      </c>
      <c r="C356" s="51" t="n">
        <f aca="false">1+IF($G$7=$E$7,$F$7,IF(Q356&lt;($F$7-$E$7)/($G$7-$E$7),$E$7+SQRT(Q356*($G$7-$E$7)*($F$7-$E$7)),$G$7-SQRT((1-Q356)*($G$7-$E$7)*($G$7-$F$7))))</f>
        <v>0.903769440098067</v>
      </c>
      <c r="D356" s="51" t="n">
        <f aca="false">1+IF($G$8=$E$8,$F$8,IF(R356&lt;($F$8-$E$8)/($G$8-$E$8),$E$8+SQRT(R356*($G$8-$E$8)*($F$8-$E$8)),$G$8-SQRT((1-R356)*($G$8-$E$8)*($G$8-$F$8))))</f>
        <v>1.0110136240246</v>
      </c>
      <c r="E356" s="51" t="n">
        <f aca="false">1+IF($G$9=$E$9,$F$9,IF(S356&lt;($F$9-$E$9)/($G$9-$E$9),$E$9+SQRT(S356*($G$9-$E$9)*($F$9-$E$9)),$G$9-SQRT((1-S356)*($G$9-$E$9)*($G$9-$F$9))))</f>
        <v>1.03416876381745</v>
      </c>
      <c r="F356" s="51" t="n">
        <f aca="false">1+IF($G$10=$E$10,$F$10,IF(T356&lt;($F$10-$E$10)/($G$10-$E$10),$E$10+SQRT(T356*($G$10-$E$10)*($F$10-$E$10)),$G$10-SQRT((1-T356)*($G$10-$E$10)*($G$10-$F$10))))</f>
        <v>1.00030439041672</v>
      </c>
      <c r="G356" s="52" t="n">
        <f aca="false">IF($G$11=$E$11,$F$11,IF(U356&lt;($F$11-$E$11)/($G$11-$E$11),$E$11+SQRT(U356*($G$11-$E$11)*($F$11-$E$11)),$G$11-SQRT((1-U356)*($G$11-$E$11)*($G$11-$F$11))))</f>
        <v>0.109272145621029</v>
      </c>
      <c r="H356" s="53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-2000608780.83343</v>
      </c>
      <c r="I356" s="53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-27278996.7594156</v>
      </c>
      <c r="J356" s="53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238988232.230984</v>
      </c>
      <c r="K356" s="53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555270680.742219</v>
      </c>
      <c r="L356" s="53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674997749.40122</v>
      </c>
      <c r="M356" s="53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845340040.543324</v>
      </c>
      <c r="N356" s="53" t="n">
        <f aca="false">IF(COUNT('Business Case'!B11:G11)=0,"",H356+NPV(G356,I356:M356))</f>
        <v>-475042582.032667</v>
      </c>
      <c r="P356" s="54" t="n">
        <f aca="true">RAND()</f>
        <v>0.559144559064567</v>
      </c>
      <c r="Q356" s="54" t="n">
        <f aca="true">RAND()</f>
        <v>0.307570257169479</v>
      </c>
      <c r="R356" s="54" t="n">
        <f aca="true">RAND()</f>
        <v>0.472094992717707</v>
      </c>
      <c r="S356" s="54" t="n">
        <f aca="true">RAND()</f>
        <v>0.642216659317951</v>
      </c>
      <c r="T356" s="54" t="n">
        <f aca="true">RAND()</f>
        <v>0.168694700731103</v>
      </c>
      <c r="U356" s="54" t="n">
        <f aca="true">RAND()</f>
        <v>0.713570701896104</v>
      </c>
    </row>
    <row r="357" customFormat="false" ht="15" hidden="false" customHeight="false" outlineLevel="0" collapsed="false">
      <c r="A357" s="50" t="n">
        <v>277</v>
      </c>
      <c r="B357" s="51" t="n">
        <f aca="false">1+IF($G$6=$E$6,$F$6,IF(P357&lt;($F$6-$E$6)/($G$6-$E$6),$E$6+SQRT(P357*($G$6-$E$6)*($F$6-$E$6)),$G$6-SQRT((1-P357)*($G$6-$E$6)*($G$6-$F$6))))</f>
        <v>1.00686244043504</v>
      </c>
      <c r="C357" s="51" t="n">
        <f aca="false">1+IF($G$7=$E$7,$F$7,IF(Q357&lt;($F$7-$E$7)/($G$7-$E$7),$E$7+SQRT(Q357*($G$7-$E$7)*($F$7-$E$7)),$G$7-SQRT((1-Q357)*($G$7-$E$7)*($G$7-$F$7))))</f>
        <v>0.797174233479876</v>
      </c>
      <c r="D357" s="51" t="n">
        <f aca="false">1+IF($G$8=$E$8,$F$8,IF(R357&lt;($F$8-$E$8)/($G$8-$E$8),$E$8+SQRT(R357*($G$8-$E$8)*($F$8-$E$8)),$G$8-SQRT((1-R357)*($G$8-$E$8)*($G$8-$F$8))))</f>
        <v>1.03785645729531</v>
      </c>
      <c r="E357" s="51" t="n">
        <f aca="false">1+IF($G$9=$E$9,$F$9,IF(S357&lt;($F$9-$E$9)/($G$9-$E$9),$E$9+SQRT(S357*($G$9-$E$9)*($F$9-$E$9)),$G$9-SQRT((1-S357)*($G$9-$E$9)*($G$9-$F$9))))</f>
        <v>0.96889793209967</v>
      </c>
      <c r="F357" s="51" t="n">
        <f aca="false">1+IF($G$10=$E$10,$F$10,IF(T357&lt;($F$10-$E$10)/($G$10-$E$10),$E$10+SQRT(T357*($G$10-$E$10)*($F$10-$E$10)),$G$10-SQRT((1-T357)*($G$10-$E$10)*($G$10-$F$10))))</f>
        <v>1.11180036353701</v>
      </c>
      <c r="G357" s="52" t="n">
        <f aca="false">IF($G$11=$E$11,$F$11,IF(U357&lt;($F$11-$E$11)/($G$11-$E$11),$E$11+SQRT(U357*($G$11-$E$11)*($F$11-$E$11)),$G$11-SQRT((1-U357)*($G$11-$E$11)*($G$11-$F$11))))</f>
        <v>0.124541380984476</v>
      </c>
      <c r="H357" s="53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-2223600727.07402</v>
      </c>
      <c r="I357" s="53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-56680805.3938443</v>
      </c>
      <c r="J357" s="53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177204817.640539</v>
      </c>
      <c r="K357" s="53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466680458.851773</v>
      </c>
      <c r="L357" s="53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572381737.283203</v>
      </c>
      <c r="M357" s="53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724948459.759698</v>
      </c>
      <c r="N357" s="53" t="n">
        <f aca="false">IF(COUNT('Business Case'!B11:G11)=0,"",H357+NPV(G357,I357:M357))</f>
        <v>-1044676244.51258</v>
      </c>
      <c r="P357" s="54" t="n">
        <f aca="true">RAND()</f>
        <v>0.751886793970612</v>
      </c>
      <c r="Q357" s="54" t="n">
        <f aca="true">RAND()</f>
        <v>0.0699469011288996</v>
      </c>
      <c r="R357" s="54" t="n">
        <f aca="true">RAND()</f>
        <v>0.742545340007361</v>
      </c>
      <c r="S357" s="54" t="n">
        <f aca="true">RAND()</f>
        <v>0.189877001904428</v>
      </c>
      <c r="T357" s="54" t="n">
        <f aca="true">RAND()</f>
        <v>0.745344806419973</v>
      </c>
      <c r="U357" s="54" t="n">
        <f aca="true">RAND()</f>
        <v>0.980135652295571</v>
      </c>
    </row>
    <row r="358" customFormat="false" ht="15" hidden="false" customHeight="false" outlineLevel="0" collapsed="false">
      <c r="A358" s="50" t="n">
        <v>278</v>
      </c>
      <c r="B358" s="51" t="n">
        <f aca="false">1+IF($G$6=$E$6,$F$6,IF(P358&lt;($F$6-$E$6)/($G$6-$E$6),$E$6+SQRT(P358*($G$6-$E$6)*($F$6-$E$6)),$G$6-SQRT((1-P358)*($G$6-$E$6)*($G$6-$F$6))))</f>
        <v>1.00524512728698</v>
      </c>
      <c r="C358" s="51" t="n">
        <f aca="false">1+IF($G$7=$E$7,$F$7,IF(Q358&lt;($F$7-$E$7)/($G$7-$E$7),$E$7+SQRT(Q358*($G$7-$E$7)*($F$7-$E$7)),$G$7-SQRT((1-Q358)*($G$7-$E$7)*($G$7-$F$7))))</f>
        <v>0.761031977437174</v>
      </c>
      <c r="D358" s="51" t="n">
        <f aca="false">1+IF($G$8=$E$8,$F$8,IF(R358&lt;($F$8-$E$8)/($G$8-$E$8),$E$8+SQRT(R358*($G$8-$E$8)*($F$8-$E$8)),$G$8-SQRT((1-R358)*($G$8-$E$8)*($G$8-$F$8))))</f>
        <v>1.02640131310505</v>
      </c>
      <c r="E358" s="51" t="n">
        <f aca="false">1+IF($G$9=$E$9,$F$9,IF(S358&lt;($F$9-$E$9)/($G$9-$E$9),$E$9+SQRT(S358*($G$9-$E$9)*($F$9-$E$9)),$G$9-SQRT((1-S358)*($G$9-$E$9)*($G$9-$F$9))))</f>
        <v>1.10042756098212</v>
      </c>
      <c r="F358" s="51" t="n">
        <f aca="false">1+IF($G$10=$E$10,$F$10,IF(T358&lt;($F$10-$E$10)/($G$10-$E$10),$E$10+SQRT(T358*($G$10-$E$10)*($F$10-$E$10)),$G$10-SQRT((1-T358)*($G$10-$E$10)*($G$10-$F$10))))</f>
        <v>1.14226873482198</v>
      </c>
      <c r="G358" s="52" t="n">
        <f aca="false">IF($G$11=$E$11,$F$11,IF(U358&lt;($F$11-$E$11)/($G$11-$E$11),$E$11+SQRT(U358*($G$11-$E$11)*($F$11-$E$11)),$G$11-SQRT((1-U358)*($G$11-$E$11)*($G$11-$F$11))))</f>
        <v>0.0837246546055196</v>
      </c>
      <c r="H358" s="53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-2284537469.64395</v>
      </c>
      <c r="I358" s="53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-83630130.399789</v>
      </c>
      <c r="J358" s="53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143106239.789824</v>
      </c>
      <c r="K358" s="53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426956046.720535</v>
      </c>
      <c r="L358" s="53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528974055.407438</v>
      </c>
      <c r="M358" s="53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674389757.837775</v>
      </c>
      <c r="N358" s="53" t="n">
        <f aca="false">IF(COUNT('Business Case'!B11:G11)=0,"",H358+NPV(G358,I358:M358))</f>
        <v>-1069770117.46308</v>
      </c>
      <c r="P358" s="54" t="n">
        <f aca="true">RAND()</f>
        <v>0.732933515792137</v>
      </c>
      <c r="Q358" s="54" t="n">
        <f aca="true">RAND()</f>
        <v>0.0275918686658642</v>
      </c>
      <c r="R358" s="54" t="n">
        <f aca="true">RAND()</f>
        <v>0.638882219155903</v>
      </c>
      <c r="S358" s="54" t="n">
        <f aca="true">RAND()</f>
        <v>0.934468621061831</v>
      </c>
      <c r="T358" s="54" t="n">
        <f aca="true">RAND()</f>
        <v>0.845252993375229</v>
      </c>
      <c r="U358" s="54" t="n">
        <f aca="true">RAND()</f>
        <v>0.0138730519304179</v>
      </c>
    </row>
    <row r="359" customFormat="false" ht="15" hidden="false" customHeight="false" outlineLevel="0" collapsed="false">
      <c r="A359" s="50" t="n">
        <v>279</v>
      </c>
      <c r="B359" s="51" t="n">
        <f aca="false">1+IF($G$6=$E$6,$F$6,IF(P359&lt;($F$6-$E$6)/($G$6-$E$6),$E$6+SQRT(P359*($G$6-$E$6)*($F$6-$E$6)),$G$6-SQRT((1-P359)*($G$6-$E$6)*($G$6-$F$6))))</f>
        <v>1.00388636996399</v>
      </c>
      <c r="C359" s="51" t="n">
        <f aca="false">1+IF($G$7=$E$7,$F$7,IF(Q359&lt;($F$7-$E$7)/($G$7-$E$7),$E$7+SQRT(Q359*($G$7-$E$7)*($F$7-$E$7)),$G$7-SQRT((1-Q359)*($G$7-$E$7)*($G$7-$F$7))))</f>
        <v>0.883619177377483</v>
      </c>
      <c r="D359" s="51" t="n">
        <f aca="false">1+IF($G$8=$E$8,$F$8,IF(R359&lt;($F$8-$E$8)/($G$8-$E$8),$E$8+SQRT(R359*($G$8-$E$8)*($F$8-$E$8)),$G$8-SQRT((1-R359)*($G$8-$E$8)*($G$8-$F$8))))</f>
        <v>1.0591624973233</v>
      </c>
      <c r="E359" s="51" t="n">
        <f aca="false">1+IF($G$9=$E$9,$F$9,IF(S359&lt;($F$9-$E$9)/($G$9-$E$9),$E$9+SQRT(S359*($G$9-$E$9)*($F$9-$E$9)),$G$9-SQRT((1-S359)*($G$9-$E$9)*($G$9-$F$9))))</f>
        <v>0.987257858530598</v>
      </c>
      <c r="F359" s="51" t="n">
        <f aca="false">1+IF($G$10=$E$10,$F$10,IF(T359&lt;($F$10-$E$10)/($G$10-$E$10),$E$10+SQRT(T359*($G$10-$E$10)*($F$10-$E$10)),$G$10-SQRT((1-T359)*($G$10-$E$10)*($G$10-$F$10))))</f>
        <v>1.03007208585326</v>
      </c>
      <c r="G359" s="52" t="n">
        <f aca="false">IF($G$11=$E$11,$F$11,IF(U359&lt;($F$11-$E$11)/($G$11-$E$11),$E$11+SQRT(U359*($G$11-$E$11)*($F$11-$E$11)),$G$11-SQRT((1-U359)*($G$11-$E$11)*($G$11-$F$11))))</f>
        <v>0.104215562233746</v>
      </c>
      <c r="H359" s="53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-2060144171.70653</v>
      </c>
      <c r="I359" s="53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-41923669.3142812</v>
      </c>
      <c r="J359" s="53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205532777.837288</v>
      </c>
      <c r="K359" s="53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504492829.28152</v>
      </c>
      <c r="L359" s="53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617634871.930359</v>
      </c>
      <c r="M359" s="53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786245953.38776</v>
      </c>
      <c r="N359" s="53" t="n">
        <f aca="false">IF(COUNT('Business Case'!B11:G11)=0,"",H359+NPV(G359,I359:M359))</f>
        <v>-660438889.281965</v>
      </c>
      <c r="P359" s="54" t="n">
        <f aca="true">RAND()</f>
        <v>0.716471083320233</v>
      </c>
      <c r="Q359" s="54" t="n">
        <f aca="true">RAND()</f>
        <v>0.249748165190989</v>
      </c>
      <c r="R359" s="54" t="n">
        <f aca="true">RAND()</f>
        <v>0.888819891675359</v>
      </c>
      <c r="S359" s="54" t="n">
        <f aca="true">RAND()</f>
        <v>0.304557355013833</v>
      </c>
      <c r="T359" s="54" t="n">
        <f aca="true">RAND()</f>
        <v>0.355089501054207</v>
      </c>
      <c r="U359" s="54" t="n">
        <f aca="true">RAND()</f>
        <v>0.556775179385433</v>
      </c>
    </row>
    <row r="360" customFormat="false" ht="15" hidden="false" customHeight="false" outlineLevel="0" collapsed="false">
      <c r="A360" s="50" t="n">
        <v>280</v>
      </c>
      <c r="B360" s="51" t="n">
        <f aca="false">1+IF($G$6=$E$6,$F$6,IF(P360&lt;($F$6-$E$6)/($G$6-$E$6),$E$6+SQRT(P360*($G$6-$E$6)*($F$6-$E$6)),$G$6-SQRT((1-P360)*($G$6-$E$6)*($G$6-$F$6))))</f>
        <v>0.971468932224925</v>
      </c>
      <c r="C360" s="51" t="n">
        <f aca="false">1+IF($G$7=$E$7,$F$7,IF(Q360&lt;($F$7-$E$7)/($G$7-$E$7),$E$7+SQRT(Q360*($G$7-$E$7)*($F$7-$E$7)),$G$7-SQRT((1-Q360)*($G$7-$E$7)*($G$7-$F$7))))</f>
        <v>0.856276451770339</v>
      </c>
      <c r="D360" s="51" t="n">
        <f aca="false">1+IF($G$8=$E$8,$F$8,IF(R360&lt;($F$8-$E$8)/($G$8-$E$8),$E$8+SQRT(R360*($G$8-$E$8)*($F$8-$E$8)),$G$8-SQRT((1-R360)*($G$8-$E$8)*($G$8-$F$8))))</f>
        <v>1.05666753347896</v>
      </c>
      <c r="E360" s="51" t="n">
        <f aca="false">1+IF($G$9=$E$9,$F$9,IF(S360&lt;($F$9-$E$9)/($G$9-$E$9),$E$9+SQRT(S360*($G$9-$E$9)*($F$9-$E$9)),$G$9-SQRT((1-S360)*($G$9-$E$9)*($G$9-$F$9))))</f>
        <v>1.03725459860985</v>
      </c>
      <c r="F360" s="51" t="n">
        <f aca="false">1+IF($G$10=$E$10,$F$10,IF(T360&lt;($F$10-$E$10)/($G$10-$E$10),$E$10+SQRT(T360*($G$10-$E$10)*($F$10-$E$10)),$G$10-SQRT((1-T360)*($G$10-$E$10)*($G$10-$F$10))))</f>
        <v>1.01592608985749</v>
      </c>
      <c r="G360" s="52" t="n">
        <f aca="false">IF($G$11=$E$11,$F$11,IF(U360&lt;($F$11-$E$11)/($G$11-$E$11),$E$11+SQRT(U360*($G$11-$E$11)*($F$11-$E$11)),$G$11-SQRT((1-U360)*($G$11-$E$11)*($G$11-$F$11))))</f>
        <v>0.0836026680721125</v>
      </c>
      <c r="H360" s="53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-2031852179.71498</v>
      </c>
      <c r="I360" s="53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-74056338.9172688</v>
      </c>
      <c r="J360" s="53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144100430.1734</v>
      </c>
      <c r="K360" s="53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413053503.756943</v>
      </c>
      <c r="L360" s="53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514521023.520412</v>
      </c>
      <c r="M360" s="53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672638305.553264</v>
      </c>
      <c r="N360" s="53" t="n">
        <f aca="false">IF(COUNT('Business Case'!B11:G11)=0,"",H360+NPV(G360,I360:M360))</f>
        <v>-829425949.493727</v>
      </c>
      <c r="P360" s="54" t="n">
        <f aca="true">RAND()</f>
        <v>0.340520551558064</v>
      </c>
      <c r="Q360" s="54" t="n">
        <f aca="true">RAND()</f>
        <v>0.1809061435402</v>
      </c>
      <c r="R360" s="54" t="n">
        <f aca="true">RAND()</f>
        <v>0.874819823013534</v>
      </c>
      <c r="S360" s="54" t="n">
        <f aca="true">RAND()</f>
        <v>0.661025985743279</v>
      </c>
      <c r="T360" s="54" t="n">
        <f aca="true">RAND()</f>
        <v>0.269458727874603</v>
      </c>
      <c r="U360" s="54" t="n">
        <f aca="true">RAND()</f>
        <v>0.0129792172378189</v>
      </c>
    </row>
    <row r="361" customFormat="false" ht="15" hidden="false" customHeight="false" outlineLevel="0" collapsed="false">
      <c r="A361" s="50" t="n">
        <v>281</v>
      </c>
      <c r="B361" s="51" t="n">
        <f aca="false">1+IF($G$6=$E$6,$F$6,IF(P361&lt;($F$6-$E$6)/($G$6-$E$6),$E$6+SQRT(P361*($G$6-$E$6)*($F$6-$E$6)),$G$6-SQRT((1-P361)*($G$6-$E$6)*($G$6-$F$6))))</f>
        <v>1.00427719421229</v>
      </c>
      <c r="C361" s="51" t="n">
        <f aca="false">1+IF($G$7=$E$7,$F$7,IF(Q361&lt;($F$7-$E$7)/($G$7-$E$7),$E$7+SQRT(Q361*($G$7-$E$7)*($F$7-$E$7)),$G$7-SQRT((1-Q361)*($G$7-$E$7)*($G$7-$F$7))))</f>
        <v>0.954472069438802</v>
      </c>
      <c r="D361" s="51" t="n">
        <f aca="false">1+IF($G$8=$E$8,$F$8,IF(R361&lt;($F$8-$E$8)/($G$8-$E$8),$E$8+SQRT(R361*($G$8-$E$8)*($F$8-$E$8)),$G$8-SQRT((1-R361)*($G$8-$E$8)*($G$8-$F$8))))</f>
        <v>1.01194311922447</v>
      </c>
      <c r="E361" s="51" t="n">
        <f aca="false">1+IF($G$9=$E$9,$F$9,IF(S361&lt;($F$9-$E$9)/($G$9-$E$9),$E$9+SQRT(S361*($G$9-$E$9)*($F$9-$E$9)),$G$9-SQRT((1-S361)*($G$9-$E$9)*($G$9-$F$9))))</f>
        <v>1.07276528272603</v>
      </c>
      <c r="F361" s="51" t="n">
        <f aca="false">1+IF($G$10=$E$10,$F$10,IF(T361&lt;($F$10-$E$10)/($G$10-$E$10),$E$10+SQRT(T361*($G$10-$E$10)*($F$10-$E$10)),$G$10-SQRT((1-T361)*($G$10-$E$10)*($G$10-$F$10))))</f>
        <v>1.22564486397941</v>
      </c>
      <c r="G361" s="52" t="n">
        <f aca="false">IF($G$11=$E$11,$F$11,IF(U361&lt;($F$11-$E$11)/($G$11-$E$11),$E$11+SQRT(U361*($G$11-$E$11)*($F$11-$E$11)),$G$11-SQRT((1-U361)*($G$11-$E$11)*($G$11-$F$11))))</f>
        <v>0.0911475623516111</v>
      </c>
      <c r="H361" s="53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-2451289727.95881</v>
      </c>
      <c r="I361" s="53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-34126908.2039853</v>
      </c>
      <c r="J361" s="53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256549360.124716</v>
      </c>
      <c r="K361" s="53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608507871.652388</v>
      </c>
      <c r="L361" s="53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738527605.716024</v>
      </c>
      <c r="M361" s="53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920729651.130072</v>
      </c>
      <c r="N361" s="53" t="n">
        <f aca="false">IF(COUNT('Business Case'!B11:G11)=0,"",H361+NPV(G361,I361:M361))</f>
        <v>-682423580.471634</v>
      </c>
      <c r="P361" s="54" t="n">
        <f aca="true">RAND()</f>
        <v>0.721256670786577</v>
      </c>
      <c r="Q361" s="54" t="n">
        <f aca="true">RAND()</f>
        <v>0.479674326847899</v>
      </c>
      <c r="R361" s="54" t="n">
        <f aca="true">RAND()</f>
        <v>0.483065716538896</v>
      </c>
      <c r="S361" s="54" t="n">
        <f aca="true">RAND()</f>
        <v>0.84092795860295</v>
      </c>
      <c r="T361" s="54" t="n">
        <f aca="true">RAND()</f>
        <v>0.992091031325579</v>
      </c>
      <c r="U361" s="54" t="n">
        <f aca="true">RAND()</f>
        <v>0.124268146383058</v>
      </c>
    </row>
    <row r="362" customFormat="false" ht="15" hidden="false" customHeight="false" outlineLevel="0" collapsed="false">
      <c r="A362" s="50" t="n">
        <v>282</v>
      </c>
      <c r="B362" s="51" t="n">
        <f aca="false">1+IF($G$6=$E$6,$F$6,IF(P362&lt;($F$6-$E$6)/($G$6-$E$6),$E$6+SQRT(P362*($G$6-$E$6)*($F$6-$E$6)),$G$6-SQRT((1-P362)*($G$6-$E$6)*($G$6-$F$6))))</f>
        <v>0.94913599264352</v>
      </c>
      <c r="C362" s="51" t="n">
        <f aca="false">1+IF($G$7=$E$7,$F$7,IF(Q362&lt;($F$7-$E$7)/($G$7-$E$7),$E$7+SQRT(Q362*($G$7-$E$7)*($F$7-$E$7)),$G$7-SQRT((1-Q362)*($G$7-$E$7)*($G$7-$F$7))))</f>
        <v>0.836432280226399</v>
      </c>
      <c r="D362" s="51" t="n">
        <f aca="false">1+IF($G$8=$E$8,$F$8,IF(R362&lt;($F$8-$E$8)/($G$8-$E$8),$E$8+SQRT(R362*($G$8-$E$8)*($F$8-$E$8)),$G$8-SQRT((1-R362)*($G$8-$E$8)*($G$8-$F$8))))</f>
        <v>1.05341140316494</v>
      </c>
      <c r="E362" s="51" t="n">
        <f aca="false">1+IF($G$9=$E$9,$F$9,IF(S362&lt;($F$9-$E$9)/($G$9-$E$9),$E$9+SQRT(S362*($G$9-$E$9)*($F$9-$E$9)),$G$9-SQRT((1-S362)*($G$9-$E$9)*($G$9-$F$9))))</f>
        <v>0.993680881628305</v>
      </c>
      <c r="F362" s="51" t="n">
        <f aca="false">1+IF($G$10=$E$10,$F$10,IF(T362&lt;($F$10-$E$10)/($G$10-$E$10),$E$10+SQRT(T362*($G$10-$E$10)*($F$10-$E$10)),$G$10-SQRT((1-T362)*($G$10-$E$10)*($G$10-$F$10))))</f>
        <v>1.20478667084194</v>
      </c>
      <c r="G362" s="52" t="n">
        <f aca="false">IF($G$11=$E$11,$F$11,IF(U362&lt;($F$11-$E$11)/($G$11-$E$11),$E$11+SQRT(U362*($G$11-$E$11)*($F$11-$E$11)),$G$11-SQRT((1-U362)*($G$11-$E$11)*($G$11-$F$11))))</f>
        <v>0.0958650033967217</v>
      </c>
      <c r="H362" s="53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-2409573341.68387</v>
      </c>
      <c r="I362" s="53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-103740273.829539</v>
      </c>
      <c r="J362" s="53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95454693.809181</v>
      </c>
      <c r="K362" s="53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354888994.989998</v>
      </c>
      <c r="L362" s="53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448724086.213918</v>
      </c>
      <c r="M362" s="53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599626313.94116</v>
      </c>
      <c r="N362" s="53" t="n">
        <f aca="false">IF(COUNT('Business Case'!B11:G11)=0,"",H362+NPV(G362,I362:M362))</f>
        <v>-1464555959.07434</v>
      </c>
      <c r="P362" s="54" t="n">
        <f aca="true">RAND()</f>
        <v>0.160956384870939</v>
      </c>
      <c r="Q362" s="54" t="n">
        <f aca="true">RAND()</f>
        <v>0.137879756205738</v>
      </c>
      <c r="R362" s="54" t="n">
        <f aca="true">RAND()</f>
        <v>0.855300176329344</v>
      </c>
      <c r="S362" s="54" t="n">
        <f aca="true">RAND()</f>
        <v>0.351044303306263</v>
      </c>
      <c r="T362" s="54" t="n">
        <f aca="true">RAND()</f>
        <v>0.972743398219261</v>
      </c>
      <c r="U362" s="54" t="n">
        <f aca="true">RAND()</f>
        <v>0.251698332777992</v>
      </c>
    </row>
    <row r="363" customFormat="false" ht="15" hidden="false" customHeight="false" outlineLevel="0" collapsed="false">
      <c r="A363" s="50" t="n">
        <v>283</v>
      </c>
      <c r="B363" s="51" t="n">
        <f aca="false">1+IF($G$6=$E$6,$F$6,IF(P363&lt;($F$6-$E$6)/($G$6-$E$6),$E$6+SQRT(P363*($G$6-$E$6)*($F$6-$E$6)),$G$6-SQRT((1-P363)*($G$6-$E$6)*($G$6-$F$6))))</f>
        <v>1.00832806719807</v>
      </c>
      <c r="C363" s="51" t="n">
        <f aca="false">1+IF($G$7=$E$7,$F$7,IF(Q363&lt;($F$7-$E$7)/($G$7-$E$7),$E$7+SQRT(Q363*($G$7-$E$7)*($F$7-$E$7)),$G$7-SQRT((1-Q363)*($G$7-$E$7)*($G$7-$F$7))))</f>
        <v>1.04765678847117</v>
      </c>
      <c r="D363" s="51" t="n">
        <f aca="false">1+IF($G$8=$E$8,$F$8,IF(R363&lt;($F$8-$E$8)/($G$8-$E$8),$E$8+SQRT(R363*($G$8-$E$8)*($F$8-$E$8)),$G$8-SQRT((1-R363)*($G$8-$E$8)*($G$8-$F$8))))</f>
        <v>1.03965621707066</v>
      </c>
      <c r="E363" s="51" t="n">
        <f aca="false">1+IF($G$9=$E$9,$F$9,IF(S363&lt;($F$9-$E$9)/($G$9-$E$9),$E$9+SQRT(S363*($G$9-$E$9)*($F$9-$E$9)),$G$9-SQRT((1-S363)*($G$9-$E$9)*($G$9-$F$9))))</f>
        <v>1.06461299408491</v>
      </c>
      <c r="F363" s="51" t="n">
        <f aca="false">1+IF($G$10=$E$10,$F$10,IF(T363&lt;($F$10-$E$10)/($G$10-$E$10),$E$10+SQRT(T363*($G$10-$E$10)*($F$10-$E$10)),$G$10-SQRT((1-T363)*($G$10-$E$10)*($G$10-$F$10))))</f>
        <v>1.04633324067526</v>
      </c>
      <c r="G363" s="52" t="n">
        <f aca="false">IF($G$11=$E$11,$F$11,IF(U363&lt;($F$11-$E$11)/($G$11-$E$11),$E$11+SQRT(U363*($G$11-$E$11)*($F$11-$E$11)),$G$11-SQRT((1-U363)*($G$11-$E$11)*($G$11-$F$11))))</f>
        <v>0.104989598594931</v>
      </c>
      <c r="H363" s="53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-2092666481.35052</v>
      </c>
      <c r="I363" s="53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-3116158.38436835</v>
      </c>
      <c r="J363" s="53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304551804.698041</v>
      </c>
      <c r="K363" s="53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664536429.814214</v>
      </c>
      <c r="L363" s="53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803600970.601936</v>
      </c>
      <c r="M363" s="53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1004398012.61666</v>
      </c>
      <c r="N363" s="53" t="n">
        <f aca="false">IF(COUNT('Business Case'!B11:G11)=0,"",H363+NPV(G363,I363:M363))</f>
        <v>-204794045.930644</v>
      </c>
      <c r="P363" s="54" t="n">
        <f aca="true">RAND()</f>
        <v>0.768460002206813</v>
      </c>
      <c r="Q363" s="54" t="n">
        <f aca="true">RAND()</f>
        <v>0.844827660058732</v>
      </c>
      <c r="R363" s="54" t="n">
        <f aca="true">RAND()</f>
        <v>0.757241857451766</v>
      </c>
      <c r="S363" s="54" t="n">
        <f aca="true">RAND()</f>
        <v>0.805574912556149</v>
      </c>
      <c r="T363" s="54" t="n">
        <f aca="true">RAND()</f>
        <v>0.446931348615455</v>
      </c>
      <c r="U363" s="54" t="n">
        <f aca="true">RAND()</f>
        <v>0.582986547704876</v>
      </c>
    </row>
    <row r="364" customFormat="false" ht="15" hidden="false" customHeight="false" outlineLevel="0" collapsed="false">
      <c r="A364" s="50" t="n">
        <v>284</v>
      </c>
      <c r="B364" s="51" t="n">
        <f aca="false">1+IF($G$6=$E$6,$F$6,IF(P364&lt;($F$6-$E$6)/($G$6-$E$6),$E$6+SQRT(P364*($G$6-$E$6)*($F$6-$E$6)),$G$6-SQRT((1-P364)*($G$6-$E$6)*($G$6-$F$6))))</f>
        <v>0.958105212134135</v>
      </c>
      <c r="C364" s="51" t="n">
        <f aca="false">1+IF($G$7=$E$7,$F$7,IF(Q364&lt;($F$7-$E$7)/($G$7-$E$7),$E$7+SQRT(Q364*($G$7-$E$7)*($F$7-$E$7)),$G$7-SQRT((1-Q364)*($G$7-$E$7)*($G$7-$F$7))))</f>
        <v>0.861425647967719</v>
      </c>
      <c r="D364" s="51" t="n">
        <f aca="false">1+IF($G$8=$E$8,$F$8,IF(R364&lt;($F$8-$E$8)/($G$8-$E$8),$E$8+SQRT(R364*($G$8-$E$8)*($F$8-$E$8)),$G$8-SQRT((1-R364)*($G$8-$E$8)*($G$8-$F$8))))</f>
        <v>1.01970362390637</v>
      </c>
      <c r="E364" s="51" t="n">
        <f aca="false">1+IF($G$9=$E$9,$F$9,IF(S364&lt;($F$9-$E$9)/($G$9-$E$9),$E$9+SQRT(S364*($G$9-$E$9)*($F$9-$E$9)),$G$9-SQRT((1-S364)*($G$9-$E$9)*($G$9-$F$9))))</f>
        <v>0.946966244114256</v>
      </c>
      <c r="F364" s="51" t="n">
        <f aca="false">1+IF($G$10=$E$10,$F$10,IF(T364&lt;($F$10-$E$10)/($G$10-$E$10),$E$10+SQRT(T364*($G$10-$E$10)*($F$10-$E$10)),$G$10-SQRT((1-T364)*($G$10-$E$10)*($G$10-$F$10))))</f>
        <v>1.11527850496188</v>
      </c>
      <c r="G364" s="52" t="n">
        <f aca="false">IF($G$11=$E$11,$F$11,IF(U364&lt;($F$11-$E$11)/($G$11-$E$11),$E$11+SQRT(U364*($G$11-$E$11)*($F$11-$E$11)),$G$11-SQRT((1-U364)*($G$11-$E$11)*($G$11-$F$11))))</f>
        <v>0.0968667865719887</v>
      </c>
      <c r="H364" s="53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-2230557009.92376</v>
      </c>
      <c r="I364" s="53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-62631892.9520407</v>
      </c>
      <c r="J364" s="53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163708103.646207</v>
      </c>
      <c r="K364" s="53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445812025.492549</v>
      </c>
      <c r="L364" s="53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549782317.119333</v>
      </c>
      <c r="M364" s="53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706662260.636528</v>
      </c>
      <c r="N364" s="53" t="n">
        <f aca="false">IF(COUNT('Business Case'!B11:G11)=0,"",H364+NPV(G364,I364:M364))</f>
        <v>-988861809.431096</v>
      </c>
      <c r="P364" s="54" t="n">
        <f aca="true">RAND()</f>
        <v>0.225081045143519</v>
      </c>
      <c r="Q364" s="54" t="n">
        <f aca="true">RAND()</f>
        <v>0.193023998679986</v>
      </c>
      <c r="R364" s="54" t="n">
        <f aca="true">RAND()</f>
        <v>0.570166132415311</v>
      </c>
      <c r="S364" s="54" t="n">
        <f aca="true">RAND()</f>
        <v>0.0882331234479961</v>
      </c>
      <c r="T364" s="54" t="n">
        <f aca="true">RAND()</f>
        <v>0.758001583662583</v>
      </c>
      <c r="U364" s="54" t="n">
        <f aca="true">RAND()</f>
        <v>0.284488489265017</v>
      </c>
    </row>
    <row r="365" customFormat="false" ht="15" hidden="false" customHeight="false" outlineLevel="0" collapsed="false">
      <c r="A365" s="50" t="n">
        <v>285</v>
      </c>
      <c r="B365" s="51" t="n">
        <f aca="false">1+IF($G$6=$E$6,$F$6,IF(P365&lt;($F$6-$E$6)/($G$6-$E$6),$E$6+SQRT(P365*($G$6-$E$6)*($F$6-$E$6)),$G$6-SQRT((1-P365)*($G$6-$E$6)*($G$6-$F$6))))</f>
        <v>0.914010243829106</v>
      </c>
      <c r="C365" s="51" t="n">
        <f aca="false">1+IF($G$7=$E$7,$F$7,IF(Q365&lt;($F$7-$E$7)/($G$7-$E$7),$E$7+SQRT(Q365*($G$7-$E$7)*($F$7-$E$7)),$G$7-SQRT((1-Q365)*($G$7-$E$7)*($G$7-$F$7))))</f>
        <v>0.807349607776768</v>
      </c>
      <c r="D365" s="51" t="n">
        <f aca="false">1+IF($G$8=$E$8,$F$8,IF(R365&lt;($F$8-$E$8)/($G$8-$E$8),$E$8+SQRT(R365*($G$8-$E$8)*($F$8-$E$8)),$G$8-SQRT((1-R365)*($G$8-$E$8)*($G$8-$F$8))))</f>
        <v>0.990694256888337</v>
      </c>
      <c r="E365" s="51" t="n">
        <f aca="false">1+IF($G$9=$E$9,$F$9,IF(S365&lt;($F$9-$E$9)/($G$9-$E$9),$E$9+SQRT(S365*($G$9-$E$9)*($F$9-$E$9)),$G$9-SQRT((1-S365)*($G$9-$E$9)*($G$9-$F$9))))</f>
        <v>1.05934484823037</v>
      </c>
      <c r="F365" s="51" t="n">
        <f aca="false">1+IF($G$10=$E$10,$F$10,IF(T365&lt;($F$10-$E$10)/($G$10-$E$10),$E$10+SQRT(T365*($G$10-$E$10)*($F$10-$E$10)),$G$10-SQRT((1-T365)*($G$10-$E$10)*($G$10-$F$10))))</f>
        <v>1.01005450873041</v>
      </c>
      <c r="G365" s="52" t="n">
        <f aca="false">IF($G$11=$E$11,$F$11,IF(U365&lt;($F$11-$E$11)/($G$11-$E$11),$E$11+SQRT(U365*($G$11-$E$11)*($F$11-$E$11)),$G$11-SQRT((1-U365)*($G$11-$E$11)*($G$11-$F$11))))</f>
        <v>0.108212065239657</v>
      </c>
      <c r="H365" s="53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-2020109017.46081</v>
      </c>
      <c r="I365" s="53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-94936354.1767816</v>
      </c>
      <c r="J365" s="53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100025654.024626</v>
      </c>
      <c r="K365" s="53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345490387.662554</v>
      </c>
      <c r="L365" s="53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435980439.78755</v>
      </c>
      <c r="M365" s="53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576245378.10578</v>
      </c>
      <c r="N365" s="53" t="n">
        <f aca="false">IF(COUNT('Business Case'!B11:G11)=0,"",H365+NPV(G365,I365:M365))</f>
        <v>-1136692957.96472</v>
      </c>
      <c r="P365" s="54" t="n">
        <f aca="true">RAND()</f>
        <v>0.0130857954767329</v>
      </c>
      <c r="Q365" s="54" t="n">
        <f aca="true">RAND()</f>
        <v>0.0853625058505631</v>
      </c>
      <c r="R365" s="54" t="n">
        <f aca="true">RAND()</f>
        <v>0.220803005825864</v>
      </c>
      <c r="S365" s="54" t="n">
        <f aca="true">RAND()</f>
        <v>0.780843825536673</v>
      </c>
      <c r="T365" s="54" t="n">
        <f aca="true">RAND()</f>
        <v>0.232348816258573</v>
      </c>
      <c r="U365" s="54" t="n">
        <f aca="true">RAND()</f>
        <v>0.683523932586032</v>
      </c>
    </row>
    <row r="366" customFormat="false" ht="15" hidden="false" customHeight="false" outlineLevel="0" collapsed="false">
      <c r="A366" s="50" t="n">
        <v>286</v>
      </c>
      <c r="B366" s="51" t="n">
        <f aca="false">1+IF($G$6=$E$6,$F$6,IF(P366&lt;($F$6-$E$6)/($G$6-$E$6),$E$6+SQRT(P366*($G$6-$E$6)*($F$6-$E$6)),$G$6-SQRT((1-P366)*($G$6-$E$6)*($G$6-$F$6))))</f>
        <v>0.966963897532497</v>
      </c>
      <c r="C366" s="51" t="n">
        <f aca="false">1+IF($G$7=$E$7,$F$7,IF(Q366&lt;($F$7-$E$7)/($G$7-$E$7),$E$7+SQRT(Q366*($G$7-$E$7)*($F$7-$E$7)),$G$7-SQRT((1-Q366)*($G$7-$E$7)*($G$7-$F$7))))</f>
        <v>0.81564640702781</v>
      </c>
      <c r="D366" s="51" t="n">
        <f aca="false">1+IF($G$8=$E$8,$F$8,IF(R366&lt;($F$8-$E$8)/($G$8-$E$8),$E$8+SQRT(R366*($G$8-$E$8)*($F$8-$E$8)),$G$8-SQRT((1-R366)*($G$8-$E$8)*($G$8-$F$8))))</f>
        <v>1.01586060071424</v>
      </c>
      <c r="E366" s="51" t="n">
        <f aca="false">1+IF($G$9=$E$9,$F$9,IF(S366&lt;($F$9-$E$9)/($G$9-$E$9),$E$9+SQRT(S366*($G$9-$E$9)*($F$9-$E$9)),$G$9-SQRT((1-S366)*($G$9-$E$9)*($G$9-$F$9))))</f>
        <v>1.04109603073667</v>
      </c>
      <c r="F366" s="51" t="n">
        <f aca="false">1+IF($G$10=$E$10,$F$10,IF(T366&lt;($F$10-$E$10)/($G$10-$E$10),$E$10+SQRT(T366*($G$10-$E$10)*($F$10-$E$10)),$G$10-SQRT((1-T366)*($G$10-$E$10)*($G$10-$F$10))))</f>
        <v>1.04757247502872</v>
      </c>
      <c r="G366" s="52" t="n">
        <f aca="false">IF($G$11=$E$11,$F$11,IF(U366&lt;($F$11-$E$11)/($G$11-$E$11),$E$11+SQRT(U366*($G$11-$E$11)*($F$11-$E$11)),$G$11-SQRT((1-U366)*($G$11-$E$11)*($G$11-$F$11))))</f>
        <v>0.0951081881569719</v>
      </c>
      <c r="H366" s="53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-2095144950.05745</v>
      </c>
      <c r="I366" s="53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-71852976.7291339</v>
      </c>
      <c r="J366" s="53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149981390.209654</v>
      </c>
      <c r="K366" s="53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424194380.899879</v>
      </c>
      <c r="L366" s="53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525396663.609006</v>
      </c>
      <c r="M366" s="53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675312879.121423</v>
      </c>
      <c r="N366" s="53" t="n">
        <f aca="false">IF(COUNT('Business Case'!B11:G11)=0,"",H366+NPV(G366,I366:M366))</f>
        <v>-918629090.120558</v>
      </c>
      <c r="P366" s="54" t="n">
        <f aca="true">RAND()</f>
        <v>0.298944238182849</v>
      </c>
      <c r="Q366" s="54" t="n">
        <f aca="true">RAND()</f>
        <v>0.0990673441366061</v>
      </c>
      <c r="R366" s="54" t="n">
        <f aca="true">RAND()</f>
        <v>0.528037432522089</v>
      </c>
      <c r="S366" s="54" t="n">
        <f aca="true">RAND()</f>
        <v>0.683731346098425</v>
      </c>
      <c r="T366" s="54" t="n">
        <f aca="true">RAND()</f>
        <v>0.453641295120049</v>
      </c>
      <c r="U366" s="54" t="n">
        <f aca="true">RAND()</f>
        <v>0.228257349386466</v>
      </c>
    </row>
    <row r="367" customFormat="false" ht="15" hidden="false" customHeight="false" outlineLevel="0" collapsed="false">
      <c r="A367" s="50" t="n">
        <v>287</v>
      </c>
      <c r="B367" s="51" t="n">
        <f aca="false">1+IF($G$6=$E$6,$F$6,IF(P367&lt;($F$6-$E$6)/($G$6-$E$6),$E$6+SQRT(P367*($G$6-$E$6)*($F$6-$E$6)),$G$6-SQRT((1-P367)*($G$6-$E$6)*($G$6-$F$6))))</f>
        <v>0.980596940797885</v>
      </c>
      <c r="C367" s="51" t="n">
        <f aca="false">1+IF($G$7=$E$7,$F$7,IF(Q367&lt;($F$7-$E$7)/($G$7-$E$7),$E$7+SQRT(Q367*($G$7-$E$7)*($F$7-$E$7)),$G$7-SQRT((1-Q367)*($G$7-$E$7)*($G$7-$F$7))))</f>
        <v>0.934475967680375</v>
      </c>
      <c r="D367" s="51" t="n">
        <f aca="false">1+IF($G$8=$E$8,$F$8,IF(R367&lt;($F$8-$E$8)/($G$8-$E$8),$E$8+SQRT(R367*($G$8-$E$8)*($F$8-$E$8)),$G$8-SQRT((1-R367)*($G$8-$E$8)*($G$8-$F$8))))</f>
        <v>1.0459877659561</v>
      </c>
      <c r="E367" s="51" t="n">
        <f aca="false">1+IF($G$9=$E$9,$F$9,IF(S367&lt;($F$9-$E$9)/($G$9-$E$9),$E$9+SQRT(S367*($G$9-$E$9)*($F$9-$E$9)),$G$9-SQRT((1-S367)*($G$9-$E$9)*($G$9-$F$9))))</f>
        <v>0.944686034741201</v>
      </c>
      <c r="F367" s="51" t="n">
        <f aca="false">1+IF($G$10=$E$10,$F$10,IF(T367&lt;($F$10-$E$10)/($G$10-$E$10),$E$10+SQRT(T367*($G$10-$E$10)*($F$10-$E$10)),$G$10-SQRT((1-T367)*($G$10-$E$10)*($G$10-$F$10))))</f>
        <v>1.02733508607141</v>
      </c>
      <c r="G367" s="52" t="n">
        <f aca="false">IF($G$11=$E$11,$F$11,IF(U367&lt;($F$11-$E$11)/($G$11-$E$11),$E$11+SQRT(U367*($G$11-$E$11)*($F$11-$E$11)),$G$11-SQRT((1-U367)*($G$11-$E$11)*($G$11-$F$11))))</f>
        <v>0.0975124517398221</v>
      </c>
      <c r="H367" s="53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-2054670172.14283</v>
      </c>
      <c r="I367" s="53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-34395635.8401879</v>
      </c>
      <c r="J367" s="53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215779878.291078</v>
      </c>
      <c r="K367" s="53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517322146.725915</v>
      </c>
      <c r="L367" s="53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632382842.91908</v>
      </c>
      <c r="M367" s="53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806561562.740831</v>
      </c>
      <c r="N367" s="53" t="n">
        <f aca="false">IF(COUNT('Business Case'!B11:G11)=0,"",H367+NPV(G367,I367:M367))</f>
        <v>-573181625.876876</v>
      </c>
      <c r="P367" s="54" t="n">
        <f aca="true">RAND()</f>
        <v>0.433057791065182</v>
      </c>
      <c r="Q367" s="54" t="n">
        <f aca="true">RAND()</f>
        <v>0.407251699404804</v>
      </c>
      <c r="R367" s="54" t="n">
        <f aca="true">RAND()</f>
        <v>0.805511904905826</v>
      </c>
      <c r="S367" s="54" t="n">
        <f aca="true">RAND()</f>
        <v>0.0798736680356726</v>
      </c>
      <c r="T367" s="54" t="n">
        <f aca="true">RAND()</f>
        <v>0.338937814735673</v>
      </c>
      <c r="U367" s="54" t="n">
        <f aca="true">RAND()</f>
        <v>0.306685965939598</v>
      </c>
    </row>
    <row r="368" customFormat="false" ht="15" hidden="false" customHeight="false" outlineLevel="0" collapsed="false">
      <c r="A368" s="50" t="n">
        <v>288</v>
      </c>
      <c r="B368" s="51" t="n">
        <f aca="false">1+IF($G$6=$E$6,$F$6,IF(P368&lt;($F$6-$E$6)/($G$6-$E$6),$E$6+SQRT(P368*($G$6-$E$6)*($F$6-$E$6)),$G$6-SQRT((1-P368)*($G$6-$E$6)*($G$6-$F$6))))</f>
        <v>0.983549328478504</v>
      </c>
      <c r="C368" s="51" t="n">
        <f aca="false">1+IF($G$7=$E$7,$F$7,IF(Q368&lt;($F$7-$E$7)/($G$7-$E$7),$E$7+SQRT(Q368*($G$7-$E$7)*($F$7-$E$7)),$G$7-SQRT((1-Q368)*($G$7-$E$7)*($G$7-$F$7))))</f>
        <v>0.851793344114002</v>
      </c>
      <c r="D368" s="51" t="n">
        <f aca="false">1+IF($G$8=$E$8,$F$8,IF(R368&lt;($F$8-$E$8)/($G$8-$E$8),$E$8+SQRT(R368*($G$8-$E$8)*($F$8-$E$8)),$G$8-SQRT((1-R368)*($G$8-$E$8)*($G$8-$F$8))))</f>
        <v>1.04656607259632</v>
      </c>
      <c r="E368" s="51" t="n">
        <f aca="false">1+IF($G$9=$E$9,$F$9,IF(S368&lt;($F$9-$E$9)/($G$9-$E$9),$E$9+SQRT(S368*($G$9-$E$9)*($F$9-$E$9)),$G$9-SQRT((1-S368)*($G$9-$E$9)*($G$9-$F$9))))</f>
        <v>1.04156479209198</v>
      </c>
      <c r="F368" s="51" t="n">
        <f aca="false">1+IF($G$10=$E$10,$F$10,IF(T368&lt;($F$10-$E$10)/($G$10-$E$10),$E$10+SQRT(T368*($G$10-$E$10)*($F$10-$E$10)),$G$10-SQRT((1-T368)*($G$10-$E$10)*($G$10-$F$10))))</f>
        <v>0.989044667805058</v>
      </c>
      <c r="G368" s="52" t="n">
        <f aca="false">IF($G$11=$E$11,$F$11,IF(U368&lt;($F$11-$E$11)/($G$11-$E$11),$E$11+SQRT(U368*($G$11-$E$11)*($F$11-$E$11)),$G$11-SQRT((1-U368)*($G$11-$E$11)*($G$11-$F$11))))</f>
        <v>0.107826626421613</v>
      </c>
      <c r="H368" s="53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-1978089335.61012</v>
      </c>
      <c r="I368" s="53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-60597950.1984466</v>
      </c>
      <c r="J368" s="53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169249635.019135</v>
      </c>
      <c r="K368" s="53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448549453.626971</v>
      </c>
      <c r="L368" s="53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554119018.832861</v>
      </c>
      <c r="M368" s="53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713364387.899689</v>
      </c>
      <c r="N368" s="53" t="n">
        <f aca="false">IF(COUNT('Business Case'!B11:G11)=0,"",H368+NPV(G368,I368:M368))</f>
        <v>-769569031.163912</v>
      </c>
      <c r="P368" s="54" t="n">
        <f aca="true">RAND()</f>
        <v>0.465366019280591</v>
      </c>
      <c r="Q368" s="54" t="n">
        <f aca="true">RAND()</f>
        <v>0.170675698646755</v>
      </c>
      <c r="R368" s="54" t="n">
        <f aca="true">RAND()</f>
        <v>0.80965436014791</v>
      </c>
      <c r="S368" s="54" t="n">
        <f aca="true">RAND()</f>
        <v>0.686448151625164</v>
      </c>
      <c r="T368" s="54" t="n">
        <f aca="true">RAND()</f>
        <v>0.101632405600488</v>
      </c>
      <c r="U368" s="54" t="n">
        <f aca="true">RAND()</f>
        <v>0.672227669435515</v>
      </c>
    </row>
    <row r="369" customFormat="false" ht="15" hidden="false" customHeight="false" outlineLevel="0" collapsed="false">
      <c r="A369" s="50" t="n">
        <v>289</v>
      </c>
      <c r="B369" s="51" t="n">
        <f aca="false">1+IF($G$6=$E$6,$F$6,IF(P369&lt;($F$6-$E$6)/($G$6-$E$6),$E$6+SQRT(P369*($G$6-$E$6)*($F$6-$E$6)),$G$6-SQRT((1-P369)*($G$6-$E$6)*($G$6-$F$6))))</f>
        <v>1.02232753746024</v>
      </c>
      <c r="C369" s="51" t="n">
        <f aca="false">1+IF($G$7=$E$7,$F$7,IF(Q369&lt;($F$7-$E$7)/($G$7-$E$7),$E$7+SQRT(Q369*($G$7-$E$7)*($F$7-$E$7)),$G$7-SQRT((1-Q369)*($G$7-$E$7)*($G$7-$F$7))))</f>
        <v>0.960397658712069</v>
      </c>
      <c r="D369" s="51" t="n">
        <f aca="false">1+IF($G$8=$E$8,$F$8,IF(R369&lt;($F$8-$E$8)/($G$8-$E$8),$E$8+SQRT(R369*($G$8-$E$8)*($F$8-$E$8)),$G$8-SQRT((1-R369)*($G$8-$E$8)*($G$8-$F$8))))</f>
        <v>0.989176079359624</v>
      </c>
      <c r="E369" s="51" t="n">
        <f aca="false">1+IF($G$9=$E$9,$F$9,IF(S369&lt;($F$9-$E$9)/($G$9-$E$9),$E$9+SQRT(S369*($G$9-$E$9)*($F$9-$E$9)),$G$9-SQRT((1-S369)*($G$9-$E$9)*($G$9-$F$9))))</f>
        <v>1.09185333793259</v>
      </c>
      <c r="F369" s="51" t="n">
        <f aca="false">1+IF($G$10=$E$10,$F$10,IF(T369&lt;($F$10-$E$10)/($G$10-$E$10),$E$10+SQRT(T369*($G$10-$E$10)*($F$10-$E$10)),$G$10-SQRT((1-T369)*($G$10-$E$10)*($G$10-$F$10))))</f>
        <v>1.20291816109593</v>
      </c>
      <c r="G369" s="52" t="n">
        <f aca="false">IF($G$11=$E$11,$F$11,IF(U369&lt;($F$11-$E$11)/($G$11-$E$11),$E$11+SQRT(U369*($G$11-$E$11)*($F$11-$E$11)),$G$11-SQRT((1-U369)*($G$11-$E$11)*($G$11-$F$11))))</f>
        <v>0.0955885450889278</v>
      </c>
      <c r="H369" s="53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-2405836322.19187</v>
      </c>
      <c r="I369" s="53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-8578770.8817548</v>
      </c>
      <c r="J369" s="53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309294455.061864</v>
      </c>
      <c r="K369" s="53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687313589.06028</v>
      </c>
      <c r="L369" s="53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827203755.082663</v>
      </c>
      <c r="M369" s="53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1013832087.30914</v>
      </c>
      <c r="N369" s="53" t="n">
        <f aca="false">IF(COUNT('Business Case'!B11:G11)=0,"",H369+NPV(G369,I369:M369))</f>
        <v>-416904337.792864</v>
      </c>
      <c r="P369" s="54" t="n">
        <f aca="true">RAND()</f>
        <v>0.897897975598102</v>
      </c>
      <c r="Q369" s="54" t="n">
        <f aca="true">RAND()</f>
        <v>0.502273634538719</v>
      </c>
      <c r="R369" s="54" t="n">
        <f aca="true">RAND()</f>
        <v>0.204635359198878</v>
      </c>
      <c r="S369" s="54" t="n">
        <f aca="true">RAND()</f>
        <v>0.909839085077827</v>
      </c>
      <c r="T369" s="54" t="n">
        <f aca="true">RAND()</f>
        <v>0.97044400593882</v>
      </c>
      <c r="U369" s="54" t="n">
        <f aca="true">RAND()</f>
        <v>0.243002737989535</v>
      </c>
    </row>
    <row r="370" customFormat="false" ht="15" hidden="false" customHeight="false" outlineLevel="0" collapsed="false">
      <c r="A370" s="50" t="n">
        <v>290</v>
      </c>
      <c r="B370" s="51" t="n">
        <f aca="false">1+IF($G$6=$E$6,$F$6,IF(P370&lt;($F$6-$E$6)/($G$6-$E$6),$E$6+SQRT(P370*($G$6-$E$6)*($F$6-$E$6)),$G$6-SQRT((1-P370)*($G$6-$E$6)*($G$6-$F$6))))</f>
        <v>0.97327385696512</v>
      </c>
      <c r="C370" s="51" t="n">
        <f aca="false">1+IF($G$7=$E$7,$F$7,IF(Q370&lt;($F$7-$E$7)/($G$7-$E$7),$E$7+SQRT(Q370*($G$7-$E$7)*($F$7-$E$7)),$G$7-SQRT((1-Q370)*($G$7-$E$7)*($G$7-$F$7))))</f>
        <v>0.998021364792116</v>
      </c>
      <c r="D370" s="51" t="n">
        <f aca="false">1+IF($G$8=$E$8,$F$8,IF(R370&lt;($F$8-$E$8)/($G$8-$E$8),$E$8+SQRT(R370*($G$8-$E$8)*($F$8-$E$8)),$G$8-SQRT((1-R370)*($G$8-$E$8)*($G$8-$F$8))))</f>
        <v>0.978144035465012</v>
      </c>
      <c r="E370" s="51" t="n">
        <f aca="false">1+IF($G$9=$E$9,$F$9,IF(S370&lt;($F$9-$E$9)/($G$9-$E$9),$E$9+SQRT(S370*($G$9-$E$9)*($F$9-$E$9)),$G$9-SQRT((1-S370)*($G$9-$E$9)*($G$9-$F$9))))</f>
        <v>1.00972606286585</v>
      </c>
      <c r="F370" s="51" t="n">
        <f aca="false">1+IF($G$10=$E$10,$F$10,IF(T370&lt;($F$10-$E$10)/($G$10-$E$10),$E$10+SQRT(T370*($G$10-$E$10)*($F$10-$E$10)),$G$10-SQRT((1-T370)*($G$10-$E$10)*($G$10-$F$10))))</f>
        <v>1.09649618260778</v>
      </c>
      <c r="G370" s="52" t="n">
        <f aca="false">IF($G$11=$E$11,$F$11,IF(U370&lt;($F$11-$E$11)/($G$11-$E$11),$E$11+SQRT(U370*($G$11-$E$11)*($F$11-$E$11)),$G$11-SQRT((1-U370)*($G$11-$E$11)*($G$11-$F$11))))</f>
        <v>0.0897222659112085</v>
      </c>
      <c r="H370" s="53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-2192992365.21556</v>
      </c>
      <c r="I370" s="53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-7724046.27528963</v>
      </c>
      <c r="J370" s="53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288139257.511566</v>
      </c>
      <c r="K370" s="53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638827370.428811</v>
      </c>
      <c r="L370" s="53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771018262.132325</v>
      </c>
      <c r="M370" s="53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955652109.559083</v>
      </c>
      <c r="N370" s="53" t="n">
        <f aca="false">IF(COUNT('Business Case'!B11:G11)=0,"",H370+NPV(G370,I370:M370))</f>
        <v>-295100523.935784</v>
      </c>
      <c r="P370" s="54" t="n">
        <f aca="true">RAND()</f>
        <v>0.357937207636321</v>
      </c>
      <c r="Q370" s="54" t="n">
        <f aca="true">RAND()</f>
        <v>0.657901732389301</v>
      </c>
      <c r="R370" s="54" t="n">
        <f aca="true">RAND()</f>
        <v>0.105611564300783</v>
      </c>
      <c r="S370" s="54" t="n">
        <f aca="true">RAND()</f>
        <v>0.475285934956939</v>
      </c>
      <c r="T370" s="54" t="n">
        <f aca="true">RAND()</f>
        <v>0.68582104061354</v>
      </c>
      <c r="U370" s="54" t="n">
        <f aca="true">RAND()</f>
        <v>0.0945224544482468</v>
      </c>
    </row>
    <row r="371" customFormat="false" ht="15" hidden="false" customHeight="false" outlineLevel="0" collapsed="false">
      <c r="A371" s="50" t="n">
        <v>291</v>
      </c>
      <c r="B371" s="51" t="n">
        <f aca="false">1+IF($G$6=$E$6,$F$6,IF(P371&lt;($F$6-$E$6)/($G$6-$E$6),$E$6+SQRT(P371*($G$6-$E$6)*($F$6-$E$6)),$G$6-SQRT((1-P371)*($G$6-$E$6)*($G$6-$F$6))))</f>
        <v>1.01624696854986</v>
      </c>
      <c r="C371" s="51" t="n">
        <f aca="false">1+IF($G$7=$E$7,$F$7,IF(Q371&lt;($F$7-$E$7)/($G$7-$E$7),$E$7+SQRT(Q371*($G$7-$E$7)*($F$7-$E$7)),$G$7-SQRT((1-Q371)*($G$7-$E$7)*($G$7-$F$7))))</f>
        <v>0.936717244041111</v>
      </c>
      <c r="D371" s="51" t="n">
        <f aca="false">1+IF($G$8=$E$8,$F$8,IF(R371&lt;($F$8-$E$8)/($G$8-$E$8),$E$8+SQRT(R371*($G$8-$E$8)*($F$8-$E$8)),$G$8-SQRT((1-R371)*($G$8-$E$8)*($G$8-$F$8))))</f>
        <v>1.05407474654084</v>
      </c>
      <c r="E371" s="51" t="n">
        <f aca="false">1+IF($G$9=$E$9,$F$9,IF(S371&lt;($F$9-$E$9)/($G$9-$E$9),$E$9+SQRT(S371*($G$9-$E$9)*($F$9-$E$9)),$G$9-SQRT((1-S371)*($G$9-$E$9)*($G$9-$F$9))))</f>
        <v>1.00041700707909</v>
      </c>
      <c r="F371" s="51" t="n">
        <f aca="false">1+IF($G$10=$E$10,$F$10,IF(T371&lt;($F$10-$E$10)/($G$10-$E$10),$E$10+SQRT(T371*($G$10-$E$10)*($F$10-$E$10)),$G$10-SQRT((1-T371)*($G$10-$E$10)*($G$10-$F$10))))</f>
        <v>1.0810474936855</v>
      </c>
      <c r="G371" s="52" t="n">
        <f aca="false">IF($G$11=$E$11,$F$11,IF(U371&lt;($F$11-$E$11)/($G$11-$E$11),$E$11+SQRT(U371*($G$11-$E$11)*($F$11-$E$11)),$G$11-SQRT((1-U371)*($G$11-$E$11)*($G$11-$F$11))))</f>
        <v>0.105097850097972</v>
      </c>
      <c r="H371" s="53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-2162094987.371</v>
      </c>
      <c r="I371" s="53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-25462686.9578417</v>
      </c>
      <c r="J371" s="53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248787039.191518</v>
      </c>
      <c r="K371" s="53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577089140.025152</v>
      </c>
      <c r="L371" s="53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701404625.629609</v>
      </c>
      <c r="M371" s="53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882348631.846961</v>
      </c>
      <c r="N371" s="53" t="n">
        <f aca="false">IF(COUNT('Business Case'!B11:G11)=0,"",H371+NPV(G371,I371:M371))</f>
        <v>-548178222.537414</v>
      </c>
      <c r="P371" s="54" t="n">
        <f aca="true">RAND()</f>
        <v>0.848097715723469</v>
      </c>
      <c r="Q371" s="54" t="n">
        <f aca="true">RAND()</f>
        <v>0.415074471306805</v>
      </c>
      <c r="R371" s="54" t="n">
        <f aca="true">RAND()</f>
        <v>0.859391406314101</v>
      </c>
      <c r="S371" s="54" t="n">
        <f aca="true">RAND()</f>
        <v>0.40333141943525</v>
      </c>
      <c r="T371" s="54" t="n">
        <f aca="true">RAND()</f>
        <v>0.619400674800653</v>
      </c>
      <c r="U371" s="54" t="n">
        <f aca="true">RAND()</f>
        <v>0.586588620171279</v>
      </c>
    </row>
    <row r="372" customFormat="false" ht="15" hidden="false" customHeight="false" outlineLevel="0" collapsed="false">
      <c r="A372" s="50" t="n">
        <v>292</v>
      </c>
      <c r="B372" s="51" t="n">
        <f aca="false">1+IF($G$6=$E$6,$F$6,IF(P372&lt;($F$6-$E$6)/($G$6-$E$6),$E$6+SQRT(P372*($G$6-$E$6)*($F$6-$E$6)),$G$6-SQRT((1-P372)*($G$6-$E$6)*($G$6-$F$6))))</f>
        <v>0.952036975135704</v>
      </c>
      <c r="C372" s="51" t="n">
        <f aca="false">1+IF($G$7=$E$7,$F$7,IF(Q372&lt;($F$7-$E$7)/($G$7-$E$7),$E$7+SQRT(Q372*($G$7-$E$7)*($F$7-$E$7)),$G$7-SQRT((1-Q372)*($G$7-$E$7)*($G$7-$F$7))))</f>
        <v>0.803737618988143</v>
      </c>
      <c r="D372" s="51" t="n">
        <f aca="false">1+IF($G$8=$E$8,$F$8,IF(R372&lt;($F$8-$E$8)/($G$8-$E$8),$E$8+SQRT(R372*($G$8-$E$8)*($F$8-$E$8)),$G$8-SQRT((1-R372)*($G$8-$E$8)*($G$8-$F$8))))</f>
        <v>1.01302933058386</v>
      </c>
      <c r="E372" s="51" t="n">
        <f aca="false">1+IF($G$9=$E$9,$F$9,IF(S372&lt;($F$9-$E$9)/($G$9-$E$9),$E$9+SQRT(S372*($G$9-$E$9)*($F$9-$E$9)),$G$9-SQRT((1-S372)*($G$9-$E$9)*($G$9-$F$9))))</f>
        <v>1.01230175828405</v>
      </c>
      <c r="F372" s="51" t="n">
        <f aca="false">1+IF($G$10=$E$10,$F$10,IF(T372&lt;($F$10-$E$10)/($G$10-$E$10),$E$10+SQRT(T372*($G$10-$E$10)*($F$10-$E$10)),$G$10-SQRT((1-T372)*($G$10-$E$10)*($G$10-$F$10))))</f>
        <v>1.07216424895144</v>
      </c>
      <c r="G372" s="52" t="n">
        <f aca="false">IF($G$11=$E$11,$F$11,IF(U372&lt;($F$11-$E$11)/($G$11-$E$11),$E$11+SQRT(U372*($G$11-$E$11)*($F$11-$E$11)),$G$11-SQRT((1-U372)*($G$11-$E$11)*($G$11-$F$11))))</f>
        <v>0.122923636811449</v>
      </c>
      <c r="H372" s="53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-2144328497.90287</v>
      </c>
      <c r="I372" s="53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-80899339.4651792</v>
      </c>
      <c r="J372" s="53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129034398.366104</v>
      </c>
      <c r="K372" s="53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392576348.644959</v>
      </c>
      <c r="L372" s="53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488999156.170939</v>
      </c>
      <c r="M372" s="53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634446078.206472</v>
      </c>
      <c r="N372" s="53" t="n">
        <f aca="false">IF(COUNT('Business Case'!B11:G11)=0,"",H372+NPV(G372,I372:M372))</f>
        <v>-1173906721.06124</v>
      </c>
      <c r="P372" s="54" t="n">
        <f aca="true">RAND()</f>
        <v>0.180523118751593</v>
      </c>
      <c r="Q372" s="54" t="n">
        <f aca="true">RAND()</f>
        <v>0.0797147673579934</v>
      </c>
      <c r="R372" s="54" t="n">
        <f aca="true">RAND()</f>
        <v>0.495740177420614</v>
      </c>
      <c r="S372" s="54" t="n">
        <f aca="true">RAND()</f>
        <v>0.494378512755627</v>
      </c>
      <c r="T372" s="54" t="n">
        <f aca="true">RAND()</f>
        <v>0.578325941986572</v>
      </c>
      <c r="U372" s="54" t="n">
        <f aca="true">RAND()</f>
        <v>0.966616722682476</v>
      </c>
    </row>
    <row r="373" customFormat="false" ht="15" hidden="false" customHeight="false" outlineLevel="0" collapsed="false">
      <c r="A373" s="50" t="n">
        <v>293</v>
      </c>
      <c r="B373" s="51" t="n">
        <f aca="false">1+IF($G$6=$E$6,$F$6,IF(P373&lt;($F$6-$E$6)/($G$6-$E$6),$E$6+SQRT(P373*($G$6-$E$6)*($F$6-$E$6)),$G$6-SQRT((1-P373)*($G$6-$E$6)*($G$6-$F$6))))</f>
        <v>0.975862213822385</v>
      </c>
      <c r="C373" s="51" t="n">
        <f aca="false">1+IF($G$7=$E$7,$F$7,IF(Q373&lt;($F$7-$E$7)/($G$7-$E$7),$E$7+SQRT(Q373*($G$7-$E$7)*($F$7-$E$7)),$G$7-SQRT((1-Q373)*($G$7-$E$7)*($G$7-$F$7))))</f>
        <v>0.795805148819444</v>
      </c>
      <c r="D373" s="51" t="n">
        <f aca="false">1+IF($G$8=$E$8,$F$8,IF(R373&lt;($F$8-$E$8)/($G$8-$E$8),$E$8+SQRT(R373*($G$8-$E$8)*($F$8-$E$8)),$G$8-SQRT((1-R373)*($G$8-$E$8)*($G$8-$F$8))))</f>
        <v>1.06433934548367</v>
      </c>
      <c r="E373" s="51" t="n">
        <f aca="false">1+IF($G$9=$E$9,$F$9,IF(S373&lt;($F$9-$E$9)/($G$9-$E$9),$E$9+SQRT(S373*($G$9-$E$9)*($F$9-$E$9)),$G$9-SQRT((1-S373)*($G$9-$E$9)*($G$9-$F$9))))</f>
        <v>0.933984645388142</v>
      </c>
      <c r="F373" s="51" t="n">
        <f aca="false">1+IF($G$10=$E$10,$F$10,IF(T373&lt;($F$10-$E$10)/($G$10-$E$10),$E$10+SQRT(T373*($G$10-$E$10)*($F$10-$E$10)),$G$10-SQRT((1-T373)*($G$10-$E$10)*($G$10-$F$10))))</f>
        <v>1.15564378762523</v>
      </c>
      <c r="G373" s="52" t="n">
        <f aca="false">IF($G$11=$E$11,$F$11,IF(U373&lt;($F$11-$E$11)/($G$11-$E$11),$E$11+SQRT(U373*($G$11-$E$11)*($F$11-$E$11)),$G$11-SQRT((1-U373)*($G$11-$E$11)*($G$11-$F$11))))</f>
        <v>0.0824603211771949</v>
      </c>
      <c r="H373" s="53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-2311287575.25047</v>
      </c>
      <c r="I373" s="53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-86147245.1872995</v>
      </c>
      <c r="J373" s="53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116341250.637736</v>
      </c>
      <c r="K373" s="53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376611935.844034</v>
      </c>
      <c r="L373" s="53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470947264.902791</v>
      </c>
      <c r="M373" s="53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618562665.713393</v>
      </c>
      <c r="N373" s="53" t="n">
        <f aca="false">IF(COUNT('Business Case'!B11:G11)=0,"",H373+NPV(G373,I373:M373))</f>
        <v>-1235403846.60354</v>
      </c>
      <c r="P373" s="54" t="n">
        <f aca="true">RAND()</f>
        <v>0.383671699068888</v>
      </c>
      <c r="Q373" s="54" t="n">
        <f aca="true">RAND()</f>
        <v>0.0679898262245621</v>
      </c>
      <c r="R373" s="54" t="n">
        <f aca="true">RAND()</f>
        <v>0.915221181297783</v>
      </c>
      <c r="S373" s="54" t="n">
        <f aca="true">RAND()</f>
        <v>0.0461982448863092</v>
      </c>
      <c r="T373" s="54" t="n">
        <f aca="true">RAND()</f>
        <v>0.881292069150503</v>
      </c>
      <c r="U373" s="54" t="n">
        <f aca="true">RAND()</f>
        <v>0.0060531802949538</v>
      </c>
    </row>
    <row r="374" customFormat="false" ht="15" hidden="false" customHeight="false" outlineLevel="0" collapsed="false">
      <c r="A374" s="50" t="n">
        <v>294</v>
      </c>
      <c r="B374" s="51" t="n">
        <f aca="false">1+IF($G$6=$E$6,$F$6,IF(P374&lt;($F$6-$E$6)/($G$6-$E$6),$E$6+SQRT(P374*($G$6-$E$6)*($F$6-$E$6)),$G$6-SQRT((1-P374)*($G$6-$E$6)*($G$6-$F$6))))</f>
        <v>0.968537833872961</v>
      </c>
      <c r="C374" s="51" t="n">
        <f aca="false">1+IF($G$7=$E$7,$F$7,IF(Q374&lt;($F$7-$E$7)/($G$7-$E$7),$E$7+SQRT(Q374*($G$7-$E$7)*($F$7-$E$7)),$G$7-SQRT((1-Q374)*($G$7-$E$7)*($G$7-$F$7))))</f>
        <v>0.80965182697407</v>
      </c>
      <c r="D374" s="51" t="n">
        <f aca="false">1+IF($G$8=$E$8,$F$8,IF(R374&lt;($F$8-$E$8)/($G$8-$E$8),$E$8+SQRT(R374*($G$8-$E$8)*($F$8-$E$8)),$G$8-SQRT((1-R374)*($G$8-$E$8)*($G$8-$F$8))))</f>
        <v>1.05890716853328</v>
      </c>
      <c r="E374" s="51" t="n">
        <f aca="false">1+IF($G$9=$E$9,$F$9,IF(S374&lt;($F$9-$E$9)/($G$9-$E$9),$E$9+SQRT(S374*($G$9-$E$9)*($F$9-$E$9)),$G$9-SQRT((1-S374)*($G$9-$E$9)*($G$9-$F$9))))</f>
        <v>1.04019080073187</v>
      </c>
      <c r="F374" s="51" t="n">
        <f aca="false">1+IF($G$10=$E$10,$F$10,IF(T374&lt;($F$10-$E$10)/($G$10-$E$10),$E$10+SQRT(T374*($G$10-$E$10)*($F$10-$E$10)),$G$10-SQRT((1-T374)*($G$10-$E$10)*($G$10-$F$10))))</f>
        <v>1.16672791441564</v>
      </c>
      <c r="G374" s="52" t="n">
        <f aca="false">IF($G$11=$E$11,$F$11,IF(U374&lt;($F$11-$E$11)/($G$11-$E$11),$E$11+SQRT(U374*($G$11-$E$11)*($F$11-$E$11)),$G$11-SQRT((1-U374)*($G$11-$E$11)*($G$11-$F$11))))</f>
        <v>0.0943065257632421</v>
      </c>
      <c r="H374" s="53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-2333455828.83129</v>
      </c>
      <c r="I374" s="53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-101833768.233127</v>
      </c>
      <c r="J374" s="53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101572196.478926</v>
      </c>
      <c r="K374" s="53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363314556.911762</v>
      </c>
      <c r="L374" s="53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458217751.575477</v>
      </c>
      <c r="M374" s="53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607274386.920475</v>
      </c>
      <c r="N374" s="53" t="n">
        <f aca="false">IF(COUNT('Business Case'!B11:G11)=0,"",H374+NPV(G374,I374:M374))</f>
        <v>-1357933056.3337</v>
      </c>
      <c r="P374" s="54" t="n">
        <f aca="true">RAND()</f>
        <v>0.313162311466505</v>
      </c>
      <c r="Q374" s="54" t="n">
        <f aca="true">RAND()</f>
        <v>0.089063134509269</v>
      </c>
      <c r="R374" s="54" t="n">
        <f aca="true">RAND()</f>
        <v>0.887425280136531</v>
      </c>
      <c r="S374" s="54" t="n">
        <f aca="true">RAND()</f>
        <v>0.678451726829127</v>
      </c>
      <c r="T374" s="54" t="n">
        <f aca="true">RAND()</f>
        <v>0.907543463499085</v>
      </c>
      <c r="U374" s="54" t="n">
        <f aca="true">RAND()</f>
        <v>0.204676679414309</v>
      </c>
    </row>
    <row r="375" customFormat="false" ht="15" hidden="false" customHeight="false" outlineLevel="0" collapsed="false">
      <c r="A375" s="50" t="n">
        <v>295</v>
      </c>
      <c r="B375" s="51" t="n">
        <f aca="false">1+IF($G$6=$E$6,$F$6,IF(P375&lt;($F$6-$E$6)/($G$6-$E$6),$E$6+SQRT(P375*($G$6-$E$6)*($F$6-$E$6)),$G$6-SQRT((1-P375)*($G$6-$E$6)*($G$6-$F$6))))</f>
        <v>1.03233690357107</v>
      </c>
      <c r="C375" s="51" t="n">
        <f aca="false">1+IF($G$7=$E$7,$F$7,IF(Q375&lt;($F$7-$E$7)/($G$7-$E$7),$E$7+SQRT(Q375*($G$7-$E$7)*($F$7-$E$7)),$G$7-SQRT((1-Q375)*($G$7-$E$7)*($G$7-$F$7))))</f>
        <v>0.969954686575939</v>
      </c>
      <c r="D375" s="51" t="n">
        <f aca="false">1+IF($G$8=$E$8,$F$8,IF(R375&lt;($F$8-$E$8)/($G$8-$E$8),$E$8+SQRT(R375*($G$8-$E$8)*($F$8-$E$8)),$G$8-SQRT((1-R375)*($G$8-$E$8)*($G$8-$F$8))))</f>
        <v>1.03767172941834</v>
      </c>
      <c r="E375" s="51" t="n">
        <f aca="false">1+IF($G$9=$E$9,$F$9,IF(S375&lt;($F$9-$E$9)/($G$9-$E$9),$E$9+SQRT(S375*($G$9-$E$9)*($F$9-$E$9)),$G$9-SQRT((1-S375)*($G$9-$E$9)*($G$9-$F$9))))</f>
        <v>1.03849028082973</v>
      </c>
      <c r="F375" s="51" t="n">
        <f aca="false">1+IF($G$10=$E$10,$F$10,IF(T375&lt;($F$10-$E$10)/($G$10-$E$10),$E$10+SQRT(T375*($G$10-$E$10)*($F$10-$E$10)),$G$10-SQRT((1-T375)*($G$10-$E$10)*($G$10-$F$10))))</f>
        <v>1.07285373380245</v>
      </c>
      <c r="G375" s="52" t="n">
        <f aca="false">IF($G$11=$E$11,$F$11,IF(U375&lt;($F$11-$E$11)/($G$11-$E$11),$E$11+SQRT(U375*($G$11-$E$11)*($F$11-$E$11)),$G$11-SQRT((1-U375)*($G$11-$E$11)*($G$11-$F$11))))</f>
        <v>0.113782460130372</v>
      </c>
      <c r="H375" s="53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-2145707467.60491</v>
      </c>
      <c r="I375" s="53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-1958625.11911945</v>
      </c>
      <c r="J375" s="53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302949870.795845</v>
      </c>
      <c r="K375" s="53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661501053.400933</v>
      </c>
      <c r="L375" s="53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797742838.519156</v>
      </c>
      <c r="M375" s="53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988073747.491947</v>
      </c>
      <c r="N375" s="53" t="n">
        <f aca="false">IF(COUNT('Business Case'!B11:G11)=0,"",H375+NPV(G375,I375:M375))</f>
        <v>-329599522.544282</v>
      </c>
      <c r="P375" s="54" t="n">
        <f aca="true">RAND()</f>
        <v>0.958402003272331</v>
      </c>
      <c r="Q375" s="54" t="n">
        <f aca="true">RAND()</f>
        <v>0.539818761513433</v>
      </c>
      <c r="R375" s="54" t="n">
        <f aca="true">RAND()</f>
        <v>0.741012445753328</v>
      </c>
      <c r="S375" s="54" t="n">
        <f aca="true">RAND()</f>
        <v>0.668415534148437</v>
      </c>
      <c r="T375" s="54" t="n">
        <f aca="true">RAND()</f>
        <v>0.581589338296908</v>
      </c>
      <c r="U375" s="54" t="n">
        <f aca="true">RAND()</f>
        <v>0.824660933718019</v>
      </c>
    </row>
    <row r="376" customFormat="false" ht="15" hidden="false" customHeight="false" outlineLevel="0" collapsed="false">
      <c r="A376" s="50" t="n">
        <v>296</v>
      </c>
      <c r="B376" s="51" t="n">
        <f aca="false">1+IF($G$6=$E$6,$F$6,IF(P376&lt;($F$6-$E$6)/($G$6-$E$6),$E$6+SQRT(P376*($G$6-$E$6)*($F$6-$E$6)),$G$6-SQRT((1-P376)*($G$6-$E$6)*($G$6-$F$6))))</f>
        <v>0.98093258689917</v>
      </c>
      <c r="C376" s="51" t="n">
        <f aca="false">1+IF($G$7=$E$7,$F$7,IF(Q376&lt;($F$7-$E$7)/($G$7-$E$7),$E$7+SQRT(Q376*($G$7-$E$7)*($F$7-$E$7)),$G$7-SQRT((1-Q376)*($G$7-$E$7)*($G$7-$F$7))))</f>
        <v>1.11513277106265</v>
      </c>
      <c r="D376" s="51" t="n">
        <f aca="false">1+IF($G$8=$E$8,$F$8,IF(R376&lt;($F$8-$E$8)/($G$8-$E$8),$E$8+SQRT(R376*($G$8-$E$8)*($F$8-$E$8)),$G$8-SQRT((1-R376)*($G$8-$E$8)*($G$8-$F$8))))</f>
        <v>1.06361845345821</v>
      </c>
      <c r="E376" s="51" t="n">
        <f aca="false">1+IF($G$9=$E$9,$F$9,IF(S376&lt;($F$9-$E$9)/($G$9-$E$9),$E$9+SQRT(S376*($G$9-$E$9)*($F$9-$E$9)),$G$9-SQRT((1-S376)*($G$9-$E$9)*($G$9-$F$9))))</f>
        <v>1.03803932167266</v>
      </c>
      <c r="F376" s="51" t="n">
        <f aca="false">1+IF($G$10=$E$10,$F$10,IF(T376&lt;($F$10-$E$10)/($G$10-$E$10),$E$10+SQRT(T376*($G$10-$E$10)*($F$10-$E$10)),$G$10-SQRT((1-T376)*($G$10-$E$10)*($G$10-$F$10))))</f>
        <v>1.03258766691535</v>
      </c>
      <c r="G376" s="52" t="n">
        <f aca="false">IF($G$11=$E$11,$F$11,IF(U376&lt;($F$11-$E$11)/($G$11-$E$11),$E$11+SQRT(U376*($G$11-$E$11)*($F$11-$E$11)),$G$11-SQRT((1-U376)*($G$11-$E$11)*($G$11-$F$11))))</f>
        <v>0.104207410028726</v>
      </c>
      <c r="H376" s="53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-2065175333.83071</v>
      </c>
      <c r="I376" s="53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-18791753.8657734</v>
      </c>
      <c r="J376" s="53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269990675.13046</v>
      </c>
      <c r="K376" s="53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610402487.47246</v>
      </c>
      <c r="L376" s="53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744467446.890284</v>
      </c>
      <c r="M376" s="53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952390270.528553</v>
      </c>
      <c r="N376" s="53" t="n">
        <f aca="false">IF(COUNT('Business Case'!B11:G11)=0,"",H376+NPV(G376,I376:M376))</f>
        <v>-326421942.282004</v>
      </c>
      <c r="P376" s="54" t="n">
        <f aca="true">RAND()</f>
        <v>0.436672241479446</v>
      </c>
      <c r="Q376" s="54" t="n">
        <f aca="true">RAND()</f>
        <v>0.981989279203419</v>
      </c>
      <c r="R376" s="54" t="n">
        <f aca="true">RAND()</f>
        <v>0.911758871415167</v>
      </c>
      <c r="S376" s="54" t="n">
        <f aca="true">RAND()</f>
        <v>0.66572817355953</v>
      </c>
      <c r="T376" s="54" t="n">
        <f aca="true">RAND()</f>
        <v>0.369758365635873</v>
      </c>
      <c r="U376" s="54" t="n">
        <f aca="true">RAND()</f>
        <v>0.556494868382473</v>
      </c>
    </row>
    <row r="377" customFormat="false" ht="15" hidden="false" customHeight="false" outlineLevel="0" collapsed="false">
      <c r="A377" s="50" t="n">
        <v>297</v>
      </c>
      <c r="B377" s="51" t="n">
        <f aca="false">1+IF($G$6=$E$6,$F$6,IF(P377&lt;($F$6-$E$6)/($G$6-$E$6),$E$6+SQRT(P377*($G$6-$E$6)*($F$6-$E$6)),$G$6-SQRT((1-P377)*($G$6-$E$6)*($G$6-$F$6))))</f>
        <v>0.907212042710258</v>
      </c>
      <c r="C377" s="51" t="n">
        <f aca="false">1+IF($G$7=$E$7,$F$7,IF(Q377&lt;($F$7-$E$7)/($G$7-$E$7),$E$7+SQRT(Q377*($G$7-$E$7)*($F$7-$E$7)),$G$7-SQRT((1-Q377)*($G$7-$E$7)*($G$7-$F$7))))</f>
        <v>0.991368414310591</v>
      </c>
      <c r="D377" s="51" t="n">
        <f aca="false">1+IF($G$8=$E$8,$F$8,IF(R377&lt;($F$8-$E$8)/($G$8-$E$8),$E$8+SQRT(R377*($G$8-$E$8)*($F$8-$E$8)),$G$8-SQRT((1-R377)*($G$8-$E$8)*($G$8-$F$8))))</f>
        <v>0.97797514183659</v>
      </c>
      <c r="E377" s="51" t="n">
        <f aca="false">1+IF($G$9=$E$9,$F$9,IF(S377&lt;($F$9-$E$9)/($G$9-$E$9),$E$9+SQRT(S377*($G$9-$E$9)*($F$9-$E$9)),$G$9-SQRT((1-S377)*($G$9-$E$9)*($G$9-$F$9))))</f>
        <v>1.09103231112855</v>
      </c>
      <c r="F377" s="51" t="n">
        <f aca="false">1+IF($G$10=$E$10,$F$10,IF(T377&lt;($F$10-$E$10)/($G$10-$E$10),$E$10+SQRT(T377*($G$10-$E$10)*($F$10-$E$10)),$G$10-SQRT((1-T377)*($G$10-$E$10)*($G$10-$F$10))))</f>
        <v>1.14451039124182</v>
      </c>
      <c r="G377" s="52" t="n">
        <f aca="false">IF($G$11=$E$11,$F$11,IF(U377&lt;($F$11-$E$11)/($G$11-$E$11),$E$11+SQRT(U377*($G$11-$E$11)*($F$11-$E$11)),$G$11-SQRT((1-U377)*($G$11-$E$11)*($G$11-$F$11))))</f>
        <v>0.119112769282804</v>
      </c>
      <c r="H377" s="53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-2289020782.48365</v>
      </c>
      <c r="I377" s="53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-75885345.0222614</v>
      </c>
      <c r="J377" s="53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164449073.643571</v>
      </c>
      <c r="K377" s="53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462009011.871493</v>
      </c>
      <c r="L377" s="53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573203104.707725</v>
      </c>
      <c r="M377" s="53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744157514.41964</v>
      </c>
      <c r="N377" s="53" t="n">
        <f aca="false">IF(COUNT('Business Case'!B11:G11)=0,"",H377+NPV(G377,I377:M377))</f>
        <v>-1106522938.51862</v>
      </c>
      <c r="P377" s="54" t="n">
        <f aca="true">RAND()</f>
        <v>0.003467570670306</v>
      </c>
      <c r="Q377" s="54" t="n">
        <f aca="true">RAND()</f>
        <v>0.62885594709532</v>
      </c>
      <c r="R377" s="54" t="n">
        <f aca="true">RAND()</f>
        <v>0.104347808103647</v>
      </c>
      <c r="S377" s="54" t="n">
        <f aca="true">RAND()</f>
        <v>0.907274977844265</v>
      </c>
      <c r="T377" s="54" t="n">
        <f aca="true">RAND()</f>
        <v>0.851625899253955</v>
      </c>
      <c r="U377" s="54" t="n">
        <f aca="true">RAND()</f>
        <v>0.920978804873693</v>
      </c>
    </row>
    <row r="378" customFormat="false" ht="15" hidden="false" customHeight="false" outlineLevel="0" collapsed="false">
      <c r="A378" s="50" t="n">
        <v>298</v>
      </c>
      <c r="B378" s="51" t="n">
        <f aca="false">1+IF($G$6=$E$6,$F$6,IF(P378&lt;($F$6-$E$6)/($G$6-$E$6),$E$6+SQRT(P378*($G$6-$E$6)*($F$6-$E$6)),$G$6-SQRT((1-P378)*($G$6-$E$6)*($G$6-$F$6))))</f>
        <v>1.03192662938516</v>
      </c>
      <c r="C378" s="51" t="n">
        <f aca="false">1+IF($G$7=$E$7,$F$7,IF(Q378&lt;($F$7-$E$7)/($G$7-$E$7),$E$7+SQRT(Q378*($G$7-$E$7)*($F$7-$E$7)),$G$7-SQRT((1-Q378)*($G$7-$E$7)*($G$7-$F$7))))</f>
        <v>0.846567622967102</v>
      </c>
      <c r="D378" s="51" t="n">
        <f aca="false">1+IF($G$8=$E$8,$F$8,IF(R378&lt;($F$8-$E$8)/($G$8-$E$8),$E$8+SQRT(R378*($G$8-$E$8)*($F$8-$E$8)),$G$8-SQRT((1-R378)*($G$8-$E$8)*($G$8-$F$8))))</f>
        <v>1.03632088488466</v>
      </c>
      <c r="E378" s="51" t="n">
        <f aca="false">1+IF($G$9=$E$9,$F$9,IF(S378&lt;($F$9-$E$9)/($G$9-$E$9),$E$9+SQRT(S378*($G$9-$E$9)*($F$9-$E$9)),$G$9-SQRT((1-S378)*($G$9-$E$9)*($G$9-$F$9))))</f>
        <v>1.05480778472729</v>
      </c>
      <c r="F378" s="51" t="n">
        <f aca="false">1+IF($G$10=$E$10,$F$10,IF(T378&lt;($F$10-$E$10)/($G$10-$E$10),$E$10+SQRT(T378*($G$10-$E$10)*($F$10-$E$10)),$G$10-SQRT((1-T378)*($G$10-$E$10)*($G$10-$F$10))))</f>
        <v>1.02391792608115</v>
      </c>
      <c r="G378" s="52" t="n">
        <f aca="false">IF($G$11=$E$11,$F$11,IF(U378&lt;($F$11-$E$11)/($G$11-$E$11),$E$11+SQRT(U378*($G$11-$E$11)*($F$11-$E$11)),$G$11-SQRT((1-U378)*($G$11-$E$11)*($G$11-$F$11))))</f>
        <v>0.10929566369383</v>
      </c>
      <c r="H378" s="53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-2047835852.1623</v>
      </c>
      <c r="I378" s="53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-31250360.9757</v>
      </c>
      <c r="J378" s="53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235171937.370323</v>
      </c>
      <c r="K378" s="53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552790132.020403</v>
      </c>
      <c r="L378" s="53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671789031.286002</v>
      </c>
      <c r="M378" s="53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837842096.945758</v>
      </c>
      <c r="N378" s="53" t="n">
        <f aca="false">IF(COUNT('Business Case'!B11:G11)=0,"",H378+NPV(G378,I378:M378))</f>
        <v>-537475877.104644</v>
      </c>
      <c r="P378" s="54" t="n">
        <f aca="true">RAND()</f>
        <v>0.956447103282471</v>
      </c>
      <c r="Q378" s="54" t="n">
        <f aca="true">RAND()</f>
        <v>0.159126430386864</v>
      </c>
      <c r="R378" s="54" t="n">
        <f aca="true">RAND()</f>
        <v>0.729664686541788</v>
      </c>
      <c r="S378" s="54" t="n">
        <f aca="true">RAND()</f>
        <v>0.758358457372618</v>
      </c>
      <c r="T378" s="54" t="n">
        <f aca="true">RAND()</f>
        <v>0.318491944700679</v>
      </c>
      <c r="U378" s="54" t="n">
        <f aca="true">RAND()</f>
        <v>0.71422030541402</v>
      </c>
    </row>
    <row r="379" customFormat="false" ht="15" hidden="false" customHeight="false" outlineLevel="0" collapsed="false">
      <c r="A379" s="50" t="n">
        <v>299</v>
      </c>
      <c r="B379" s="51" t="n">
        <f aca="false">1+IF($G$6=$E$6,$F$6,IF(P379&lt;($F$6-$E$6)/($G$6-$E$6),$E$6+SQRT(P379*($G$6-$E$6)*($F$6-$E$6)),$G$6-SQRT((1-P379)*($G$6-$E$6)*($G$6-$F$6))))</f>
        <v>0.981845446420931</v>
      </c>
      <c r="C379" s="51" t="n">
        <f aca="false">1+IF($G$7=$E$7,$F$7,IF(Q379&lt;($F$7-$E$7)/($G$7-$E$7),$E$7+SQRT(Q379*($G$7-$E$7)*($F$7-$E$7)),$G$7-SQRT((1-Q379)*($G$7-$E$7)*($G$7-$F$7))))</f>
        <v>0.958536313478268</v>
      </c>
      <c r="D379" s="51" t="n">
        <f aca="false">1+IF($G$8=$E$8,$F$8,IF(R379&lt;($F$8-$E$8)/($G$8-$E$8),$E$8+SQRT(R379*($G$8-$E$8)*($F$8-$E$8)),$G$8-SQRT((1-R379)*($G$8-$E$8)*($G$8-$F$8))))</f>
        <v>1.05794375581037</v>
      </c>
      <c r="E379" s="51" t="n">
        <f aca="false">1+IF($G$9=$E$9,$F$9,IF(S379&lt;($F$9-$E$9)/($G$9-$E$9),$E$9+SQRT(S379*($G$9-$E$9)*($F$9-$E$9)),$G$9-SQRT((1-S379)*($G$9-$E$9)*($G$9-$F$9))))</f>
        <v>1.00293006605415</v>
      </c>
      <c r="F379" s="51" t="n">
        <f aca="false">1+IF($G$10=$E$10,$F$10,IF(T379&lt;($F$10-$E$10)/($G$10-$E$10),$E$10+SQRT(T379*($G$10-$E$10)*($F$10-$E$10)),$G$10-SQRT((1-T379)*($G$10-$E$10)*($G$10-$F$10))))</f>
        <v>1.00098537893527</v>
      </c>
      <c r="G379" s="52" t="n">
        <f aca="false">IF($G$11=$E$11,$F$11,IF(U379&lt;($F$11-$E$11)/($G$11-$E$11),$E$11+SQRT(U379*($G$11-$E$11)*($F$11-$E$11)),$G$11-SQRT((1-U379)*($G$11-$E$11)*($G$11-$F$11))))</f>
        <v>0.0914745222927488</v>
      </c>
      <c r="H379" s="53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-2001970757.87055</v>
      </c>
      <c r="I379" s="53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-39773235.0382781</v>
      </c>
      <c r="J379" s="53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211957136.447655</v>
      </c>
      <c r="K379" s="53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513736776.880353</v>
      </c>
      <c r="L379" s="53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630172509.534187</v>
      </c>
      <c r="M379" s="53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809063358.072727</v>
      </c>
      <c r="N379" s="53" t="n">
        <f aca="false">IF(COUNT('Business Case'!B11:G11)=0,"",H379+NPV(G379,I379:M379))</f>
        <v>-499082868.344616</v>
      </c>
      <c r="P379" s="54" t="n">
        <f aca="true">RAND()</f>
        <v>0.446578473322762</v>
      </c>
      <c r="Q379" s="54" t="n">
        <f aca="true">RAND()</f>
        <v>0.495118706569875</v>
      </c>
      <c r="R379" s="54" t="n">
        <f aca="true">RAND()</f>
        <v>0.88208482164416</v>
      </c>
      <c r="S379" s="54" t="n">
        <f aca="true">RAND()</f>
        <v>0.423211587444376</v>
      </c>
      <c r="T379" s="54" t="n">
        <f aca="true">RAND()</f>
        <v>0.173222913279871</v>
      </c>
      <c r="U379" s="54" t="n">
        <f aca="true">RAND()</f>
        <v>0.131664661846789</v>
      </c>
    </row>
    <row r="380" customFormat="false" ht="15" hidden="false" customHeight="false" outlineLevel="0" collapsed="false">
      <c r="A380" s="50" t="n">
        <v>300</v>
      </c>
      <c r="B380" s="51" t="n">
        <f aca="false">1+IF($G$6=$E$6,$F$6,IF(P380&lt;($F$6-$E$6)/($G$6-$E$6),$E$6+SQRT(P380*($G$6-$E$6)*($F$6-$E$6)),$G$6-SQRT((1-P380)*($G$6-$E$6)*($G$6-$F$6))))</f>
        <v>0.958239190034527</v>
      </c>
      <c r="C380" s="51" t="n">
        <f aca="false">1+IF($G$7=$E$7,$F$7,IF(Q380&lt;($F$7-$E$7)/($G$7-$E$7),$E$7+SQRT(Q380*($G$7-$E$7)*($F$7-$E$7)),$G$7-SQRT((1-Q380)*($G$7-$E$7)*($G$7-$F$7))))</f>
        <v>0.961669741350151</v>
      </c>
      <c r="D380" s="51" t="n">
        <f aca="false">1+IF($G$8=$E$8,$F$8,IF(R380&lt;($F$8-$E$8)/($G$8-$E$8),$E$8+SQRT(R380*($G$8-$E$8)*($F$8-$E$8)),$G$8-SQRT((1-R380)*($G$8-$E$8)*($G$8-$F$8))))</f>
        <v>1.03088385031344</v>
      </c>
      <c r="E380" s="51" t="n">
        <f aca="false">1+IF($G$9=$E$9,$F$9,IF(S380&lt;($F$9-$E$9)/($G$9-$E$9),$E$9+SQRT(S380*($G$9-$E$9)*($F$9-$E$9)),$G$9-SQRT((1-S380)*($G$9-$E$9)*($G$9-$F$9))))</f>
        <v>1.03820150595823</v>
      </c>
      <c r="F380" s="51" t="n">
        <f aca="false">1+IF($G$10=$E$10,$F$10,IF(T380&lt;($F$10-$E$10)/($G$10-$E$10),$E$10+SQRT(T380*($G$10-$E$10)*($F$10-$E$10)),$G$10-SQRT((1-T380)*($G$10-$E$10)*($G$10-$F$10))))</f>
        <v>1.01877607422118</v>
      </c>
      <c r="G380" s="52" t="n">
        <f aca="false">IF($G$11=$E$11,$F$11,IF(U380&lt;($F$11-$E$11)/($G$11-$E$11),$E$11+SQRT(U380*($G$11-$E$11)*($F$11-$E$11)),$G$11-SQRT((1-U380)*($G$11-$E$11)*($G$11-$F$11))))</f>
        <v>0.0869715375025087</v>
      </c>
      <c r="H380" s="53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-2037552148.44236</v>
      </c>
      <c r="I380" s="53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-50000212.9620215</v>
      </c>
      <c r="J380" s="53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197280495.073559</v>
      </c>
      <c r="K380" s="53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495500006.820197</v>
      </c>
      <c r="L380" s="53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609774282.450873</v>
      </c>
      <c r="M380" s="53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784934833.687691</v>
      </c>
      <c r="N380" s="53" t="n">
        <f aca="false">IF(COUNT('Business Case'!B11:G11)=0,"",H380+NPV(G380,I380:M380))</f>
        <v>-576640013.276048</v>
      </c>
      <c r="P380" s="54" t="n">
        <f aca="true">RAND()</f>
        <v>0.226120217058513</v>
      </c>
      <c r="Q380" s="54" t="n">
        <f aca="true">RAND()</f>
        <v>0.507192989172258</v>
      </c>
      <c r="R380" s="54" t="n">
        <f aca="true">RAND()</f>
        <v>0.681530523500294</v>
      </c>
      <c r="S380" s="54" t="n">
        <f aca="true">RAND()</f>
        <v>0.666695912799808</v>
      </c>
      <c r="T380" s="54" t="n">
        <f aca="true">RAND()</f>
        <v>0.287139948632407</v>
      </c>
      <c r="U380" s="54" t="n">
        <f aca="true">RAND()</f>
        <v>0.0486023351488859</v>
      </c>
    </row>
    <row r="381" customFormat="false" ht="15" hidden="false" customHeight="false" outlineLevel="0" collapsed="false">
      <c r="A381" s="50" t="n">
        <v>301</v>
      </c>
      <c r="B381" s="51" t="n">
        <f aca="false">1+IF($G$6=$E$6,$F$6,IF(P381&lt;($F$6-$E$6)/($G$6-$E$6),$E$6+SQRT(P381*($G$6-$E$6)*($F$6-$E$6)),$G$6-SQRT((1-P381)*($G$6-$E$6)*($G$6-$F$6))))</f>
        <v>1.00696426759174</v>
      </c>
      <c r="C381" s="51" t="n">
        <f aca="false">1+IF($G$7=$E$7,$F$7,IF(Q381&lt;($F$7-$E$7)/($G$7-$E$7),$E$7+SQRT(Q381*($G$7-$E$7)*($F$7-$E$7)),$G$7-SQRT((1-Q381)*($G$7-$E$7)*($G$7-$F$7))))</f>
        <v>1.06772827147783</v>
      </c>
      <c r="D381" s="51" t="n">
        <f aca="false">1+IF($G$8=$E$8,$F$8,IF(R381&lt;($F$8-$E$8)/($G$8-$E$8),$E$8+SQRT(R381*($G$8-$E$8)*($F$8-$E$8)),$G$8-SQRT((1-R381)*($G$8-$E$8)*($G$8-$F$8))))</f>
        <v>0.966149589305343</v>
      </c>
      <c r="E381" s="51" t="n">
        <f aca="false">1+IF($G$9=$E$9,$F$9,IF(S381&lt;($F$9-$E$9)/($G$9-$E$9),$E$9+SQRT(S381*($G$9-$E$9)*($F$9-$E$9)),$G$9-SQRT((1-S381)*($G$9-$E$9)*($G$9-$F$9))))</f>
        <v>1.05824274471892</v>
      </c>
      <c r="F381" s="51" t="n">
        <f aca="false">1+IF($G$10=$E$10,$F$10,IF(T381&lt;($F$10-$E$10)/($G$10-$E$10),$E$10+SQRT(T381*($G$10-$E$10)*($F$10-$E$10)),$G$10-SQRT((1-T381)*($G$10-$E$10)*($G$10-$F$10))))</f>
        <v>1.08317744851576</v>
      </c>
      <c r="G381" s="52" t="n">
        <f aca="false">IF($G$11=$E$11,$F$11,IF(U381&lt;($F$11-$E$11)/($G$11-$E$11),$E$11+SQRT(U381*($G$11-$E$11)*($F$11-$E$11)),$G$11-SQRT((1-U381)*($G$11-$E$11)*($G$11-$F$11))))</f>
        <v>0.105795141909973</v>
      </c>
      <c r="H381" s="53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-2166354897.03152</v>
      </c>
      <c r="I381" s="53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38011417.8490838</v>
      </c>
      <c r="J381" s="53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390559211.851609</v>
      </c>
      <c r="K381" s="53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797265878.279921</v>
      </c>
      <c r="L381" s="53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951939484.949319</v>
      </c>
      <c r="M381" s="53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1156306699.29305</v>
      </c>
      <c r="N381" s="53" t="n">
        <f aca="false">IF(COUNT('Business Case'!B11:G11)=0,"",H381+NPV(G381,I381:M381))</f>
        <v>113073851.708889</v>
      </c>
      <c r="P381" s="54" t="n">
        <f aca="true">RAND()</f>
        <v>0.753056764811286</v>
      </c>
      <c r="Q381" s="54" t="n">
        <f aca="true">RAND()</f>
        <v>0.899723891644064</v>
      </c>
      <c r="R381" s="54" t="n">
        <f aca="true">RAND()</f>
        <v>0.0347745646308313</v>
      </c>
      <c r="S381" s="54" t="n">
        <f aca="true">RAND()</f>
        <v>0.77548282942087</v>
      </c>
      <c r="T381" s="54" t="n">
        <f aca="true">RAND()</f>
        <v>0.628936484217173</v>
      </c>
      <c r="U381" s="54" t="n">
        <f aca="true">RAND()</f>
        <v>0.609416563227779</v>
      </c>
    </row>
    <row r="382" customFormat="false" ht="15" hidden="false" customHeight="false" outlineLevel="0" collapsed="false">
      <c r="A382" s="50" t="n">
        <v>302</v>
      </c>
      <c r="B382" s="51" t="n">
        <f aca="false">1+IF($G$6=$E$6,$F$6,IF(P382&lt;($F$6-$E$6)/($G$6-$E$6),$E$6+SQRT(P382*($G$6-$E$6)*($F$6-$E$6)),$G$6-SQRT((1-P382)*($G$6-$E$6)*($G$6-$F$6))))</f>
        <v>0.975389322656278</v>
      </c>
      <c r="C382" s="51" t="n">
        <f aca="false">1+IF($G$7=$E$7,$F$7,IF(Q382&lt;($F$7-$E$7)/($G$7-$E$7),$E$7+SQRT(Q382*($G$7-$E$7)*($F$7-$E$7)),$G$7-SQRT((1-Q382)*($G$7-$E$7)*($G$7-$F$7))))</f>
        <v>1.07405726144229</v>
      </c>
      <c r="D382" s="51" t="n">
        <f aca="false">1+IF($G$8=$E$8,$F$8,IF(R382&lt;($F$8-$E$8)/($G$8-$E$8),$E$8+SQRT(R382*($G$8-$E$8)*($F$8-$E$8)),$G$8-SQRT((1-R382)*($G$8-$E$8)*($G$8-$F$8))))</f>
        <v>1.04049952552481</v>
      </c>
      <c r="E382" s="51" t="n">
        <f aca="false">1+IF($G$9=$E$9,$F$9,IF(S382&lt;($F$9-$E$9)/($G$9-$E$9),$E$9+SQRT(S382*($G$9-$E$9)*($F$9-$E$9)),$G$9-SQRT((1-S382)*($G$9-$E$9)*($G$9-$F$9))))</f>
        <v>1.06004473237419</v>
      </c>
      <c r="F382" s="51" t="n">
        <f aca="false">1+IF($G$10=$E$10,$F$10,IF(T382&lt;($F$10-$E$10)/($G$10-$E$10),$E$10+SQRT(T382*($G$10-$E$10)*($F$10-$E$10)),$G$10-SQRT((1-T382)*($G$10-$E$10)*($G$10-$F$10))))</f>
        <v>1.07058432956079</v>
      </c>
      <c r="G382" s="52" t="n">
        <f aca="false">IF($G$11=$E$11,$F$11,IF(U382&lt;($F$11-$E$11)/($G$11-$E$11),$E$11+SQRT(U382*($G$11-$E$11)*($F$11-$E$11)),$G$11-SQRT((1-U382)*($G$11-$E$11)*($G$11-$F$11))))</f>
        <v>0.100908068432323</v>
      </c>
      <c r="H382" s="53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-2141168659.12159</v>
      </c>
      <c r="I382" s="53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-26125452.6695158</v>
      </c>
      <c r="J382" s="53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259854715.929177</v>
      </c>
      <c r="K382" s="53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599364101.005909</v>
      </c>
      <c r="L382" s="53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730896708.784487</v>
      </c>
      <c r="M382" s="53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930029075.802394</v>
      </c>
      <c r="N382" s="53" t="n">
        <f aca="false">IF(COUNT('Business Case'!B11:G11)=0,"",H382+NPV(G382,I382:M382))</f>
        <v>-428635456.250489</v>
      </c>
      <c r="P382" s="54" t="n">
        <f aca="true">RAND()</f>
        <v>0.378903331371488</v>
      </c>
      <c r="Q382" s="54" t="n">
        <f aca="true">RAND()</f>
        <v>0.9145585253386</v>
      </c>
      <c r="R382" s="54" t="n">
        <f aca="true">RAND()</f>
        <v>0.763979569148484</v>
      </c>
      <c r="S382" s="54" t="n">
        <f aca="true">RAND()</f>
        <v>0.78421466203648</v>
      </c>
      <c r="T382" s="54" t="n">
        <f aca="true">RAND()</f>
        <v>0.570800229344667</v>
      </c>
      <c r="U382" s="54" t="n">
        <f aca="true">RAND()</f>
        <v>0.435773011774395</v>
      </c>
    </row>
    <row r="383" customFormat="false" ht="15" hidden="false" customHeight="false" outlineLevel="0" collapsed="false">
      <c r="A383" s="50" t="n">
        <v>303</v>
      </c>
      <c r="B383" s="51" t="n">
        <f aca="false">1+IF($G$6=$E$6,$F$6,IF(P383&lt;($F$6-$E$6)/($G$6-$E$6),$E$6+SQRT(P383*($G$6-$E$6)*($F$6-$E$6)),$G$6-SQRT((1-P383)*($G$6-$E$6)*($G$6-$F$6))))</f>
        <v>0.971857327951045</v>
      </c>
      <c r="C383" s="51" t="n">
        <f aca="false">1+IF($G$7=$E$7,$F$7,IF(Q383&lt;($F$7-$E$7)/($G$7-$E$7),$E$7+SQRT(Q383*($G$7-$E$7)*($F$7-$E$7)),$G$7-SQRT((1-Q383)*($G$7-$E$7)*($G$7-$F$7))))</f>
        <v>0.885196922362402</v>
      </c>
      <c r="D383" s="51" t="n">
        <f aca="false">1+IF($G$8=$E$8,$F$8,IF(R383&lt;($F$8-$E$8)/($G$8-$E$8),$E$8+SQRT(R383*($G$8-$E$8)*($F$8-$E$8)),$G$8-SQRT((1-R383)*($G$8-$E$8)*($G$8-$F$8))))</f>
        <v>1.01967946441426</v>
      </c>
      <c r="E383" s="51" t="n">
        <f aca="false">1+IF($G$9=$E$9,$F$9,IF(S383&lt;($F$9-$E$9)/($G$9-$E$9),$E$9+SQRT(S383*($G$9-$E$9)*($F$9-$E$9)),$G$9-SQRT((1-S383)*($G$9-$E$9)*($G$9-$F$9))))</f>
        <v>1.01377263665651</v>
      </c>
      <c r="F383" s="51" t="n">
        <f aca="false">1+IF($G$10=$E$10,$F$10,IF(T383&lt;($F$10-$E$10)/($G$10-$E$10),$E$10+SQRT(T383*($G$10-$E$10)*($F$10-$E$10)),$G$10-SQRT((1-T383)*($G$10-$E$10)*($G$10-$F$10))))</f>
        <v>0.989048894034871</v>
      </c>
      <c r="G383" s="52" t="n">
        <f aca="false">IF($G$11=$E$11,$F$11,IF(U383&lt;($F$11-$E$11)/($G$11-$E$11),$E$11+SQRT(U383*($G$11-$E$11)*($F$11-$E$11)),$G$11-SQRT((1-U383)*($G$11-$E$11)*($G$11-$F$11))))</f>
        <v>0.0999732396504354</v>
      </c>
      <c r="H383" s="53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-1978097788.06974</v>
      </c>
      <c r="I383" s="53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-45092846.4267514</v>
      </c>
      <c r="J383" s="53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197474845.879267</v>
      </c>
      <c r="K383" s="53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489494982.887029</v>
      </c>
      <c r="L383" s="53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600082333.920186</v>
      </c>
      <c r="M383" s="53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763605328.708187</v>
      </c>
      <c r="N383" s="53" t="n">
        <f aca="false">IF(COUNT('Business Case'!B11:G11)=0,"",H383+NPV(G383,I383:M383))</f>
        <v>-603989618.463221</v>
      </c>
      <c r="P383" s="54" t="n">
        <f aca="true">RAND()</f>
        <v>0.344231705350934</v>
      </c>
      <c r="Q383" s="54" t="n">
        <f aca="true">RAND()</f>
        <v>0.254058518907449</v>
      </c>
      <c r="R383" s="54" t="n">
        <f aca="true">RAND()</f>
        <v>0.569907437548001</v>
      </c>
      <c r="S383" s="54" t="n">
        <f aca="true">RAND()</f>
        <v>0.505122812706134</v>
      </c>
      <c r="T383" s="54" t="n">
        <f aca="true">RAND()</f>
        <v>0.101654408356436</v>
      </c>
      <c r="U383" s="54" t="n">
        <f aca="true">RAND()</f>
        <v>0.398930302133726</v>
      </c>
    </row>
    <row r="384" customFormat="false" ht="15" hidden="false" customHeight="false" outlineLevel="0" collapsed="false">
      <c r="A384" s="50" t="n">
        <v>304</v>
      </c>
      <c r="B384" s="51" t="n">
        <f aca="false">1+IF($G$6=$E$6,$F$6,IF(P384&lt;($F$6-$E$6)/($G$6-$E$6),$E$6+SQRT(P384*($G$6-$E$6)*($F$6-$E$6)),$G$6-SQRT((1-P384)*($G$6-$E$6)*($G$6-$F$6))))</f>
        <v>0.970446521009634</v>
      </c>
      <c r="C384" s="51" t="n">
        <f aca="false">1+IF($G$7=$E$7,$F$7,IF(Q384&lt;($F$7-$E$7)/($G$7-$E$7),$E$7+SQRT(Q384*($G$7-$E$7)*($F$7-$E$7)),$G$7-SQRT((1-Q384)*($G$7-$E$7)*($G$7-$F$7))))</f>
        <v>1.06343179783579</v>
      </c>
      <c r="D384" s="51" t="n">
        <f aca="false">1+IF($G$8=$E$8,$F$8,IF(R384&lt;($F$8-$E$8)/($G$8-$E$8),$E$8+SQRT(R384*($G$8-$E$8)*($F$8-$E$8)),$G$8-SQRT((1-R384)*($G$8-$E$8)*($G$8-$F$8))))</f>
        <v>0.969479020263477</v>
      </c>
      <c r="E384" s="51" t="n">
        <f aca="false">1+IF($G$9=$E$9,$F$9,IF(S384&lt;($F$9-$E$9)/($G$9-$E$9),$E$9+SQRT(S384*($G$9-$E$9)*($F$9-$E$9)),$G$9-SQRT((1-S384)*($G$9-$E$9)*($G$9-$F$9))))</f>
        <v>0.952800375012908</v>
      </c>
      <c r="F384" s="51" t="n">
        <f aca="false">1+IF($G$10=$E$10,$F$10,IF(T384&lt;($F$10-$E$10)/($G$10-$E$10),$E$10+SQRT(T384*($G$10-$E$10)*($F$10-$E$10)),$G$10-SQRT((1-T384)*($G$10-$E$10)*($G$10-$F$10))))</f>
        <v>1.09011909584784</v>
      </c>
      <c r="G384" s="52" t="n">
        <f aca="false">IF($G$11=$E$11,$F$11,IF(U384&lt;($F$11-$E$11)/($G$11-$E$11),$E$11+SQRT(U384*($G$11-$E$11)*($F$11-$E$11)),$G$11-SQRT((1-U384)*($G$11-$E$11)*($G$11-$F$11))))</f>
        <v>0.109159852635708</v>
      </c>
      <c r="H384" s="53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-2180238191.69568</v>
      </c>
      <c r="I384" s="53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19509502.489055</v>
      </c>
      <c r="J384" s="53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337018199.103682</v>
      </c>
      <c r="K384" s="53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709032850.510702</v>
      </c>
      <c r="L384" s="53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850535130.191547</v>
      </c>
      <c r="M384" s="53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1046698391.30937</v>
      </c>
      <c r="N384" s="53" t="n">
        <f aca="false">IF(COUNT('Business Case'!B11:G11)=0,"",H384+NPV(G384,I384:M384))</f>
        <v>-183591012.953678</v>
      </c>
      <c r="P384" s="54" t="n">
        <f aca="true">RAND()</f>
        <v>0.330847488157384</v>
      </c>
      <c r="Q384" s="54" t="n">
        <f aca="true">RAND()</f>
        <v>0.888976983319344</v>
      </c>
      <c r="R384" s="54" t="n">
        <f aca="true">RAND()</f>
        <v>0.0505909640566596</v>
      </c>
      <c r="S384" s="54" t="n">
        <f aca="true">RAND()</f>
        <v>0.111515184060146</v>
      </c>
      <c r="T384" s="54" t="n">
        <f aca="true">RAND()</f>
        <v>0.659174619833175</v>
      </c>
      <c r="U384" s="54" t="n">
        <f aca="true">RAND()</f>
        <v>0.71045883855639</v>
      </c>
    </row>
    <row r="385" customFormat="false" ht="15" hidden="false" customHeight="false" outlineLevel="0" collapsed="false">
      <c r="A385" s="50" t="n">
        <v>305</v>
      </c>
      <c r="B385" s="51" t="n">
        <f aca="false">1+IF($G$6=$E$6,$F$6,IF(P385&lt;($F$6-$E$6)/($G$6-$E$6),$E$6+SQRT(P385*($G$6-$E$6)*($F$6-$E$6)),$G$6-SQRT((1-P385)*($G$6-$E$6)*($G$6-$F$6))))</f>
        <v>0.934862793001775</v>
      </c>
      <c r="C385" s="51" t="n">
        <f aca="false">1+IF($G$7=$E$7,$F$7,IF(Q385&lt;($F$7-$E$7)/($G$7-$E$7),$E$7+SQRT(Q385*($G$7-$E$7)*($F$7-$E$7)),$G$7-SQRT((1-Q385)*($G$7-$E$7)*($G$7-$F$7))))</f>
        <v>1.03165934455737</v>
      </c>
      <c r="D385" s="51" t="n">
        <f aca="false">1+IF($G$8=$E$8,$F$8,IF(R385&lt;($F$8-$E$8)/($G$8-$E$8),$E$8+SQRT(R385*($G$8-$E$8)*($F$8-$E$8)),$G$8-SQRT((1-R385)*($G$8-$E$8)*($G$8-$F$8))))</f>
        <v>1.04329139456462</v>
      </c>
      <c r="E385" s="51" t="n">
        <f aca="false">1+IF($G$9=$E$9,$F$9,IF(S385&lt;($F$9-$E$9)/($G$9-$E$9),$E$9+SQRT(S385*($G$9-$E$9)*($F$9-$E$9)),$G$9-SQRT((1-S385)*($G$9-$E$9)*($G$9-$F$9))))</f>
        <v>1.00091308825446</v>
      </c>
      <c r="F385" s="51" t="n">
        <f aca="false">1+IF($G$10=$E$10,$F$10,IF(T385&lt;($F$10-$E$10)/($G$10-$E$10),$E$10+SQRT(T385*($G$10-$E$10)*($F$10-$E$10)),$G$10-SQRT((1-T385)*($G$10-$E$10)*($G$10-$F$10))))</f>
        <v>1.12194569137658</v>
      </c>
      <c r="G385" s="52" t="n">
        <f aca="false">IF($G$11=$E$11,$F$11,IF(U385&lt;($F$11-$E$11)/($G$11-$E$11),$E$11+SQRT(U385*($G$11-$E$11)*($F$11-$E$11)),$G$11-SQRT((1-U385)*($G$11-$E$11)*($G$11-$F$11))))</f>
        <v>0.105922293853059</v>
      </c>
      <c r="H385" s="53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-2243891382.75315</v>
      </c>
      <c r="I385" s="53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-65550292.6957349</v>
      </c>
      <c r="J385" s="53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173421427.99269</v>
      </c>
      <c r="K385" s="53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468490433.249943</v>
      </c>
      <c r="L385" s="53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581479408.87723</v>
      </c>
      <c r="M385" s="53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764803953.565196</v>
      </c>
      <c r="N385" s="53" t="n">
        <f aca="false">IF(COUNT('Business Case'!B11:G11)=0,"",H385+NPV(G385,I385:M385))</f>
        <v>-963989048.517559</v>
      </c>
      <c r="P385" s="54" t="n">
        <f aca="true">RAND()</f>
        <v>0.0810276223923068</v>
      </c>
      <c r="Q385" s="54" t="n">
        <f aca="true">RAND()</f>
        <v>0.792525766954204</v>
      </c>
      <c r="R385" s="54" t="n">
        <f aca="true">RAND()</f>
        <v>0.785608937971595</v>
      </c>
      <c r="S385" s="54" t="n">
        <f aca="true">RAND()</f>
        <v>0.407282473231388</v>
      </c>
      <c r="T385" s="54" t="n">
        <f aca="true">RAND()</f>
        <v>0.781361253906356</v>
      </c>
      <c r="U385" s="54" t="n">
        <f aca="true">RAND()</f>
        <v>0.613509377801043</v>
      </c>
    </row>
    <row r="386" customFormat="false" ht="15" hidden="false" customHeight="false" outlineLevel="0" collapsed="false">
      <c r="A386" s="50" t="n">
        <v>306</v>
      </c>
      <c r="B386" s="51" t="n">
        <f aca="false">1+IF($G$6=$E$6,$F$6,IF(P386&lt;($F$6-$E$6)/($G$6-$E$6),$E$6+SQRT(P386*($G$6-$E$6)*($F$6-$E$6)),$G$6-SQRT((1-P386)*($G$6-$E$6)*($G$6-$F$6))))</f>
        <v>0.990568988772435</v>
      </c>
      <c r="C386" s="51" t="n">
        <f aca="false">1+IF($G$7=$E$7,$F$7,IF(Q386&lt;($F$7-$E$7)/($G$7-$E$7),$E$7+SQRT(Q386*($G$7-$E$7)*($F$7-$E$7)),$G$7-SQRT((1-Q386)*($G$7-$E$7)*($G$7-$F$7))))</f>
        <v>1.01378546035289</v>
      </c>
      <c r="D386" s="51" t="n">
        <f aca="false">1+IF($G$8=$E$8,$F$8,IF(R386&lt;($F$8-$E$8)/($G$8-$E$8),$E$8+SQRT(R386*($G$8-$E$8)*($F$8-$E$8)),$G$8-SQRT((1-R386)*($G$8-$E$8)*($G$8-$F$8))))</f>
        <v>1.02680391178812</v>
      </c>
      <c r="E386" s="51" t="n">
        <f aca="false">1+IF($G$9=$E$9,$F$9,IF(S386&lt;($F$9-$E$9)/($G$9-$E$9),$E$9+SQRT(S386*($G$9-$E$9)*($F$9-$E$9)),$G$9-SQRT((1-S386)*($G$9-$E$9)*($G$9-$F$9))))</f>
        <v>0.990158050149414</v>
      </c>
      <c r="F386" s="51" t="n">
        <f aca="false">1+IF($G$10=$E$10,$F$10,IF(T386&lt;($F$10-$E$10)/($G$10-$E$10),$E$10+SQRT(T386*($G$10-$E$10)*($F$10-$E$10)),$G$10-SQRT((1-T386)*($G$10-$E$10)*($G$10-$F$10))))</f>
        <v>1.12720413599553</v>
      </c>
      <c r="G386" s="52" t="n">
        <f aca="false">IF($G$11=$E$11,$F$11,IF(U386&lt;($F$11-$E$11)/($G$11-$E$11),$E$11+SQRT(U386*($G$11-$E$11)*($F$11-$E$11)),$G$11-SQRT((1-U386)*($G$11-$E$11)*($G$11-$F$11))))</f>
        <v>0.0911965880124259</v>
      </c>
      <c r="H386" s="53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-2254408271.99106</v>
      </c>
      <c r="I386" s="53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-15935432.0985208</v>
      </c>
      <c r="J386" s="53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273709019.014917</v>
      </c>
      <c r="K386" s="53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619713676.928132</v>
      </c>
      <c r="L386" s="53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750967823.886717</v>
      </c>
      <c r="M386" s="53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941850805.117634</v>
      </c>
      <c r="N386" s="53" t="n">
        <f aca="false">IF(COUNT('Business Case'!B11:G11)=0,"",H386+NPV(G386,I386:M386))</f>
        <v>-423717061.766858</v>
      </c>
      <c r="P386" s="54" t="n">
        <f aca="true">RAND()</f>
        <v>0.546849448484092</v>
      </c>
      <c r="Q386" s="54" t="n">
        <f aca="true">RAND()</f>
        <v>0.725119987981144</v>
      </c>
      <c r="R386" s="54" t="n">
        <f aca="true">RAND()</f>
        <v>0.642822178031923</v>
      </c>
      <c r="S386" s="54" t="n">
        <f aca="true">RAND()</f>
        <v>0.32513896026977</v>
      </c>
      <c r="T386" s="54" t="n">
        <f aca="true">RAND()</f>
        <v>0.79894901044528</v>
      </c>
      <c r="U386" s="54" t="n">
        <f aca="true">RAND()</f>
        <v>0.12536358312</v>
      </c>
    </row>
    <row r="387" customFormat="false" ht="15" hidden="false" customHeight="false" outlineLevel="0" collapsed="false">
      <c r="A387" s="50" t="n">
        <v>307</v>
      </c>
      <c r="B387" s="51" t="n">
        <f aca="false">1+IF($G$6=$E$6,$F$6,IF(P387&lt;($F$6-$E$6)/($G$6-$E$6),$E$6+SQRT(P387*($G$6-$E$6)*($F$6-$E$6)),$G$6-SQRT((1-P387)*($G$6-$E$6)*($G$6-$F$6))))</f>
        <v>0.968895123377804</v>
      </c>
      <c r="C387" s="51" t="n">
        <f aca="false">1+IF($G$7=$E$7,$F$7,IF(Q387&lt;($F$7-$E$7)/($G$7-$E$7),$E$7+SQRT(Q387*($G$7-$E$7)*($F$7-$E$7)),$G$7-SQRT((1-Q387)*($G$7-$E$7)*($G$7-$F$7))))</f>
        <v>1.00155135323636</v>
      </c>
      <c r="D387" s="51" t="n">
        <f aca="false">1+IF($G$8=$E$8,$F$8,IF(R387&lt;($F$8-$E$8)/($G$8-$E$8),$E$8+SQRT(R387*($G$8-$E$8)*($F$8-$E$8)),$G$8-SQRT((1-R387)*($G$8-$E$8)*($G$8-$F$8))))</f>
        <v>1.02644621675391</v>
      </c>
      <c r="E387" s="51" t="n">
        <f aca="false">1+IF($G$9=$E$9,$F$9,IF(S387&lt;($F$9-$E$9)/($G$9-$E$9),$E$9+SQRT(S387*($G$9-$E$9)*($F$9-$E$9)),$G$9-SQRT((1-S387)*($G$9-$E$9)*($G$9-$F$9))))</f>
        <v>0.92837793099354</v>
      </c>
      <c r="F387" s="51" t="n">
        <f aca="false">1+IF($G$10=$E$10,$F$10,IF(T387&lt;($F$10-$E$10)/($G$10-$E$10),$E$10+SQRT(T387*($G$10-$E$10)*($F$10-$E$10)),$G$10-SQRT((1-T387)*($G$10-$E$10)*($G$10-$F$10))))</f>
        <v>1.16242201051071</v>
      </c>
      <c r="G387" s="52" t="n">
        <f aca="false">IF($G$11=$E$11,$F$11,IF(U387&lt;($F$11-$E$11)/($G$11-$E$11),$E$11+SQRT(U387*($G$11-$E$11)*($F$11-$E$11)),$G$11-SQRT((1-U387)*($G$11-$E$11)*($G$11-$F$11))))</f>
        <v>0.106721281566986</v>
      </c>
      <c r="H387" s="53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-2324844021.02142</v>
      </c>
      <c r="I387" s="53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-30010492.9934099</v>
      </c>
      <c r="J387" s="53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238542000.678103</v>
      </c>
      <c r="K387" s="53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565215594.87515</v>
      </c>
      <c r="L387" s="53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688270055.316701</v>
      </c>
      <c r="M387" s="53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872723349.347457</v>
      </c>
      <c r="N387" s="53" t="n">
        <f aca="false">IF(COUNT('Business Case'!B11:G11)=0,"",H387+NPV(G387,I387:M387))</f>
        <v>-755823307.676898</v>
      </c>
      <c r="P387" s="54" t="n">
        <f aca="true">RAND()</f>
        <v>0.316435868349518</v>
      </c>
      <c r="Q387" s="54" t="n">
        <f aca="true">RAND()</f>
        <v>0.673525915171042</v>
      </c>
      <c r="R387" s="54" t="n">
        <f aca="true">RAND()</f>
        <v>0.639322731345842</v>
      </c>
      <c r="S387" s="54" t="n">
        <f aca="true">RAND()</f>
        <v>0.0322122786989636</v>
      </c>
      <c r="T387" s="54" t="n">
        <f aca="true">RAND()</f>
        <v>0.897734610093519</v>
      </c>
      <c r="U387" s="54" t="n">
        <f aca="true">RAND()</f>
        <v>0.638734178744288</v>
      </c>
    </row>
    <row r="388" customFormat="false" ht="15" hidden="false" customHeight="false" outlineLevel="0" collapsed="false">
      <c r="A388" s="50" t="n">
        <v>308</v>
      </c>
      <c r="B388" s="51" t="n">
        <f aca="false">1+IF($G$6=$E$6,$F$6,IF(P388&lt;($F$6-$E$6)/($G$6-$E$6),$E$6+SQRT(P388*($G$6-$E$6)*($F$6-$E$6)),$G$6-SQRT((1-P388)*($G$6-$E$6)*($G$6-$F$6))))</f>
        <v>0.990662454080917</v>
      </c>
      <c r="C388" s="51" t="n">
        <f aca="false">1+IF($G$7=$E$7,$F$7,IF(Q388&lt;($F$7-$E$7)/($G$7-$E$7),$E$7+SQRT(Q388*($G$7-$E$7)*($F$7-$E$7)),$G$7-SQRT((1-Q388)*($G$7-$E$7)*($G$7-$F$7))))</f>
        <v>0.960719833407365</v>
      </c>
      <c r="D388" s="51" t="n">
        <f aca="false">1+IF($G$8=$E$8,$F$8,IF(R388&lt;($F$8-$E$8)/($G$8-$E$8),$E$8+SQRT(R388*($G$8-$E$8)*($F$8-$E$8)),$G$8-SQRT((1-R388)*($G$8-$E$8)*($G$8-$F$8))))</f>
        <v>1.06602463618293</v>
      </c>
      <c r="E388" s="51" t="n">
        <f aca="false">1+IF($G$9=$E$9,$F$9,IF(S388&lt;($F$9-$E$9)/($G$9-$E$9),$E$9+SQRT(S388*($G$9-$E$9)*($F$9-$E$9)),$G$9-SQRT((1-S388)*($G$9-$E$9)*($G$9-$F$9))))</f>
        <v>0.939845215716394</v>
      </c>
      <c r="F388" s="51" t="n">
        <f aca="false">1+IF($G$10=$E$10,$F$10,IF(T388&lt;($F$10-$E$10)/($G$10-$E$10),$E$10+SQRT(T388*($G$10-$E$10)*($F$10-$E$10)),$G$10-SQRT((1-T388)*($G$10-$E$10)*($G$10-$F$10))))</f>
        <v>0.975103370140743</v>
      </c>
      <c r="G388" s="52" t="n">
        <f aca="false">IF($G$11=$E$11,$F$11,IF(U388&lt;($F$11-$E$11)/($G$11-$E$11),$E$11+SQRT(U388*($G$11-$E$11)*($F$11-$E$11)),$G$11-SQRT((1-U388)*($G$11-$E$11)*($G$11-$F$11))))</f>
        <v>0.10478691197237</v>
      </c>
      <c r="H388" s="53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-1950206740.28149</v>
      </c>
      <c r="I388" s="53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-25227371.3567514</v>
      </c>
      <c r="J388" s="53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230040255.65266</v>
      </c>
      <c r="K388" s="53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534063051.169108</v>
      </c>
      <c r="L388" s="53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652044707.957056</v>
      </c>
      <c r="M388" s="53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832953170.773519</v>
      </c>
      <c r="N388" s="53" t="n">
        <f aca="false">IF(COUNT('Business Case'!B11:G11)=0,"",H388+NPV(G388,I388:M388))</f>
        <v>-444736114.856148</v>
      </c>
      <c r="P388" s="54" t="n">
        <f aca="true">RAND()</f>
        <v>0.547978705331619</v>
      </c>
      <c r="Q388" s="54" t="n">
        <f aca="true">RAND()</f>
        <v>0.503517270607144</v>
      </c>
      <c r="R388" s="54" t="n">
        <f aca="true">RAND()</f>
        <v>0.923044976899849</v>
      </c>
      <c r="S388" s="54" t="n">
        <f aca="true">RAND()</f>
        <v>0.0635056486194377</v>
      </c>
      <c r="T388" s="54" t="n">
        <f aca="true">RAND()</f>
        <v>0.042011946161542</v>
      </c>
      <c r="U388" s="54" t="n">
        <f aca="true">RAND()</f>
        <v>0.576200128073982</v>
      </c>
    </row>
    <row r="389" customFormat="false" ht="15" hidden="false" customHeight="false" outlineLevel="0" collapsed="false">
      <c r="A389" s="50" t="n">
        <v>309</v>
      </c>
      <c r="B389" s="51" t="n">
        <f aca="false">1+IF($G$6=$E$6,$F$6,IF(P389&lt;($F$6-$E$6)/($G$6-$E$6),$E$6+SQRT(P389*($G$6-$E$6)*($F$6-$E$6)),$G$6-SQRT((1-P389)*($G$6-$E$6)*($G$6-$F$6))))</f>
        <v>0.968497848867733</v>
      </c>
      <c r="C389" s="51" t="n">
        <f aca="false">1+IF($G$7=$E$7,$F$7,IF(Q389&lt;($F$7-$E$7)/($G$7-$E$7),$E$7+SQRT(Q389*($G$7-$E$7)*($F$7-$E$7)),$G$7-SQRT((1-Q389)*($G$7-$E$7)*($G$7-$F$7))))</f>
        <v>1.04396017651429</v>
      </c>
      <c r="D389" s="51" t="n">
        <f aca="false">1+IF($G$8=$E$8,$F$8,IF(R389&lt;($F$8-$E$8)/($G$8-$E$8),$E$8+SQRT(R389*($G$8-$E$8)*($F$8-$E$8)),$G$8-SQRT((1-R389)*($G$8-$E$8)*($G$8-$F$8))))</f>
        <v>1.03071869421886</v>
      </c>
      <c r="E389" s="51" t="n">
        <f aca="false">1+IF($G$9=$E$9,$F$9,IF(S389&lt;($F$9-$E$9)/($G$9-$E$9),$E$9+SQRT(S389*($G$9-$E$9)*($F$9-$E$9)),$G$9-SQRT((1-S389)*($G$9-$E$9)*($G$9-$F$9))))</f>
        <v>1.02294302251572</v>
      </c>
      <c r="F389" s="51" t="n">
        <f aca="false">1+IF($G$10=$E$10,$F$10,IF(T389&lt;($F$10-$E$10)/($G$10-$E$10),$E$10+SQRT(T389*($G$10-$E$10)*($F$10-$E$10)),$G$10-SQRT((1-T389)*($G$10-$E$10)*($G$10-$F$10))))</f>
        <v>1.02246103455688</v>
      </c>
      <c r="G389" s="52" t="n">
        <f aca="false">IF($G$11=$E$11,$F$11,IF(U389&lt;($F$11-$E$11)/($G$11-$E$11),$E$11+SQRT(U389*($G$11-$E$11)*($F$11-$E$11)),$G$11-SQRT((1-U389)*($G$11-$E$11)*($G$11-$F$11))))</f>
        <v>0.121901735486836</v>
      </c>
      <c r="H389" s="53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-2044922069.11376</v>
      </c>
      <c r="I389" s="53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-22821803.0603047</v>
      </c>
      <c r="J389" s="53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254479029.060572</v>
      </c>
      <c r="K389" s="53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582902912.909293</v>
      </c>
      <c r="L389" s="53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710279212.898757</v>
      </c>
      <c r="M389" s="53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902464003.952535</v>
      </c>
      <c r="N389" s="53" t="n">
        <f aca="false">IF(COUNT('Business Case'!B11:G11)=0,"",H389+NPV(G389,I389:M389))</f>
        <v>-494190467.507018</v>
      </c>
      <c r="P389" s="54" t="n">
        <f aca="true">RAND()</f>
        <v>0.312797019967118</v>
      </c>
      <c r="Q389" s="54" t="n">
        <f aca="true">RAND()</f>
        <v>0.833415642001783</v>
      </c>
      <c r="R389" s="54" t="n">
        <f aca="true">RAND()</f>
        <v>0.680006711284021</v>
      </c>
      <c r="S389" s="54" t="n">
        <f aca="true">RAND()</f>
        <v>0.569507319268256</v>
      </c>
      <c r="T389" s="54" t="n">
        <f aca="true">RAND()</f>
        <v>0.309680256067668</v>
      </c>
      <c r="U389" s="54" t="n">
        <f aca="true">RAND()</f>
        <v>0.956278741249883</v>
      </c>
    </row>
    <row r="390" customFormat="false" ht="15" hidden="false" customHeight="false" outlineLevel="0" collapsed="false">
      <c r="A390" s="50" t="n">
        <v>310</v>
      </c>
      <c r="B390" s="51" t="n">
        <f aca="false">1+IF($G$6=$E$6,$F$6,IF(P390&lt;($F$6-$E$6)/($G$6-$E$6),$E$6+SQRT(P390*($G$6-$E$6)*($F$6-$E$6)),$G$6-SQRT((1-P390)*($G$6-$E$6)*($G$6-$F$6))))</f>
        <v>0.94591086749445</v>
      </c>
      <c r="C390" s="51" t="n">
        <f aca="false">1+IF($G$7=$E$7,$F$7,IF(Q390&lt;($F$7-$E$7)/($G$7-$E$7),$E$7+SQRT(Q390*($G$7-$E$7)*($F$7-$E$7)),$G$7-SQRT((1-Q390)*($G$7-$E$7)*($G$7-$F$7))))</f>
        <v>0.990638840628535</v>
      </c>
      <c r="D390" s="51" t="n">
        <f aca="false">1+IF($G$8=$E$8,$F$8,IF(R390&lt;($F$8-$E$8)/($G$8-$E$8),$E$8+SQRT(R390*($G$8-$E$8)*($F$8-$E$8)),$G$8-SQRT((1-R390)*($G$8-$E$8)*($G$8-$F$8))))</f>
        <v>1.05229140111064</v>
      </c>
      <c r="E390" s="51" t="n">
        <f aca="false">1+IF($G$9=$E$9,$F$9,IF(S390&lt;($F$9-$E$9)/($G$9-$E$9),$E$9+SQRT(S390*($G$9-$E$9)*($F$9-$E$9)),$G$9-SQRT((1-S390)*($G$9-$E$9)*($G$9-$F$9))))</f>
        <v>1.0180878950178</v>
      </c>
      <c r="F390" s="51" t="n">
        <f aca="false">1+IF($G$10=$E$10,$F$10,IF(T390&lt;($F$10-$E$10)/($G$10-$E$10),$E$10+SQRT(T390*($G$10-$E$10)*($F$10-$E$10)),$G$10-SQRT((1-T390)*($G$10-$E$10)*($G$10-$F$10))))</f>
        <v>0.958966578780631</v>
      </c>
      <c r="G390" s="52" t="n">
        <f aca="false">IF($G$11=$E$11,$F$11,IF(U390&lt;($F$11-$E$11)/($G$11-$E$11),$E$11+SQRT(U390*($G$11-$E$11)*($F$11-$E$11)),$G$11-SQRT((1-U390)*($G$11-$E$11)*($G$11-$F$11))))</f>
        <v>0.0963441385440001</v>
      </c>
      <c r="H390" s="53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-1917933157.56126</v>
      </c>
      <c r="I390" s="53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-55375633.2900556</v>
      </c>
      <c r="J390" s="53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178494475.348122</v>
      </c>
      <c r="K390" s="53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460312912.925332</v>
      </c>
      <c r="L390" s="53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570654272.723817</v>
      </c>
      <c r="M390" s="53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748769885.778827</v>
      </c>
      <c r="N390" s="53" t="n">
        <f aca="false">IF(COUNT('Business Case'!B11:G11)=0,"",H390+NPV(G390,I390:M390))</f>
        <v>-602909596.810266</v>
      </c>
      <c r="P390" s="54" t="n">
        <f aca="true">RAND()</f>
        <v>0.140520516939528</v>
      </c>
      <c r="Q390" s="54" t="n">
        <f aca="true">RAND()</f>
        <v>0.625710634680733</v>
      </c>
      <c r="R390" s="54" t="n">
        <f aca="true">RAND()</f>
        <v>0.848259306134262</v>
      </c>
      <c r="S390" s="54" t="n">
        <f aca="true">RAND()</f>
        <v>0.53597857491109</v>
      </c>
      <c r="T390" s="54" t="n">
        <f aca="true">RAND()</f>
        <v>0.00535996900195031</v>
      </c>
      <c r="U390" s="54" t="n">
        <f aca="true">RAND()</f>
        <v>0.267130864745469</v>
      </c>
    </row>
    <row r="391" customFormat="false" ht="15" hidden="false" customHeight="false" outlineLevel="0" collapsed="false">
      <c r="A391" s="50" t="n">
        <v>311</v>
      </c>
      <c r="B391" s="51" t="n">
        <f aca="false">1+IF($G$6=$E$6,$F$6,IF(P391&lt;($F$6-$E$6)/($G$6-$E$6),$E$6+SQRT(P391*($G$6-$E$6)*($F$6-$E$6)),$G$6-SQRT((1-P391)*($G$6-$E$6)*($G$6-$F$6))))</f>
        <v>0.964015023929009</v>
      </c>
      <c r="C391" s="51" t="n">
        <f aca="false">1+IF($G$7=$E$7,$F$7,IF(Q391&lt;($F$7-$E$7)/($G$7-$E$7),$E$7+SQRT(Q391*($G$7-$E$7)*($F$7-$E$7)),$G$7-SQRT((1-Q391)*($G$7-$E$7)*($G$7-$F$7))))</f>
        <v>1.00223940104951</v>
      </c>
      <c r="D391" s="51" t="n">
        <f aca="false">1+IF($G$8=$E$8,$F$8,IF(R391&lt;($F$8-$E$8)/($G$8-$E$8),$E$8+SQRT(R391*($G$8-$E$8)*($F$8-$E$8)),$G$8-SQRT((1-R391)*($G$8-$E$8)*($G$8-$F$8))))</f>
        <v>1.01675488572541</v>
      </c>
      <c r="E391" s="51" t="n">
        <f aca="false">1+IF($G$9=$E$9,$F$9,IF(S391&lt;($F$9-$E$9)/($G$9-$E$9),$E$9+SQRT(S391*($G$9-$E$9)*($F$9-$E$9)),$G$9-SQRT((1-S391)*($G$9-$E$9)*($G$9-$F$9))))</f>
        <v>0.922683211467293</v>
      </c>
      <c r="F391" s="51" t="n">
        <f aca="false">1+IF($G$10=$E$10,$F$10,IF(T391&lt;($F$10-$E$10)/($G$10-$E$10),$E$10+SQRT(T391*($G$10-$E$10)*($F$10-$E$10)),$G$10-SQRT((1-T391)*($G$10-$E$10)*($G$10-$F$10))))</f>
        <v>1.00829933803624</v>
      </c>
      <c r="G391" s="52" t="n">
        <f aca="false">IF($G$11=$E$11,$F$11,IF(U391&lt;($F$11-$E$11)/($G$11-$E$11),$E$11+SQRT(U391*($G$11-$E$11)*($F$11-$E$11)),$G$11-SQRT((1-U391)*($G$11-$E$11)*($G$11-$F$11))))</f>
        <v>0.114067595789864</v>
      </c>
      <c r="H391" s="53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-2016598676.07248</v>
      </c>
      <c r="I391" s="53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-12418761.710583</v>
      </c>
      <c r="J391" s="53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257284414.928315</v>
      </c>
      <c r="K391" s="53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577402558.469026</v>
      </c>
      <c r="L391" s="53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700694585.265463</v>
      </c>
      <c r="M391" s="53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884344908.807894</v>
      </c>
      <c r="N391" s="53" t="n">
        <f aca="false">IF(COUNT('Business Case'!B11:G11)=0,"",H391+NPV(G391,I391:M391))</f>
        <v>-432696320.495212</v>
      </c>
      <c r="P391" s="54" t="n">
        <f aca="true">RAND()</f>
        <v>0.273194885908772</v>
      </c>
      <c r="Q391" s="54" t="n">
        <f aca="true">RAND()</f>
        <v>0.676545265152502</v>
      </c>
      <c r="R391" s="54" t="n">
        <f aca="true">RAND()</f>
        <v>0.538016729960727</v>
      </c>
      <c r="S391" s="54" t="n">
        <f aca="true">RAND()</f>
        <v>0.020581123298798</v>
      </c>
      <c r="T391" s="54" t="n">
        <f aca="true">RAND()</f>
        <v>0.221077200083741</v>
      </c>
      <c r="U391" s="54" t="n">
        <f aca="true">RAND()</f>
        <v>0.830772330723234</v>
      </c>
    </row>
    <row r="392" customFormat="false" ht="15" hidden="false" customHeight="false" outlineLevel="0" collapsed="false">
      <c r="A392" s="50" t="n">
        <v>312</v>
      </c>
      <c r="B392" s="51" t="n">
        <f aca="false">1+IF($G$6=$E$6,$F$6,IF(P392&lt;($F$6-$E$6)/($G$6-$E$6),$E$6+SQRT(P392*($G$6-$E$6)*($F$6-$E$6)),$G$6-SQRT((1-P392)*($G$6-$E$6)*($G$6-$F$6))))</f>
        <v>0.917022757254607</v>
      </c>
      <c r="C392" s="51" t="n">
        <f aca="false">1+IF($G$7=$E$7,$F$7,IF(Q392&lt;($F$7-$E$7)/($G$7-$E$7),$E$7+SQRT(Q392*($G$7-$E$7)*($F$7-$E$7)),$G$7-SQRT((1-Q392)*($G$7-$E$7)*($G$7-$F$7))))</f>
        <v>1.01278988745882</v>
      </c>
      <c r="D392" s="51" t="n">
        <f aca="false">1+IF($G$8=$E$8,$F$8,IF(R392&lt;($F$8-$E$8)/($G$8-$E$8),$E$8+SQRT(R392*($G$8-$E$8)*($F$8-$E$8)),$G$8-SQRT((1-R392)*($G$8-$E$8)*($G$8-$F$8))))</f>
        <v>0.966474910326427</v>
      </c>
      <c r="E392" s="51" t="n">
        <f aca="false">1+IF($G$9=$E$9,$F$9,IF(S392&lt;($F$9-$E$9)/($G$9-$E$9),$E$9+SQRT(S392*($G$9-$E$9)*($F$9-$E$9)),$G$9-SQRT((1-S392)*($G$9-$E$9)*($G$9-$F$9))))</f>
        <v>1.01932407328519</v>
      </c>
      <c r="F392" s="51" t="n">
        <f aca="false">1+IF($G$10=$E$10,$F$10,IF(T392&lt;($F$10-$E$10)/($G$10-$E$10),$E$10+SQRT(T392*($G$10-$E$10)*($F$10-$E$10)),$G$10-SQRT((1-T392)*($G$10-$E$10)*($G$10-$F$10))))</f>
        <v>1.10633182831337</v>
      </c>
      <c r="G392" s="52" t="n">
        <f aca="false">IF($G$11=$E$11,$F$11,IF(U392&lt;($F$11-$E$11)/($G$11-$E$11),$E$11+SQRT(U392*($G$11-$E$11)*($F$11-$E$11)),$G$11-SQRT((1-U392)*($G$11-$E$11)*($G$11-$F$11))))</f>
        <v>0.121380479171927</v>
      </c>
      <c r="H392" s="53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-2212663656.62673</v>
      </c>
      <c r="I392" s="53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-44099024.1559906</v>
      </c>
      <c r="J392" s="53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215529489.026578</v>
      </c>
      <c r="K392" s="53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530474593.624815</v>
      </c>
      <c r="L392" s="53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649115078.876384</v>
      </c>
      <c r="M392" s="53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825652140.258636</v>
      </c>
      <c r="N392" s="53" t="n">
        <f aca="false">IF(COUNT('Business Case'!B11:G11)=0,"",H392+NPV(G392,I392:M392))</f>
        <v>-828287393.427452</v>
      </c>
      <c r="P392" s="54" t="n">
        <f aca="true">RAND()</f>
        <v>0.0193182843032852</v>
      </c>
      <c r="Q392" s="54" t="n">
        <f aca="true">RAND()</f>
        <v>0.721087185428686</v>
      </c>
      <c r="R392" s="54" t="n">
        <f aca="true">RAND()</f>
        <v>0.0361896893685099</v>
      </c>
      <c r="S392" s="54" t="n">
        <f aca="true">RAND()</f>
        <v>0.544634724725999</v>
      </c>
      <c r="T392" s="54" t="n">
        <f aca="true">RAND()</f>
        <v>0.724792752589597</v>
      </c>
      <c r="U392" s="54" t="n">
        <f aca="true">RAND()</f>
        <v>0.950469240462938</v>
      </c>
    </row>
    <row r="393" customFormat="false" ht="15" hidden="false" customHeight="false" outlineLevel="0" collapsed="false">
      <c r="A393" s="50" t="n">
        <v>313</v>
      </c>
      <c r="B393" s="51" t="n">
        <f aca="false">1+IF($G$6=$E$6,$F$6,IF(P393&lt;($F$6-$E$6)/($G$6-$E$6),$E$6+SQRT(P393*($G$6-$E$6)*($F$6-$E$6)),$G$6-SQRT((1-P393)*($G$6-$E$6)*($G$6-$F$6))))</f>
        <v>0.996635691170167</v>
      </c>
      <c r="C393" s="51" t="n">
        <f aca="false">1+IF($G$7=$E$7,$F$7,IF(Q393&lt;($F$7-$E$7)/($G$7-$E$7),$E$7+SQRT(Q393*($G$7-$E$7)*($F$7-$E$7)),$G$7-SQRT((1-Q393)*($G$7-$E$7)*($G$7-$F$7))))</f>
        <v>0.938211338452834</v>
      </c>
      <c r="D393" s="51" t="n">
        <f aca="false">1+IF($G$8=$E$8,$F$8,IF(R393&lt;($F$8-$E$8)/($G$8-$E$8),$E$8+SQRT(R393*($G$8-$E$8)*($F$8-$E$8)),$G$8-SQRT((1-R393)*($G$8-$E$8)*($G$8-$F$8))))</f>
        <v>1.03346206890954</v>
      </c>
      <c r="E393" s="51" t="n">
        <f aca="false">1+IF($G$9=$E$9,$F$9,IF(S393&lt;($F$9-$E$9)/($G$9-$E$9),$E$9+SQRT(S393*($G$9-$E$9)*($F$9-$E$9)),$G$9-SQRT((1-S393)*($G$9-$E$9)*($G$9-$F$9))))</f>
        <v>1.0542510589457</v>
      </c>
      <c r="F393" s="51" t="n">
        <f aca="false">1+IF($G$10=$E$10,$F$10,IF(T393&lt;($F$10-$E$10)/($G$10-$E$10),$E$10+SQRT(T393*($G$10-$E$10)*($F$10-$E$10)),$G$10-SQRT((1-T393)*($G$10-$E$10)*($G$10-$F$10))))</f>
        <v>1.07141542141441</v>
      </c>
      <c r="G393" s="52" t="n">
        <f aca="false">IF($G$11=$E$11,$F$11,IF(U393&lt;($F$11-$E$11)/($G$11-$E$11),$E$11+SQRT(U393*($G$11-$E$11)*($F$11-$E$11)),$G$11-SQRT((1-U393)*($G$11-$E$11)*($G$11-$F$11))))</f>
        <v>0.0921482774037811</v>
      </c>
      <c r="H393" s="53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-2142830842.82883</v>
      </c>
      <c r="I393" s="53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-36012614.2258432</v>
      </c>
      <c r="J393" s="53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233504060.586568</v>
      </c>
      <c r="K393" s="53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556591506.469699</v>
      </c>
      <c r="L393" s="53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678745895.616992</v>
      </c>
      <c r="M393" s="53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856481132.104353</v>
      </c>
      <c r="N393" s="53" t="n">
        <f aca="false">IF(COUNT('Business Case'!B11:G11)=0,"",H393+NPV(G393,I393:M393))</f>
        <v>-524512864.212642</v>
      </c>
      <c r="P393" s="54" t="n">
        <f aca="true">RAND()</f>
        <v>0.622563787195722</v>
      </c>
      <c r="Q393" s="54" t="n">
        <f aca="true">RAND()</f>
        <v>0.42033067975919</v>
      </c>
      <c r="R393" s="54" t="n">
        <f aca="true">RAND()</f>
        <v>0.70484691508007</v>
      </c>
      <c r="S393" s="54" t="n">
        <f aca="true">RAND()</f>
        <v>0.755523740986118</v>
      </c>
      <c r="T393" s="54" t="n">
        <f aca="true">RAND()</f>
        <v>0.574767310552115</v>
      </c>
      <c r="U393" s="54" t="n">
        <f aca="true">RAND()</f>
        <v>0.147580643879218</v>
      </c>
    </row>
    <row r="394" customFormat="false" ht="15" hidden="false" customHeight="false" outlineLevel="0" collapsed="false">
      <c r="A394" s="50" t="n">
        <v>314</v>
      </c>
      <c r="B394" s="51" t="n">
        <f aca="false">1+IF($G$6=$E$6,$F$6,IF(P394&lt;($F$6-$E$6)/($G$6-$E$6),$E$6+SQRT(P394*($G$6-$E$6)*($F$6-$E$6)),$G$6-SQRT((1-P394)*($G$6-$E$6)*($G$6-$F$6))))</f>
        <v>0.993786214316284</v>
      </c>
      <c r="C394" s="51" t="n">
        <f aca="false">1+IF($G$7=$E$7,$F$7,IF(Q394&lt;($F$7-$E$7)/($G$7-$E$7),$E$7+SQRT(Q394*($G$7-$E$7)*($F$7-$E$7)),$G$7-SQRT((1-Q394)*($G$7-$E$7)*($G$7-$F$7))))</f>
        <v>1.02981127385539</v>
      </c>
      <c r="D394" s="51" t="n">
        <f aca="false">1+IF($G$8=$E$8,$F$8,IF(R394&lt;($F$8-$E$8)/($G$8-$E$8),$E$8+SQRT(R394*($G$8-$E$8)*($F$8-$E$8)),$G$8-SQRT((1-R394)*($G$8-$E$8)*($G$8-$F$8))))</f>
        <v>1.01160595286694</v>
      </c>
      <c r="E394" s="51" t="n">
        <f aca="false">1+IF($G$9=$E$9,$F$9,IF(S394&lt;($F$9-$E$9)/($G$9-$E$9),$E$9+SQRT(S394*($G$9-$E$9)*($F$9-$E$9)),$G$9-SQRT((1-S394)*($G$9-$E$9)*($G$9-$F$9))))</f>
        <v>1.02437346206389</v>
      </c>
      <c r="F394" s="51" t="n">
        <f aca="false">1+IF($G$10=$E$10,$F$10,IF(T394&lt;($F$10-$E$10)/($G$10-$E$10),$E$10+SQRT(T394*($G$10-$E$10)*($F$10-$E$10)),$G$10-SQRT((1-T394)*($G$10-$E$10)*($G$10-$F$10))))</f>
        <v>1.04895183655434</v>
      </c>
      <c r="G394" s="52" t="n">
        <f aca="false">IF($G$11=$E$11,$F$11,IF(U394&lt;($F$11-$E$11)/($G$11-$E$11),$E$11+SQRT(U394*($G$11-$E$11)*($F$11-$E$11)),$G$11-SQRT((1-U394)*($G$11-$E$11)*($G$11-$F$11))))</f>
        <v>0.103849398267081</v>
      </c>
      <c r="H394" s="53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-2097903673.10867</v>
      </c>
      <c r="I394" s="53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1334110.360232</v>
      </c>
      <c r="J394" s="53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306283001.581672</v>
      </c>
      <c r="K394" s="53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663679484.630829</v>
      </c>
      <c r="L394" s="53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800698242.304836</v>
      </c>
      <c r="M394" s="53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995228442.272567</v>
      </c>
      <c r="N394" s="53" t="n">
        <f aca="false">IF(COUNT('Business Case'!B11:G11)=0,"",H394+NPV(G394,I394:M394))</f>
        <v>-205339634.178899</v>
      </c>
      <c r="P394" s="54" t="n">
        <f aca="true">RAND()</f>
        <v>0.586390266385332</v>
      </c>
      <c r="Q394" s="54" t="n">
        <f aca="true">RAND()</f>
        <v>0.785995112707213</v>
      </c>
      <c r="R394" s="54" t="n">
        <f aca="true">RAND()</f>
        <v>0.479099495429273</v>
      </c>
      <c r="S394" s="54" t="n">
        <f aca="true">RAND()</f>
        <v>0.57914594576496</v>
      </c>
      <c r="T394" s="54" t="n">
        <f aca="true">RAND()</f>
        <v>0.461061813001669</v>
      </c>
      <c r="U394" s="54" t="n">
        <f aca="true">RAND()</f>
        <v>0.544097352670846</v>
      </c>
    </row>
    <row r="395" customFormat="false" ht="15" hidden="false" customHeight="false" outlineLevel="0" collapsed="false">
      <c r="A395" s="50" t="n">
        <v>315</v>
      </c>
      <c r="B395" s="51" t="n">
        <f aca="false">1+IF($G$6=$E$6,$F$6,IF(P395&lt;($F$6-$E$6)/($G$6-$E$6),$E$6+SQRT(P395*($G$6-$E$6)*($F$6-$E$6)),$G$6-SQRT((1-P395)*($G$6-$E$6)*($G$6-$F$6))))</f>
        <v>0.932090462447175</v>
      </c>
      <c r="C395" s="51" t="n">
        <f aca="false">1+IF($G$7=$E$7,$F$7,IF(Q395&lt;($F$7-$E$7)/($G$7-$E$7),$E$7+SQRT(Q395*($G$7-$E$7)*($F$7-$E$7)),$G$7-SQRT((1-Q395)*($G$7-$E$7)*($G$7-$F$7))))</f>
        <v>0.790369063056861</v>
      </c>
      <c r="D395" s="51" t="n">
        <f aca="false">1+IF($G$8=$E$8,$F$8,IF(R395&lt;($F$8-$E$8)/($G$8-$E$8),$E$8+SQRT(R395*($G$8-$E$8)*($F$8-$E$8)),$G$8-SQRT((1-R395)*($G$8-$E$8)*($G$8-$F$8))))</f>
        <v>1.03852382207274</v>
      </c>
      <c r="E395" s="51" t="n">
        <f aca="false">1+IF($G$9=$E$9,$F$9,IF(S395&lt;($F$9-$E$9)/($G$9-$E$9),$E$9+SQRT(S395*($G$9-$E$9)*($F$9-$E$9)),$G$9-SQRT((1-S395)*($G$9-$E$9)*($G$9-$F$9))))</f>
        <v>1.01385820598351</v>
      </c>
      <c r="F395" s="51" t="n">
        <f aca="false">1+IF($G$10=$E$10,$F$10,IF(T395&lt;($F$10-$E$10)/($G$10-$E$10),$E$10+SQRT(T395*($G$10-$E$10)*($F$10-$E$10)),$G$10-SQRT((1-T395)*($G$10-$E$10)*($G$10-$F$10))))</f>
        <v>1.02427435994381</v>
      </c>
      <c r="G395" s="52" t="n">
        <f aca="false">IF($G$11=$E$11,$F$11,IF(U395&lt;($F$11-$E$11)/($G$11-$E$11),$E$11+SQRT(U395*($G$11-$E$11)*($F$11-$E$11)),$G$11-SQRT((1-U395)*($G$11-$E$11)*($G$11-$F$11))))</f>
        <v>0.105463950844105</v>
      </c>
      <c r="H395" s="53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-2048548719.88761</v>
      </c>
      <c r="I395" s="53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-101574427.448961</v>
      </c>
      <c r="J395" s="53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81639510.9182448</v>
      </c>
      <c r="K395" s="53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316067167.28264</v>
      </c>
      <c r="L395" s="53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402598675.358995</v>
      </c>
      <c r="M395" s="53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542629749.43907</v>
      </c>
      <c r="N395" s="53" t="n">
        <f aca="false">IF(COUNT('Business Case'!B11:G11)=0,"",H395+NPV(G395,I395:M395))</f>
        <v>-1241395658.57502</v>
      </c>
      <c r="P395" s="54" t="n">
        <f aca="true">RAND()</f>
        <v>0.068653185338237</v>
      </c>
      <c r="Q395" s="54" t="n">
        <f aca="true">RAND()</f>
        <v>0.0604930930205551</v>
      </c>
      <c r="R395" s="54" t="n">
        <f aca="true">RAND()</f>
        <v>0.748045303163756</v>
      </c>
      <c r="S395" s="54" t="n">
        <f aca="true">RAND()</f>
        <v>0.505744317919272</v>
      </c>
      <c r="T395" s="54" t="n">
        <f aca="true">RAND()</f>
        <v>0.320639138949615</v>
      </c>
      <c r="U395" s="54" t="n">
        <f aca="true">RAND()</f>
        <v>0.598654861213018</v>
      </c>
    </row>
    <row r="396" customFormat="false" ht="15" hidden="false" customHeight="false" outlineLevel="0" collapsed="false">
      <c r="A396" s="50" t="n">
        <v>316</v>
      </c>
      <c r="B396" s="51" t="n">
        <f aca="false">1+IF($G$6=$E$6,$F$6,IF(P396&lt;($F$6-$E$6)/($G$6-$E$6),$E$6+SQRT(P396*($G$6-$E$6)*($F$6-$E$6)),$G$6-SQRT((1-P396)*($G$6-$E$6)*($G$6-$F$6))))</f>
        <v>1.04164391371568</v>
      </c>
      <c r="C396" s="51" t="n">
        <f aca="false">1+IF($G$7=$E$7,$F$7,IF(Q396&lt;($F$7-$E$7)/($G$7-$E$7),$E$7+SQRT(Q396*($G$7-$E$7)*($F$7-$E$7)),$G$7-SQRT((1-Q396)*($G$7-$E$7)*($G$7-$F$7))))</f>
        <v>0.982102233169714</v>
      </c>
      <c r="D396" s="51" t="n">
        <f aca="false">1+IF($G$8=$E$8,$F$8,IF(R396&lt;($F$8-$E$8)/($G$8-$E$8),$E$8+SQRT(R396*($G$8-$E$8)*($F$8-$E$8)),$G$8-SQRT((1-R396)*($G$8-$E$8)*($G$8-$F$8))))</f>
        <v>0.991113635839636</v>
      </c>
      <c r="E396" s="51" t="n">
        <f aca="false">1+IF($G$9=$E$9,$F$9,IF(S396&lt;($F$9-$E$9)/($G$9-$E$9),$E$9+SQRT(S396*($G$9-$E$9)*($F$9-$E$9)),$G$9-SQRT((1-S396)*($G$9-$E$9)*($G$9-$F$9))))</f>
        <v>1.00369954765377</v>
      </c>
      <c r="F396" s="51" t="n">
        <f aca="false">1+IF($G$10=$E$10,$F$10,IF(T396&lt;($F$10-$E$10)/($G$10-$E$10),$E$10+SQRT(T396*($G$10-$E$10)*($F$10-$E$10)),$G$10-SQRT((1-T396)*($G$10-$E$10)*($G$10-$F$10))))</f>
        <v>1.12761358519846</v>
      </c>
      <c r="G396" s="52" t="n">
        <f aca="false">IF($G$11=$E$11,$F$11,IF(U396&lt;($F$11-$E$11)/($G$11-$E$11),$E$11+SQRT(U396*($G$11-$E$11)*($F$11-$E$11)),$G$11-SQRT((1-U396)*($G$11-$E$11)*($G$11-$F$11))))</f>
        <v>0.118776782532187</v>
      </c>
      <c r="H396" s="53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-2255227170.39691</v>
      </c>
      <c r="I396" s="53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31101439.6692048</v>
      </c>
      <c r="J396" s="53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370722675.723455</v>
      </c>
      <c r="K396" s="53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766724591.037627</v>
      </c>
      <c r="L396" s="53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915286577.848266</v>
      </c>
      <c r="M396" s="53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1109738572.54066</v>
      </c>
      <c r="N396" s="53" t="n">
        <f aca="false">IF(COUNT('Business Case'!B11:G11)=0,"",H396+NPV(G396,I396:M396))</f>
        <v>-166337104.40911</v>
      </c>
      <c r="P396" s="54" t="n">
        <f aca="true">RAND()</f>
        <v>0.990690109601195</v>
      </c>
      <c r="Q396" s="54" t="n">
        <f aca="true">RAND()</f>
        <v>0.589493851550663</v>
      </c>
      <c r="R396" s="54" t="n">
        <f aca="true">RAND()</f>
        <v>0.225377473593894</v>
      </c>
      <c r="S396" s="54" t="n">
        <f aca="true">RAND()</f>
        <v>0.429231403821004</v>
      </c>
      <c r="T396" s="54" t="n">
        <f aca="true">RAND()</f>
        <v>0.800287539626994</v>
      </c>
      <c r="U396" s="54" t="n">
        <f aca="true">RAND()</f>
        <v>0.916026259780121</v>
      </c>
    </row>
    <row r="397" customFormat="false" ht="15" hidden="false" customHeight="false" outlineLevel="0" collapsed="false">
      <c r="A397" s="50" t="n">
        <v>317</v>
      </c>
      <c r="B397" s="51" t="n">
        <f aca="false">1+IF($G$6=$E$6,$F$6,IF(P397&lt;($F$6-$E$6)/($G$6-$E$6),$E$6+SQRT(P397*($G$6-$E$6)*($F$6-$E$6)),$G$6-SQRT((1-P397)*($G$6-$E$6)*($G$6-$F$6))))</f>
        <v>1.01364957004418</v>
      </c>
      <c r="C397" s="51" t="n">
        <f aca="false">1+IF($G$7=$E$7,$F$7,IF(Q397&lt;($F$7-$E$7)/($G$7-$E$7),$E$7+SQRT(Q397*($G$7-$E$7)*($F$7-$E$7)),$G$7-SQRT((1-Q397)*($G$7-$E$7)*($G$7-$F$7))))</f>
        <v>0.878149312924309</v>
      </c>
      <c r="D397" s="51" t="n">
        <f aca="false">1+IF($G$8=$E$8,$F$8,IF(R397&lt;($F$8-$E$8)/($G$8-$E$8),$E$8+SQRT(R397*($G$8-$E$8)*($F$8-$E$8)),$G$8-SQRT((1-R397)*($G$8-$E$8)*($G$8-$F$8))))</f>
        <v>0.963334696689427</v>
      </c>
      <c r="E397" s="51" t="n">
        <f aca="false">1+IF($G$9=$E$9,$F$9,IF(S397&lt;($F$9-$E$9)/($G$9-$E$9),$E$9+SQRT(S397*($G$9-$E$9)*($F$9-$E$9)),$G$9-SQRT((1-S397)*($G$9-$E$9)*($G$9-$F$9))))</f>
        <v>0.99386697471503</v>
      </c>
      <c r="F397" s="51" t="n">
        <f aca="false">1+IF($G$10=$E$10,$F$10,IF(T397&lt;($F$10-$E$10)/($G$10-$E$10),$E$10+SQRT(T397*($G$10-$E$10)*($F$10-$E$10)),$G$10-SQRT((1-T397)*($G$10-$E$10)*($G$10-$F$10))))</f>
        <v>1.09192043350987</v>
      </c>
      <c r="G397" s="52" t="n">
        <f aca="false">IF($G$11=$E$11,$F$11,IF(U397&lt;($F$11-$E$11)/($G$11-$E$11),$E$11+SQRT(U397*($G$11-$E$11)*($F$11-$E$11)),$G$11-SQRT((1-U397)*($G$11-$E$11)*($G$11-$F$11))))</f>
        <v>0.0974572246298609</v>
      </c>
      <c r="H397" s="53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-2183840867.01975</v>
      </c>
      <c r="I397" s="53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-638949.414806798</v>
      </c>
      <c r="J397" s="53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295386661.63907</v>
      </c>
      <c r="K397" s="53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646008294.368441</v>
      </c>
      <c r="L397" s="53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775446586.928547</v>
      </c>
      <c r="M397" s="53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944643575.743685</v>
      </c>
      <c r="N397" s="53" t="n">
        <f aca="false">IF(COUNT('Business Case'!B11:G11)=0,"",H397+NPV(G397,I397:M397))</f>
        <v>-322490067.104546</v>
      </c>
      <c r="P397" s="54" t="n">
        <f aca="true">RAND()</f>
        <v>0.823819498936893</v>
      </c>
      <c r="Q397" s="54" t="n">
        <f aca="true">RAND()</f>
        <v>0.235090205151137</v>
      </c>
      <c r="R397" s="54" t="n">
        <f aca="true">RAND()</f>
        <v>0.0237085514398695</v>
      </c>
      <c r="S397" s="54" t="n">
        <f aca="true">RAND()</f>
        <v>0.352440357686084</v>
      </c>
      <c r="T397" s="54" t="n">
        <f aca="true">RAND()</f>
        <v>0.666811342110579</v>
      </c>
      <c r="U397" s="54" t="n">
        <f aca="true">RAND()</f>
        <v>0.304754691777423</v>
      </c>
    </row>
    <row r="398" customFormat="false" ht="15" hidden="false" customHeight="false" outlineLevel="0" collapsed="false">
      <c r="A398" s="50" t="n">
        <v>318</v>
      </c>
      <c r="B398" s="51" t="n">
        <f aca="false">1+IF($G$6=$E$6,$F$6,IF(P398&lt;($F$6-$E$6)/($G$6-$E$6),$E$6+SQRT(P398*($G$6-$E$6)*($F$6-$E$6)),$G$6-SQRT((1-P398)*($G$6-$E$6)*($G$6-$F$6))))</f>
        <v>0.917615391433956</v>
      </c>
      <c r="C398" s="51" t="n">
        <f aca="false">1+IF($G$7=$E$7,$F$7,IF(Q398&lt;($F$7-$E$7)/($G$7-$E$7),$E$7+SQRT(Q398*($G$7-$E$7)*($F$7-$E$7)),$G$7-SQRT((1-Q398)*($G$7-$E$7)*($G$7-$F$7))))</f>
        <v>0.911731873556725</v>
      </c>
      <c r="D398" s="51" t="n">
        <f aca="false">1+IF($G$8=$E$8,$F$8,IF(R398&lt;($F$8-$E$8)/($G$8-$E$8),$E$8+SQRT(R398*($G$8-$E$8)*($F$8-$E$8)),$G$8-SQRT((1-R398)*($G$8-$E$8)*($G$8-$F$8))))</f>
        <v>1.02344670213796</v>
      </c>
      <c r="E398" s="51" t="n">
        <f aca="false">1+IF($G$9=$E$9,$F$9,IF(S398&lt;($F$9-$E$9)/($G$9-$E$9),$E$9+SQRT(S398*($G$9-$E$9)*($F$9-$E$9)),$G$9-SQRT((1-S398)*($G$9-$E$9)*($G$9-$F$9))))</f>
        <v>1.01106315157167</v>
      </c>
      <c r="F398" s="51" t="n">
        <f aca="false">1+IF($G$10=$E$10,$F$10,IF(T398&lt;($F$10-$E$10)/($G$10-$E$10),$E$10+SQRT(T398*($G$10-$E$10)*($F$10-$E$10)),$G$10-SQRT((1-T398)*($G$10-$E$10)*($G$10-$F$10))))</f>
        <v>1.10832295650811</v>
      </c>
      <c r="G398" s="52" t="n">
        <f aca="false">IF($G$11=$E$11,$F$11,IF(U398&lt;($F$11-$E$11)/($G$11-$E$11),$E$11+SQRT(U398*($G$11-$E$11)*($F$11-$E$11)),$G$11-SQRT((1-U398)*($G$11-$E$11)*($G$11-$F$11))))</f>
        <v>0.11947018016505</v>
      </c>
      <c r="H398" s="53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-2216645913.01622</v>
      </c>
      <c r="I398" s="53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-90401602.3670611</v>
      </c>
      <c r="J398" s="53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117172610.400076</v>
      </c>
      <c r="K398" s="53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380162970.992617</v>
      </c>
      <c r="L398" s="53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478267934.801594</v>
      </c>
      <c r="M398" s="53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637292512.344544</v>
      </c>
      <c r="N398" s="53" t="n">
        <f aca="false">IF(COUNT('Business Case'!B11:G11)=0,"",H398+NPV(G398,I398:M398))</f>
        <v>-1265928077.08217</v>
      </c>
      <c r="P398" s="54" t="n">
        <f aca="true">RAND()</f>
        <v>0.0206868010247653</v>
      </c>
      <c r="Q398" s="54" t="n">
        <f aca="true">RAND()</f>
        <v>0.33207693540623</v>
      </c>
      <c r="R398" s="54" t="n">
        <f aca="true">RAND()</f>
        <v>0.609306172429677</v>
      </c>
      <c r="S398" s="54" t="n">
        <f aca="true">RAND()</f>
        <v>0.48524139063475</v>
      </c>
      <c r="T398" s="54" t="n">
        <f aca="true">RAND()</f>
        <v>0.732368204631953</v>
      </c>
      <c r="U398" s="54" t="n">
        <f aca="true">RAND()</f>
        <v>0.926081929495664</v>
      </c>
    </row>
    <row r="399" customFormat="false" ht="15" hidden="false" customHeight="false" outlineLevel="0" collapsed="false">
      <c r="A399" s="50" t="n">
        <v>319</v>
      </c>
      <c r="B399" s="51" t="n">
        <f aca="false">1+IF($G$6=$E$6,$F$6,IF(P399&lt;($F$6-$E$6)/($G$6-$E$6),$E$6+SQRT(P399*($G$6-$E$6)*($F$6-$E$6)),$G$6-SQRT((1-P399)*($G$6-$E$6)*($G$6-$F$6))))</f>
        <v>0.967221246128653</v>
      </c>
      <c r="C399" s="51" t="n">
        <f aca="false">1+IF($G$7=$E$7,$F$7,IF(Q399&lt;($F$7-$E$7)/($G$7-$E$7),$E$7+SQRT(Q399*($G$7-$E$7)*($F$7-$E$7)),$G$7-SQRT((1-Q399)*($G$7-$E$7)*($G$7-$F$7))))</f>
        <v>0.880251233679276</v>
      </c>
      <c r="D399" s="51" t="n">
        <f aca="false">1+IF($G$8=$E$8,$F$8,IF(R399&lt;($F$8-$E$8)/($G$8-$E$8),$E$8+SQRT(R399*($G$8-$E$8)*($F$8-$E$8)),$G$8-SQRT((1-R399)*($G$8-$E$8)*($G$8-$F$8))))</f>
        <v>0.964008319097545</v>
      </c>
      <c r="E399" s="51" t="n">
        <f aca="false">1+IF($G$9=$E$9,$F$9,IF(S399&lt;($F$9-$E$9)/($G$9-$E$9),$E$9+SQRT(S399*($G$9-$E$9)*($F$9-$E$9)),$G$9-SQRT((1-S399)*($G$9-$E$9)*($G$9-$F$9))))</f>
        <v>1.02363356687649</v>
      </c>
      <c r="F399" s="51" t="n">
        <f aca="false">1+IF($G$10=$E$10,$F$10,IF(T399&lt;($F$10-$E$10)/($G$10-$E$10),$E$10+SQRT(T399*($G$10-$E$10)*($F$10-$E$10)),$G$10-SQRT((1-T399)*($G$10-$E$10)*($G$10-$F$10))))</f>
        <v>1.12681267685179</v>
      </c>
      <c r="G399" s="52" t="n">
        <f aca="false">IF($G$11=$E$11,$F$11,IF(U399&lt;($F$11-$E$11)/($G$11-$E$11),$E$11+SQRT(U399*($G$11-$E$11)*($F$11-$E$11)),$G$11-SQRT((1-U399)*($G$11-$E$11)*($G$11-$F$11))))</f>
        <v>0.0966220182106394</v>
      </c>
      <c r="H399" s="53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-2253625353.70359</v>
      </c>
      <c r="I399" s="53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-39422109.1194313</v>
      </c>
      <c r="J399" s="53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223534199.172499</v>
      </c>
      <c r="K399" s="53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542831141.307019</v>
      </c>
      <c r="L399" s="53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659907548.415226</v>
      </c>
      <c r="M399" s="53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821741222.308492</v>
      </c>
      <c r="N399" s="53" t="n">
        <f aca="false">IF(COUNT('Business Case'!B11:G11)=0,"",H399+NPV(G399,I399:M399))</f>
        <v>-717628832.667876</v>
      </c>
      <c r="P399" s="54" t="n">
        <f aca="true">RAND()</f>
        <v>0.301246395405931</v>
      </c>
      <c r="Q399" s="54" t="n">
        <f aca="true">RAND()</f>
        <v>0.240670424021489</v>
      </c>
      <c r="R399" s="54" t="n">
        <f aca="true">RAND()</f>
        <v>0.0261644005251505</v>
      </c>
      <c r="S399" s="54" t="n">
        <f aca="true">RAND()</f>
        <v>0.574173988790427</v>
      </c>
      <c r="T399" s="54" t="n">
        <f aca="true">RAND()</f>
        <v>0.797665112207726</v>
      </c>
      <c r="U399" s="54" t="n">
        <f aca="true">RAND()</f>
        <v>0.276291489394827</v>
      </c>
    </row>
    <row r="400" customFormat="false" ht="15" hidden="false" customHeight="false" outlineLevel="0" collapsed="false">
      <c r="A400" s="50" t="n">
        <v>320</v>
      </c>
      <c r="B400" s="51" t="n">
        <f aca="false">1+IF($G$6=$E$6,$F$6,IF(P400&lt;($F$6-$E$6)/($G$6-$E$6),$E$6+SQRT(P400*($G$6-$E$6)*($F$6-$E$6)),$G$6-SQRT((1-P400)*($G$6-$E$6)*($G$6-$F$6))))</f>
        <v>0.996084645411782</v>
      </c>
      <c r="C400" s="51" t="n">
        <f aca="false">1+IF($G$7=$E$7,$F$7,IF(Q400&lt;($F$7-$E$7)/($G$7-$E$7),$E$7+SQRT(Q400*($G$7-$E$7)*($F$7-$E$7)),$G$7-SQRT((1-Q400)*($G$7-$E$7)*($G$7-$F$7))))</f>
        <v>1.12637254223146</v>
      </c>
      <c r="D400" s="51" t="n">
        <f aca="false">1+IF($G$8=$E$8,$F$8,IF(R400&lt;($F$8-$E$8)/($G$8-$E$8),$E$8+SQRT(R400*($G$8-$E$8)*($F$8-$E$8)),$G$8-SQRT((1-R400)*($G$8-$E$8)*($G$8-$F$8))))</f>
        <v>1.00803652224168</v>
      </c>
      <c r="E400" s="51" t="n">
        <f aca="false">1+IF($G$9=$E$9,$F$9,IF(S400&lt;($F$9-$E$9)/($G$9-$E$9),$E$9+SQRT(S400*($G$9-$E$9)*($F$9-$E$9)),$G$9-SQRT((1-S400)*($G$9-$E$9)*($G$9-$F$9))))</f>
        <v>1.04555109880542</v>
      </c>
      <c r="F400" s="51" t="n">
        <f aca="false">1+IF($G$10=$E$10,$F$10,IF(T400&lt;($F$10-$E$10)/($G$10-$E$10),$E$10+SQRT(T400*($G$10-$E$10)*($F$10-$E$10)),$G$10-SQRT((1-T400)*($G$10-$E$10)*($G$10-$F$10))))</f>
        <v>1.06105618083966</v>
      </c>
      <c r="G400" s="52" t="n">
        <f aca="false">IF($G$11=$E$11,$F$11,IF(U400&lt;($F$11-$E$11)/($G$11-$E$11),$E$11+SQRT(U400*($G$11-$E$11)*($F$11-$E$11)),$G$11-SQRT((1-U400)*($G$11-$E$11)*($G$11-$F$11))))</f>
        <v>0.105414390079935</v>
      </c>
      <c r="H400" s="53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-2122112361.67932</v>
      </c>
      <c r="I400" s="53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24775875.3330674</v>
      </c>
      <c r="J400" s="53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362497265.522308</v>
      </c>
      <c r="K400" s="53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753271464.753532</v>
      </c>
      <c r="L400" s="53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904620281.83133</v>
      </c>
      <c r="M400" s="53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1117882893.74561</v>
      </c>
      <c r="N400" s="53" t="n">
        <f aca="false">IF(COUNT('Business Case'!B11:G11)=0,"",H400+NPV(G400,I400:M400))</f>
        <v>37761287.0705588</v>
      </c>
      <c r="P400" s="54" t="n">
        <f aca="true">RAND()</f>
        <v>0.615483938927185</v>
      </c>
      <c r="Q400" s="54" t="n">
        <f aca="true">RAND()</f>
        <v>0.991729529472533</v>
      </c>
      <c r="R400" s="54" t="n">
        <f aca="true">RAND()</f>
        <v>0.436181250573016</v>
      </c>
      <c r="S400" s="54" t="n">
        <f aca="true">RAND()</f>
        <v>0.709078054379853</v>
      </c>
      <c r="T400" s="54" t="n">
        <f aca="true">RAND()</f>
        <v>0.524003109348057</v>
      </c>
      <c r="U400" s="54" t="n">
        <f aca="true">RAND()</f>
        <v>0.597031856572271</v>
      </c>
    </row>
    <row r="401" customFormat="false" ht="15" hidden="false" customHeight="false" outlineLevel="0" collapsed="false">
      <c r="A401" s="50" t="n">
        <v>321</v>
      </c>
      <c r="B401" s="51" t="n">
        <f aca="false">1+IF($G$6=$E$6,$F$6,IF(P401&lt;($F$6-$E$6)/($G$6-$E$6),$E$6+SQRT(P401*($G$6-$E$6)*($F$6-$E$6)),$G$6-SQRT((1-P401)*($G$6-$E$6)*($G$6-$F$6))))</f>
        <v>0.96133566755165</v>
      </c>
      <c r="C401" s="51" t="n">
        <f aca="false">1+IF($G$7=$E$7,$F$7,IF(Q401&lt;($F$7-$E$7)/($G$7-$E$7),$E$7+SQRT(Q401*($G$7-$E$7)*($F$7-$E$7)),$G$7-SQRT((1-Q401)*($G$7-$E$7)*($G$7-$F$7))))</f>
        <v>0.965795229237834</v>
      </c>
      <c r="D401" s="51" t="n">
        <f aca="false">1+IF($G$8=$E$8,$F$8,IF(R401&lt;($F$8-$E$8)/($G$8-$E$8),$E$8+SQRT(R401*($G$8-$E$8)*($F$8-$E$8)),$G$8-SQRT((1-R401)*($G$8-$E$8)*($G$8-$F$8))))</f>
        <v>1.02757845496447</v>
      </c>
      <c r="E401" s="51" t="n">
        <f aca="false">1+IF($G$9=$E$9,$F$9,IF(S401&lt;($F$9-$E$9)/($G$9-$E$9),$E$9+SQRT(S401*($G$9-$E$9)*($F$9-$E$9)),$G$9-SQRT((1-S401)*($G$9-$E$9)*($G$9-$F$9))))</f>
        <v>1.0693716463614</v>
      </c>
      <c r="F401" s="51" t="n">
        <f aca="false">1+IF($G$10=$E$10,$F$10,IF(T401&lt;($F$10-$E$10)/($G$10-$E$10),$E$10+SQRT(T401*($G$10-$E$10)*($F$10-$E$10)),$G$10-SQRT((1-T401)*($G$10-$E$10)*($G$10-$F$10))))</f>
        <v>1.00392822596075</v>
      </c>
      <c r="G401" s="52" t="n">
        <f aca="false">IF($G$11=$E$11,$F$11,IF(U401&lt;($F$11-$E$11)/($G$11-$E$11),$E$11+SQRT(U401*($G$11-$E$11)*($F$11-$E$11)),$G$11-SQRT((1-U401)*($G$11-$E$11)*($G$11-$F$11))))</f>
        <v>0.104602444340057</v>
      </c>
      <c r="H401" s="53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-2007856451.9215</v>
      </c>
      <c r="I401" s="53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-48163265.3725199</v>
      </c>
      <c r="J401" s="53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204261964.293113</v>
      </c>
      <c r="K401" s="53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506883605.256783</v>
      </c>
      <c r="L401" s="53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623112698.031651</v>
      </c>
      <c r="M401" s="53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799593120.573099</v>
      </c>
      <c r="N401" s="53" t="n">
        <f aca="false">IF(COUNT('Business Case'!B11:G11)=0,"",H401+NPV(G401,I401:M401))</f>
        <v>-603190007.645525</v>
      </c>
      <c r="P401" s="54" t="n">
        <f aca="true">RAND()</f>
        <v>0.250804274267104</v>
      </c>
      <c r="Q401" s="54" t="n">
        <f aca="true">RAND()</f>
        <v>0.52331188063402</v>
      </c>
      <c r="R401" s="54" t="n">
        <f aca="true">RAND()</f>
        <v>0.650341320977793</v>
      </c>
      <c r="S401" s="54" t="n">
        <f aca="true">RAND()</f>
        <v>0.826641829054107</v>
      </c>
      <c r="T401" s="54" t="n">
        <f aca="true">RAND()</f>
        <v>0.192649093615691</v>
      </c>
      <c r="U401" s="54" t="n">
        <f aca="true">RAND()</f>
        <v>0.56997611100008</v>
      </c>
    </row>
    <row r="402" customFormat="false" ht="15" hidden="false" customHeight="false" outlineLevel="0" collapsed="false">
      <c r="A402" s="50" t="n">
        <v>322</v>
      </c>
      <c r="B402" s="51" t="n">
        <f aca="false">1+IF($G$6=$E$6,$F$6,IF(P402&lt;($F$6-$E$6)/($G$6-$E$6),$E$6+SQRT(P402*($G$6-$E$6)*($F$6-$E$6)),$G$6-SQRT((1-P402)*($G$6-$E$6)*($G$6-$F$6))))</f>
        <v>0.999416492710979</v>
      </c>
      <c r="C402" s="51" t="n">
        <f aca="false">1+IF($G$7=$E$7,$F$7,IF(Q402&lt;($F$7-$E$7)/($G$7-$E$7),$E$7+SQRT(Q402*($G$7-$E$7)*($F$7-$E$7)),$G$7-SQRT((1-Q402)*($G$7-$E$7)*($G$7-$F$7))))</f>
        <v>0.791477756294912</v>
      </c>
      <c r="D402" s="51" t="n">
        <f aca="false">1+IF($G$8=$E$8,$F$8,IF(R402&lt;($F$8-$E$8)/($G$8-$E$8),$E$8+SQRT(R402*($G$8-$E$8)*($F$8-$E$8)),$G$8-SQRT((1-R402)*($G$8-$E$8)*($G$8-$F$8))))</f>
        <v>1.05061585872412</v>
      </c>
      <c r="E402" s="51" t="n">
        <f aca="false">1+IF($G$9=$E$9,$F$9,IF(S402&lt;($F$9-$E$9)/($G$9-$E$9),$E$9+SQRT(S402*($G$9-$E$9)*($F$9-$E$9)),$G$9-SQRT((1-S402)*($G$9-$E$9)*($G$9-$F$9))))</f>
        <v>0.944835405925993</v>
      </c>
      <c r="F402" s="51" t="n">
        <f aca="false">1+IF($G$10=$E$10,$F$10,IF(T402&lt;($F$10-$E$10)/($G$10-$E$10),$E$10+SQRT(T402*($G$10-$E$10)*($F$10-$E$10)),$G$10-SQRT((1-T402)*($G$10-$E$10)*($G$10-$F$10))))</f>
        <v>0.955306067263649</v>
      </c>
      <c r="G402" s="52" t="n">
        <f aca="false">IF($G$11=$E$11,$F$11,IF(U402&lt;($F$11-$E$11)/($G$11-$E$11),$E$11+SQRT(U402*($G$11-$E$11)*($F$11-$E$11)),$G$11-SQRT((1-U402)*($G$11-$E$11)*($G$11-$F$11))))</f>
        <v>0.0911992812499473</v>
      </c>
      <c r="H402" s="53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-1910612134.5273</v>
      </c>
      <c r="I402" s="53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-48674959.7781398</v>
      </c>
      <c r="J402" s="53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173542547.354302</v>
      </c>
      <c r="K402" s="53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443525357.849926</v>
      </c>
      <c r="L402" s="53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544935370.535099</v>
      </c>
      <c r="M402" s="53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695291677.227413</v>
      </c>
      <c r="N402" s="53" t="n">
        <f aca="false">IF(COUNT('Business Case'!B11:G11)=0,"",H402+NPV(G402,I402:M402))</f>
        <v>-634351909.726486</v>
      </c>
      <c r="P402" s="54" t="n">
        <f aca="true">RAND()</f>
        <v>0.658909268196813</v>
      </c>
      <c r="Q402" s="54" t="n">
        <f aca="true">RAND()</f>
        <v>0.0619865177537136</v>
      </c>
      <c r="R402" s="54" t="n">
        <f aca="true">RAND()</f>
        <v>0.837413772696251</v>
      </c>
      <c r="S402" s="54" t="n">
        <f aca="true">RAND()</f>
        <v>0.0804085449819432</v>
      </c>
      <c r="T402" s="54" t="n">
        <f aca="true">RAND()</f>
        <v>0.00187695665375779</v>
      </c>
      <c r="U402" s="54" t="n">
        <f aca="true">RAND()</f>
        <v>0.12542390051542</v>
      </c>
    </row>
    <row r="403" customFormat="false" ht="15" hidden="false" customHeight="false" outlineLevel="0" collapsed="false">
      <c r="A403" s="50" t="n">
        <v>323</v>
      </c>
      <c r="B403" s="51" t="n">
        <f aca="false">1+IF($G$6=$E$6,$F$6,IF(P403&lt;($F$6-$E$6)/($G$6-$E$6),$E$6+SQRT(P403*($G$6-$E$6)*($F$6-$E$6)),$G$6-SQRT((1-P403)*($G$6-$E$6)*($G$6-$F$6))))</f>
        <v>0.990706674166647</v>
      </c>
      <c r="C403" s="51" t="n">
        <f aca="false">1+IF($G$7=$E$7,$F$7,IF(Q403&lt;($F$7-$E$7)/($G$7-$E$7),$E$7+SQRT(Q403*($G$7-$E$7)*($F$7-$E$7)),$G$7-SQRT((1-Q403)*($G$7-$E$7)*($G$7-$F$7))))</f>
        <v>1.05263784196</v>
      </c>
      <c r="D403" s="51" t="n">
        <f aca="false">1+IF($G$8=$E$8,$F$8,IF(R403&lt;($F$8-$E$8)/($G$8-$E$8),$E$8+SQRT(R403*($G$8-$E$8)*($F$8-$E$8)),$G$8-SQRT((1-R403)*($G$8-$E$8)*($G$8-$F$8))))</f>
        <v>0.988759651854108</v>
      </c>
      <c r="E403" s="51" t="n">
        <f aca="false">1+IF($G$9=$E$9,$F$9,IF(S403&lt;($F$9-$E$9)/($G$9-$E$9),$E$9+SQRT(S403*($G$9-$E$9)*($F$9-$E$9)),$G$9-SQRT((1-S403)*($G$9-$E$9)*($G$9-$F$9))))</f>
        <v>1.00631172831344</v>
      </c>
      <c r="F403" s="51" t="n">
        <f aca="false">1+IF($G$10=$E$10,$F$10,IF(T403&lt;($F$10-$E$10)/($G$10-$E$10),$E$10+SQRT(T403*($G$10-$E$10)*($F$10-$E$10)),$G$10-SQRT((1-T403)*($G$10-$E$10)*($G$10-$F$10))))</f>
        <v>1.10652838837086</v>
      </c>
      <c r="G403" s="52" t="n">
        <f aca="false">IF($G$11=$E$11,$F$11,IF(U403&lt;($F$11-$E$11)/($G$11-$E$11),$E$11+SQRT(U403*($G$11-$E$11)*($F$11-$E$11)),$G$11-SQRT((1-U403)*($G$11-$E$11)*($G$11-$F$11))))</f>
        <v>0.108533920535859</v>
      </c>
      <c r="H403" s="53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-2213056776.74172</v>
      </c>
      <c r="I403" s="53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13552299.6508024</v>
      </c>
      <c r="J403" s="53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334916586.497708</v>
      </c>
      <c r="K403" s="53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711607292.763157</v>
      </c>
      <c r="L403" s="53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854769802.107357</v>
      </c>
      <c r="M403" s="53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1052995744.28113</v>
      </c>
      <c r="N403" s="53" t="n">
        <f aca="false">IF(COUNT('Business Case'!B11:G11)=0,"",H403+NPV(G403,I403:M403))</f>
        <v>-210804869.373374</v>
      </c>
      <c r="P403" s="54" t="n">
        <f aca="true">RAND()</f>
        <v>0.548513382558283</v>
      </c>
      <c r="Q403" s="54" t="n">
        <f aca="true">RAND()</f>
        <v>0.859564595285827</v>
      </c>
      <c r="R403" s="54" t="n">
        <f aca="true">RAND()</f>
        <v>0.200308081580219</v>
      </c>
      <c r="S403" s="54" t="n">
        <f aca="true">RAND()</f>
        <v>0.449431482126143</v>
      </c>
      <c r="T403" s="54" t="n">
        <f aca="true">RAND()</f>
        <v>0.725545288753826</v>
      </c>
      <c r="U403" s="54" t="n">
        <f aca="true">RAND()</f>
        <v>0.692804954959453</v>
      </c>
    </row>
    <row r="404" customFormat="false" ht="15" hidden="false" customHeight="false" outlineLevel="0" collapsed="false">
      <c r="A404" s="50" t="n">
        <v>324</v>
      </c>
      <c r="B404" s="51" t="n">
        <f aca="false">1+IF($G$6=$E$6,$F$6,IF(P404&lt;($F$6-$E$6)/($G$6-$E$6),$E$6+SQRT(P404*($G$6-$E$6)*($F$6-$E$6)),$G$6-SQRT((1-P404)*($G$6-$E$6)*($G$6-$F$6))))</f>
        <v>0.979707112557924</v>
      </c>
      <c r="C404" s="51" t="n">
        <f aca="false">1+IF($G$7=$E$7,$F$7,IF(Q404&lt;($F$7-$E$7)/($G$7-$E$7),$E$7+SQRT(Q404*($G$7-$E$7)*($F$7-$E$7)),$G$7-SQRT((1-Q404)*($G$7-$E$7)*($G$7-$F$7))))</f>
        <v>1.01269474881386</v>
      </c>
      <c r="D404" s="51" t="n">
        <f aca="false">1+IF($G$8=$E$8,$F$8,IF(R404&lt;($F$8-$E$8)/($G$8-$E$8),$E$8+SQRT(R404*($G$8-$E$8)*($F$8-$E$8)),$G$8-SQRT((1-R404)*($G$8-$E$8)*($G$8-$F$8))))</f>
        <v>0.966792260904023</v>
      </c>
      <c r="E404" s="51" t="n">
        <f aca="false">1+IF($G$9=$E$9,$F$9,IF(S404&lt;($F$9-$E$9)/($G$9-$E$9),$E$9+SQRT(S404*($G$9-$E$9)*($F$9-$E$9)),$G$9-SQRT((1-S404)*($G$9-$E$9)*($G$9-$F$9))))</f>
        <v>0.942343954768782</v>
      </c>
      <c r="F404" s="51" t="n">
        <f aca="false">1+IF($G$10=$E$10,$F$10,IF(T404&lt;($F$10-$E$10)/($G$10-$E$10),$E$10+SQRT(T404*($G$10-$E$10)*($F$10-$E$10)),$G$10-SQRT((1-T404)*($G$10-$E$10)*($G$10-$F$10))))</f>
        <v>1.11447542551857</v>
      </c>
      <c r="G404" s="52" t="n">
        <f aca="false">IF($G$11=$E$11,$F$11,IF(U404&lt;($F$11-$E$11)/($G$11-$E$11),$E$11+SQRT(U404*($G$11-$E$11)*($F$11-$E$11)),$G$11-SQRT((1-U404)*($G$11-$E$11)*($G$11-$F$11))))</f>
        <v>0.102550662424606</v>
      </c>
      <c r="H404" s="53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-2228950851.03715</v>
      </c>
      <c r="I404" s="53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14552779.9435753</v>
      </c>
      <c r="J404" s="53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325987170.637083</v>
      </c>
      <c r="K404" s="53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693145332.606518</v>
      </c>
      <c r="L404" s="53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831245301.39099</v>
      </c>
      <c r="M404" s="53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1019832080.10082</v>
      </c>
      <c r="N404" s="53" t="n">
        <f aca="false">IF(COUNT('Business Case'!B11:G11)=0,"",H404+NPV(G404,I404:M404))</f>
        <v>-241960694.241907</v>
      </c>
      <c r="P404" s="54" t="n">
        <f aca="true">RAND()</f>
        <v>0.423548252821436</v>
      </c>
      <c r="Q404" s="54" t="n">
        <f aca="true">RAND()</f>
        <v>0.72070026661794</v>
      </c>
      <c r="R404" s="54" t="n">
        <f aca="true">RAND()</f>
        <v>0.0375973368358387</v>
      </c>
      <c r="S404" s="54" t="n">
        <f aca="true">RAND()</f>
        <v>0.0717204202184269</v>
      </c>
      <c r="T404" s="54" t="n">
        <f aca="true">RAND()</f>
        <v>0.755107862821711</v>
      </c>
      <c r="U404" s="54" t="n">
        <f aca="true">RAND()</f>
        <v>0.497689244448028</v>
      </c>
    </row>
    <row r="405" customFormat="false" ht="15" hidden="false" customHeight="false" outlineLevel="0" collapsed="false">
      <c r="A405" s="50" t="n">
        <v>325</v>
      </c>
      <c r="B405" s="51" t="n">
        <f aca="false">1+IF($G$6=$E$6,$F$6,IF(P405&lt;($F$6-$E$6)/($G$6-$E$6),$E$6+SQRT(P405*($G$6-$E$6)*($F$6-$E$6)),$G$6-SQRT((1-P405)*($G$6-$E$6)*($G$6-$F$6))))</f>
        <v>0.947659276795377</v>
      </c>
      <c r="C405" s="51" t="n">
        <f aca="false">1+IF($G$7=$E$7,$F$7,IF(Q405&lt;($F$7-$E$7)/($G$7-$E$7),$E$7+SQRT(Q405*($G$7-$E$7)*($F$7-$E$7)),$G$7-SQRT((1-Q405)*($G$7-$E$7)*($G$7-$F$7))))</f>
        <v>0.785778348668208</v>
      </c>
      <c r="D405" s="51" t="n">
        <f aca="false">1+IF($G$8=$E$8,$F$8,IF(R405&lt;($F$8-$E$8)/($G$8-$E$8),$E$8+SQRT(R405*($G$8-$E$8)*($F$8-$E$8)),$G$8-SQRT((1-R405)*($G$8-$E$8)*($G$8-$F$8))))</f>
        <v>1.0032061940991</v>
      </c>
      <c r="E405" s="51" t="n">
        <f aca="false">1+IF($G$9=$E$9,$F$9,IF(S405&lt;($F$9-$E$9)/($G$9-$E$9),$E$9+SQRT(S405*($G$9-$E$9)*($F$9-$E$9)),$G$9-SQRT((1-S405)*($G$9-$E$9)*($G$9-$F$9))))</f>
        <v>0.938225606491753</v>
      </c>
      <c r="F405" s="51" t="n">
        <f aca="false">1+IF($G$10=$E$10,$F$10,IF(T405&lt;($F$10-$E$10)/($G$10-$E$10),$E$10+SQRT(T405*($G$10-$E$10)*($F$10-$E$10)),$G$10-SQRT((1-T405)*($G$10-$E$10)*($G$10-$F$10))))</f>
        <v>1.20856288396174</v>
      </c>
      <c r="G405" s="52" t="n">
        <f aca="false">IF($G$11=$E$11,$F$11,IF(U405&lt;($F$11-$E$11)/($G$11-$E$11),$E$11+SQRT(U405*($G$11-$E$11)*($F$11-$E$11)),$G$11-SQRT((1-U405)*($G$11-$E$11)*($G$11-$F$11))))</f>
        <v>0.0971474547035041</v>
      </c>
      <c r="H405" s="53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-2417125767.92348</v>
      </c>
      <c r="I405" s="53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-86497914.1324177</v>
      </c>
      <c r="J405" s="53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119878804.716067</v>
      </c>
      <c r="K405" s="53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386683667.762638</v>
      </c>
      <c r="L405" s="53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481211016.273199</v>
      </c>
      <c r="M405" s="53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622754115.192401</v>
      </c>
      <c r="N405" s="53" t="n">
        <f aca="false">IF(COUNT('Business Case'!B11:G11)=0,"",H405+NPV(G405,I405:M405))</f>
        <v>-1379742932.40503</v>
      </c>
      <c r="P405" s="54" t="n">
        <f aca="true">RAND()</f>
        <v>0.151427110977223</v>
      </c>
      <c r="Q405" s="54" t="n">
        <f aca="true">RAND()</f>
        <v>0.0545031488907017</v>
      </c>
      <c r="R405" s="54" t="n">
        <f aca="true">RAND()</f>
        <v>0.375397275947926</v>
      </c>
      <c r="S405" s="54" t="n">
        <f aca="true">RAND()</f>
        <v>0.0584478796664949</v>
      </c>
      <c r="T405" s="54" t="n">
        <f aca="true">RAND()</f>
        <v>0.977106205525758</v>
      </c>
      <c r="U405" s="54" t="n">
        <f aca="true">RAND()</f>
        <v>0.294035202808723</v>
      </c>
    </row>
    <row r="406" customFormat="false" ht="15" hidden="false" customHeight="false" outlineLevel="0" collapsed="false">
      <c r="A406" s="50" t="n">
        <v>326</v>
      </c>
      <c r="B406" s="51" t="n">
        <f aca="false">1+IF($G$6=$E$6,$F$6,IF(P406&lt;($F$6-$E$6)/($G$6-$E$6),$E$6+SQRT(P406*($G$6-$E$6)*($F$6-$E$6)),$G$6-SQRT((1-P406)*($G$6-$E$6)*($G$6-$F$6))))</f>
        <v>0.962395792721173</v>
      </c>
      <c r="C406" s="51" t="n">
        <f aca="false">1+IF($G$7=$E$7,$F$7,IF(Q406&lt;($F$7-$E$7)/($G$7-$E$7),$E$7+SQRT(Q406*($G$7-$E$7)*($F$7-$E$7)),$G$7-SQRT((1-Q406)*($G$7-$E$7)*($G$7-$F$7))))</f>
        <v>1.00125080178237</v>
      </c>
      <c r="D406" s="51" t="n">
        <f aca="false">1+IF($G$8=$E$8,$F$8,IF(R406&lt;($F$8-$E$8)/($G$8-$E$8),$E$8+SQRT(R406*($G$8-$E$8)*($F$8-$E$8)),$G$8-SQRT((1-R406)*($G$8-$E$8)*($G$8-$F$8))))</f>
        <v>1.07553675524033</v>
      </c>
      <c r="E406" s="51" t="n">
        <f aca="false">1+IF($G$9=$E$9,$F$9,IF(S406&lt;($F$9-$E$9)/($G$9-$E$9),$E$9+SQRT(S406*($G$9-$E$9)*($F$9-$E$9)),$G$9-SQRT((1-S406)*($G$9-$E$9)*($G$9-$F$9))))</f>
        <v>0.992555476710229</v>
      </c>
      <c r="F406" s="51" t="n">
        <f aca="false">1+IF($G$10=$E$10,$F$10,IF(T406&lt;($F$10-$E$10)/($G$10-$E$10),$E$10+SQRT(T406*($G$10-$E$10)*($F$10-$E$10)),$G$10-SQRT((1-T406)*($G$10-$E$10)*($G$10-$F$10))))</f>
        <v>1.04808597009445</v>
      </c>
      <c r="G406" s="52" t="n">
        <f aca="false">IF($G$11=$E$11,$F$11,IF(U406&lt;($F$11-$E$11)/($G$11-$E$11),$E$11+SQRT(U406*($G$11-$E$11)*($F$11-$E$11)),$G$11-SQRT((1-U406)*($G$11-$E$11)*($G$11-$F$11))))</f>
        <v>0.102617257253225</v>
      </c>
      <c r="H406" s="53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-2096171940.18891</v>
      </c>
      <c r="I406" s="53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-57923022.0394717</v>
      </c>
      <c r="J406" s="53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180056942.862132</v>
      </c>
      <c r="K406" s="53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470441206.268459</v>
      </c>
      <c r="L406" s="53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583069861.997951</v>
      </c>
      <c r="M406" s="53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766230866.190549</v>
      </c>
      <c r="N406" s="53" t="n">
        <f aca="false">IF(COUNT('Business Case'!B11:G11)=0,"",H406+NPV(G406,I406:M406))</f>
        <v>-785037964.804445</v>
      </c>
      <c r="P406" s="54" t="n">
        <f aca="true">RAND()</f>
        <v>0.25954899662024</v>
      </c>
      <c r="Q406" s="54" t="n">
        <f aca="true">RAND()</f>
        <v>0.67220260784611</v>
      </c>
      <c r="R406" s="54" t="n">
        <f aca="true">RAND()</f>
        <v>0.960103310388563</v>
      </c>
      <c r="S406" s="54" t="n">
        <f aca="true">RAND()</f>
        <v>0.342660650762311</v>
      </c>
      <c r="T406" s="54" t="n">
        <f aca="true">RAND()</f>
        <v>0.456409660364031</v>
      </c>
      <c r="U406" s="54" t="n">
        <f aca="true">RAND()</f>
        <v>0.500123599775964</v>
      </c>
    </row>
    <row r="407" customFormat="false" ht="15" hidden="false" customHeight="false" outlineLevel="0" collapsed="false">
      <c r="A407" s="50" t="n">
        <v>327</v>
      </c>
      <c r="B407" s="51" t="n">
        <f aca="false">1+IF($G$6=$E$6,$F$6,IF(P407&lt;($F$6-$E$6)/($G$6-$E$6),$E$6+SQRT(P407*($G$6-$E$6)*($F$6-$E$6)),$G$6-SQRT((1-P407)*($G$6-$E$6)*($G$6-$F$6))))</f>
        <v>1.01529227616737</v>
      </c>
      <c r="C407" s="51" t="n">
        <f aca="false">1+IF($G$7=$E$7,$F$7,IF(Q407&lt;($F$7-$E$7)/($G$7-$E$7),$E$7+SQRT(Q407*($G$7-$E$7)*($F$7-$E$7)),$G$7-SQRT((1-Q407)*($G$7-$E$7)*($G$7-$F$7))))</f>
        <v>0.951364587860139</v>
      </c>
      <c r="D407" s="51" t="n">
        <f aca="false">1+IF($G$8=$E$8,$F$8,IF(R407&lt;($F$8-$E$8)/($G$8-$E$8),$E$8+SQRT(R407*($G$8-$E$8)*($F$8-$E$8)),$G$8-SQRT((1-R407)*($G$8-$E$8)*($G$8-$F$8))))</f>
        <v>1.02791970944282</v>
      </c>
      <c r="E407" s="51" t="n">
        <f aca="false">1+IF($G$9=$E$9,$F$9,IF(S407&lt;($F$9-$E$9)/($G$9-$E$9),$E$9+SQRT(S407*($G$9-$E$9)*($F$9-$E$9)),$G$9-SQRT((1-S407)*($G$9-$E$9)*($G$9-$F$9))))</f>
        <v>1.0164952957703</v>
      </c>
      <c r="F407" s="51" t="n">
        <f aca="false">1+IF($G$10=$E$10,$F$10,IF(T407&lt;($F$10-$E$10)/($G$10-$E$10),$E$10+SQRT(T407*($G$10-$E$10)*($F$10-$E$10)),$G$10-SQRT((1-T407)*($G$10-$E$10)*($G$10-$F$10))))</f>
        <v>1.04572126850184</v>
      </c>
      <c r="G407" s="52" t="n">
        <f aca="false">IF($G$11=$E$11,$F$11,IF(U407&lt;($F$11-$E$11)/($G$11-$E$11),$E$11+SQRT(U407*($G$11-$E$11)*($F$11-$E$11)),$G$11-SQRT((1-U407)*($G$11-$E$11)*($G$11-$F$11))))</f>
        <v>0.09510636431866</v>
      </c>
      <c r="H407" s="53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-2091442537.00367</v>
      </c>
      <c r="I407" s="53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-8658392.83592029</v>
      </c>
      <c r="J407" s="53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281873908.267444</v>
      </c>
      <c r="K407" s="53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624692272.7959</v>
      </c>
      <c r="L407" s="53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754918330.517398</v>
      </c>
      <c r="M407" s="53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938519095.962803</v>
      </c>
      <c r="N407" s="53" t="n">
        <f aca="false">IF(COUNT('Business Case'!B11:G11)=0,"",H407+NPV(G407,I407:M407))</f>
        <v>-267866424.146997</v>
      </c>
      <c r="P407" s="54" t="n">
        <f aca="true">RAND()</f>
        <v>0.839383187514373</v>
      </c>
      <c r="Q407" s="54" t="n">
        <f aca="true">RAND()</f>
        <v>0.46803078540813</v>
      </c>
      <c r="R407" s="54" t="n">
        <f aca="true">RAND()</f>
        <v>0.653628780879487</v>
      </c>
      <c r="S407" s="54" t="n">
        <f aca="true">RAND()</f>
        <v>0.524706505294383</v>
      </c>
      <c r="T407" s="54" t="n">
        <f aca="true">RAND()</f>
        <v>0.443602664766685</v>
      </c>
      <c r="U407" s="54" t="n">
        <f aca="true">RAND()</f>
        <v>0.228202242928085</v>
      </c>
    </row>
    <row r="408" customFormat="false" ht="15" hidden="false" customHeight="false" outlineLevel="0" collapsed="false">
      <c r="A408" s="50" t="n">
        <v>328</v>
      </c>
      <c r="B408" s="51" t="n">
        <f aca="false">1+IF($G$6=$E$6,$F$6,IF(P408&lt;($F$6-$E$6)/($G$6-$E$6),$E$6+SQRT(P408*($G$6-$E$6)*($F$6-$E$6)),$G$6-SQRT((1-P408)*($G$6-$E$6)*($G$6-$F$6))))</f>
        <v>0.954680301034362</v>
      </c>
      <c r="C408" s="51" t="n">
        <f aca="false">1+IF($G$7=$E$7,$F$7,IF(Q408&lt;($F$7-$E$7)/($G$7-$E$7),$E$7+SQRT(Q408*($G$7-$E$7)*($F$7-$E$7)),$G$7-SQRT((1-Q408)*($G$7-$E$7)*($G$7-$F$7))))</f>
        <v>0.935753807509008</v>
      </c>
      <c r="D408" s="51" t="n">
        <f aca="false">1+IF($G$8=$E$8,$F$8,IF(R408&lt;($F$8-$E$8)/($G$8-$E$8),$E$8+SQRT(R408*($G$8-$E$8)*($F$8-$E$8)),$G$8-SQRT((1-R408)*($G$8-$E$8)*($G$8-$F$8))))</f>
        <v>1.0014854401108</v>
      </c>
      <c r="E408" s="51" t="n">
        <f aca="false">1+IF($G$9=$E$9,$F$9,IF(S408&lt;($F$9-$E$9)/($G$9-$E$9),$E$9+SQRT(S408*($G$9-$E$9)*($F$9-$E$9)),$G$9-SQRT((1-S408)*($G$9-$E$9)*($G$9-$F$9))))</f>
        <v>1.00110437683475</v>
      </c>
      <c r="F408" s="51" t="n">
        <f aca="false">1+IF($G$10=$E$10,$F$10,IF(T408&lt;($F$10-$E$10)/($G$10-$E$10),$E$10+SQRT(T408*($G$10-$E$10)*($F$10-$E$10)),$G$10-SQRT((1-T408)*($G$10-$E$10)*($G$10-$F$10))))</f>
        <v>1.10014703686308</v>
      </c>
      <c r="G408" s="52" t="n">
        <f aca="false">IF($G$11=$E$11,$F$11,IF(U408&lt;($F$11-$E$11)/($G$11-$E$11),$E$11+SQRT(U408*($G$11-$E$11)*($F$11-$E$11)),$G$11-SQRT((1-U408)*($G$11-$E$11)*($G$11-$F$11))))</f>
        <v>0.10137480283917</v>
      </c>
      <c r="H408" s="53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-2200294073.72617</v>
      </c>
      <c r="I408" s="53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-46710978.6597083</v>
      </c>
      <c r="J408" s="53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205260831.22216</v>
      </c>
      <c r="K408" s="53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512239992.947182</v>
      </c>
      <c r="L408" s="53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627104624.55405</v>
      </c>
      <c r="M408" s="53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796911780.275065</v>
      </c>
      <c r="N408" s="53" t="n">
        <f aca="false">IF(COUNT('Business Case'!B11:G11)=0,"",H408+NPV(G408,I408:M408))</f>
        <v>-772152514.718038</v>
      </c>
      <c r="P408" s="54" t="n">
        <f aca="true">RAND()</f>
        <v>0.199329021413895</v>
      </c>
      <c r="Q408" s="54" t="n">
        <f aca="true">RAND()</f>
        <v>0.411702650036996</v>
      </c>
      <c r="R408" s="54" t="n">
        <f aca="true">RAND()</f>
        <v>0.352992099322437</v>
      </c>
      <c r="S408" s="54" t="n">
        <f aca="true">RAND()</f>
        <v>0.408802490726154</v>
      </c>
      <c r="T408" s="54" t="n">
        <f aca="true">RAND()</f>
        <v>0.700587859187809</v>
      </c>
      <c r="U408" s="54" t="n">
        <f aca="true">RAND()</f>
        <v>0.453732058335731</v>
      </c>
    </row>
    <row r="409" customFormat="false" ht="15" hidden="false" customHeight="false" outlineLevel="0" collapsed="false">
      <c r="A409" s="50" t="n">
        <v>329</v>
      </c>
      <c r="B409" s="51" t="n">
        <f aca="false">1+IF($G$6=$E$6,$F$6,IF(P409&lt;($F$6-$E$6)/($G$6-$E$6),$E$6+SQRT(P409*($G$6-$E$6)*($F$6-$E$6)),$G$6-SQRT((1-P409)*($G$6-$E$6)*($G$6-$F$6))))</f>
        <v>1.01764757518044</v>
      </c>
      <c r="C409" s="51" t="n">
        <f aca="false">1+IF($G$7=$E$7,$F$7,IF(Q409&lt;($F$7-$E$7)/($G$7-$E$7),$E$7+SQRT(Q409*($G$7-$E$7)*($F$7-$E$7)),$G$7-SQRT((1-Q409)*($G$7-$E$7)*($G$7-$F$7))))</f>
        <v>1.08724986760685</v>
      </c>
      <c r="D409" s="51" t="n">
        <f aca="false">1+IF($G$8=$E$8,$F$8,IF(R409&lt;($F$8-$E$8)/($G$8-$E$8),$E$8+SQRT(R409*($G$8-$E$8)*($F$8-$E$8)),$G$8-SQRT((1-R409)*($G$8-$E$8)*($G$8-$F$8))))</f>
        <v>0.974015789222988</v>
      </c>
      <c r="E409" s="51" t="n">
        <f aca="false">1+IF($G$9=$E$9,$F$9,IF(S409&lt;($F$9-$E$9)/($G$9-$E$9),$E$9+SQRT(S409*($G$9-$E$9)*($F$9-$E$9)),$G$9-SQRT((1-S409)*($G$9-$E$9)*($G$9-$F$9))))</f>
        <v>1.03748332361406</v>
      </c>
      <c r="F409" s="51" t="n">
        <f aca="false">1+IF($G$10=$E$10,$F$10,IF(T409&lt;($F$10-$E$10)/($G$10-$E$10),$E$10+SQRT(T409*($G$10-$E$10)*($F$10-$E$10)),$G$10-SQRT((1-T409)*($G$10-$E$10)*($G$10-$F$10))))</f>
        <v>1.14457526515615</v>
      </c>
      <c r="G409" s="52" t="n">
        <f aca="false">IF($G$11=$E$11,$F$11,IF(U409&lt;($F$11-$E$11)/($G$11-$E$11),$E$11+SQRT(U409*($G$11-$E$11)*($F$11-$E$11)),$G$11-SQRT((1-U409)*($G$11-$E$11)*($G$11-$F$11))))</f>
        <v>0.117518665573231</v>
      </c>
      <c r="H409" s="53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-2289150530.3123</v>
      </c>
      <c r="I409" s="53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44783832.5760794</v>
      </c>
      <c r="J409" s="53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408913024.287111</v>
      </c>
      <c r="K409" s="53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830270979.25595</v>
      </c>
      <c r="L409" s="53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989885845.827239</v>
      </c>
      <c r="M409" s="53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1200197427.16577</v>
      </c>
      <c r="N409" s="53" t="n">
        <f aca="false">IF(COUNT('Business Case'!B11:G11)=0,"",H409+NPV(G409,I409:M409))</f>
        <v>-3413266.96935368</v>
      </c>
      <c r="P409" s="54" t="n">
        <f aca="true">RAND()</f>
        <v>0.860442747772635</v>
      </c>
      <c r="Q409" s="54" t="n">
        <f aca="true">RAND()</f>
        <v>0.941665494587293</v>
      </c>
      <c r="R409" s="54" t="n">
        <f aca="true">RAND()</f>
        <v>0.0769010842670662</v>
      </c>
      <c r="S409" s="54" t="n">
        <f aca="true">RAND()</f>
        <v>0.66239993426833</v>
      </c>
      <c r="T409" s="54" t="n">
        <f aca="true">RAND()</f>
        <v>0.851808337108048</v>
      </c>
      <c r="U409" s="54" t="n">
        <f aca="true">RAND()</f>
        <v>0.896144193951439</v>
      </c>
    </row>
    <row r="410" customFormat="false" ht="15" hidden="false" customHeight="false" outlineLevel="0" collapsed="false">
      <c r="A410" s="50" t="n">
        <v>330</v>
      </c>
      <c r="B410" s="51" t="n">
        <f aca="false">1+IF($G$6=$E$6,$F$6,IF(P410&lt;($F$6-$E$6)/($G$6-$E$6),$E$6+SQRT(P410*($G$6-$E$6)*($F$6-$E$6)),$G$6-SQRT((1-P410)*($G$6-$E$6)*($G$6-$F$6))))</f>
        <v>0.960351299751615</v>
      </c>
      <c r="C410" s="51" t="n">
        <f aca="false">1+IF($G$7=$E$7,$F$7,IF(Q410&lt;($F$7-$E$7)/($G$7-$E$7),$E$7+SQRT(Q410*($G$7-$E$7)*($F$7-$E$7)),$G$7-SQRT((1-Q410)*($G$7-$E$7)*($G$7-$F$7))))</f>
        <v>1.10581094426147</v>
      </c>
      <c r="D410" s="51" t="n">
        <f aca="false">1+IF($G$8=$E$8,$F$8,IF(R410&lt;($F$8-$E$8)/($G$8-$E$8),$E$8+SQRT(R410*($G$8-$E$8)*($F$8-$E$8)),$G$8-SQRT((1-R410)*($G$8-$E$8)*($G$8-$F$8))))</f>
        <v>0.994541143570725</v>
      </c>
      <c r="E410" s="51" t="n">
        <f aca="false">1+IF($G$9=$E$9,$F$9,IF(S410&lt;($F$9-$E$9)/($G$9-$E$9),$E$9+SQRT(S410*($G$9-$E$9)*($F$9-$E$9)),$G$9-SQRT((1-S410)*($G$9-$E$9)*($G$9-$F$9))))</f>
        <v>1.12458620034681</v>
      </c>
      <c r="F410" s="51" t="n">
        <f aca="false">1+IF($G$10=$E$10,$F$10,IF(T410&lt;($F$10-$E$10)/($G$10-$E$10),$E$10+SQRT(T410*($G$10-$E$10)*($F$10-$E$10)),$G$10-SQRT((1-T410)*($G$10-$E$10)*($G$10-$F$10))))</f>
        <v>1.02803234758019</v>
      </c>
      <c r="G410" s="52" t="n">
        <f aca="false">IF($G$11=$E$11,$F$11,IF(U410&lt;($F$11-$E$11)/($G$11-$E$11),$E$11+SQRT(U410*($G$11-$E$11)*($F$11-$E$11)),$G$11-SQRT((1-U410)*($G$11-$E$11)*($G$11-$F$11))))</f>
        <v>0.0828951207713379</v>
      </c>
      <c r="H410" s="53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-2056064695.16039</v>
      </c>
      <c r="I410" s="53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-10940896.6423893</v>
      </c>
      <c r="J410" s="53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295889967.281397</v>
      </c>
      <c r="K410" s="53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654122448.584192</v>
      </c>
      <c r="L410" s="53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793100981.971347</v>
      </c>
      <c r="M410" s="53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994959665.073757</v>
      </c>
      <c r="N410" s="53" t="n">
        <f aca="false">IF(COUNT('Business Case'!B11:G11)=0,"",H410+NPV(G410,I410:M410))</f>
        <v>-53841846.5389988</v>
      </c>
      <c r="P410" s="54" t="n">
        <f aca="true">RAND()</f>
        <v>0.242818625447283</v>
      </c>
      <c r="Q410" s="54" t="n">
        <f aca="true">RAND()</f>
        <v>0.97107151633981</v>
      </c>
      <c r="R410" s="54" t="n">
        <f aca="true">RAND()</f>
        <v>0.264521796078392</v>
      </c>
      <c r="S410" s="54" t="n">
        <f aca="true">RAND()</f>
        <v>0.982777034325002</v>
      </c>
      <c r="T410" s="54" t="n">
        <f aca="true">RAND()</f>
        <v>0.343071483723205</v>
      </c>
      <c r="U410" s="54" t="n">
        <f aca="true">RAND()</f>
        <v>0.00838172428063239</v>
      </c>
    </row>
    <row r="411" customFormat="false" ht="15" hidden="false" customHeight="false" outlineLevel="0" collapsed="false">
      <c r="A411" s="50" t="n">
        <v>331</v>
      </c>
      <c r="B411" s="51" t="n">
        <f aca="false">1+IF($G$6=$E$6,$F$6,IF(P411&lt;($F$6-$E$6)/($G$6-$E$6),$E$6+SQRT(P411*($G$6-$E$6)*($F$6-$E$6)),$G$6-SQRT((1-P411)*($G$6-$E$6)*($G$6-$F$6))))</f>
        <v>0.967002537145607</v>
      </c>
      <c r="C411" s="51" t="n">
        <f aca="false">1+IF($G$7=$E$7,$F$7,IF(Q411&lt;($F$7-$E$7)/($G$7-$E$7),$E$7+SQRT(Q411*($G$7-$E$7)*($F$7-$E$7)),$G$7-SQRT((1-Q411)*($G$7-$E$7)*($G$7-$F$7))))</f>
        <v>0.957498208207037</v>
      </c>
      <c r="D411" s="51" t="n">
        <f aca="false">1+IF($G$8=$E$8,$F$8,IF(R411&lt;($F$8-$E$8)/($G$8-$E$8),$E$8+SQRT(R411*($G$8-$E$8)*($F$8-$E$8)),$G$8-SQRT((1-R411)*($G$8-$E$8)*($G$8-$F$8))))</f>
        <v>0.997015938170827</v>
      </c>
      <c r="E411" s="51" t="n">
        <f aca="false">1+IF($G$9=$E$9,$F$9,IF(S411&lt;($F$9-$E$9)/($G$9-$E$9),$E$9+SQRT(S411*($G$9-$E$9)*($F$9-$E$9)),$G$9-SQRT((1-S411)*($G$9-$E$9)*($G$9-$F$9))))</f>
        <v>0.970494860084917</v>
      </c>
      <c r="F411" s="51" t="n">
        <f aca="false">1+IF($G$10=$E$10,$F$10,IF(T411&lt;($F$10-$E$10)/($G$10-$E$10),$E$10+SQRT(T411*($G$10-$E$10)*($F$10-$E$10)),$G$10-SQRT((1-T411)*($G$10-$E$10)*($G$10-$F$10))))</f>
        <v>1.00354694035826</v>
      </c>
      <c r="G411" s="52" t="n">
        <f aca="false">IF($G$11=$E$11,$F$11,IF(U411&lt;($F$11-$E$11)/($G$11-$E$11),$E$11+SQRT(U411*($G$11-$E$11)*($F$11-$E$11)),$G$11-SQRT((1-U411)*($G$11-$E$11)*($G$11-$F$11))))</f>
        <v>0.120163193642498</v>
      </c>
      <c r="H411" s="53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-2007093880.71652</v>
      </c>
      <c r="I411" s="53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-16676309.3593129</v>
      </c>
      <c r="J411" s="53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253005266.135537</v>
      </c>
      <c r="K411" s="53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572864188.648301</v>
      </c>
      <c r="L411" s="53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694757261.622759</v>
      </c>
      <c r="M411" s="53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870752941.24172</v>
      </c>
      <c r="N411" s="53" t="n">
        <f aca="false">IF(COUNT('Business Case'!B11:G11)=0,"",H411+NPV(G411,I411:M411))</f>
        <v>-477768211.805429</v>
      </c>
      <c r="P411" s="54" t="n">
        <f aca="true">RAND()</f>
        <v>0.299289332263228</v>
      </c>
      <c r="Q411" s="54" t="n">
        <f aca="true">RAND()</f>
        <v>0.491150572072849</v>
      </c>
      <c r="R411" s="54" t="n">
        <f aca="true">RAND()</f>
        <v>0.294733125611067</v>
      </c>
      <c r="S411" s="54" t="n">
        <f aca="true">RAND()</f>
        <v>0.198781011935679</v>
      </c>
      <c r="T411" s="54" t="n">
        <f aca="true">RAND()</f>
        <v>0.190145191909657</v>
      </c>
      <c r="U411" s="54" t="n">
        <f aca="true">RAND()</f>
        <v>0.935491493790002</v>
      </c>
    </row>
    <row r="412" customFormat="false" ht="15" hidden="false" customHeight="false" outlineLevel="0" collapsed="false">
      <c r="A412" s="50" t="n">
        <v>332</v>
      </c>
      <c r="B412" s="51" t="n">
        <f aca="false">1+IF($G$6=$E$6,$F$6,IF(P412&lt;($F$6-$E$6)/($G$6-$E$6),$E$6+SQRT(P412*($G$6-$E$6)*($F$6-$E$6)),$G$6-SQRT((1-P412)*($G$6-$E$6)*($G$6-$F$6))))</f>
        <v>1.00499465329041</v>
      </c>
      <c r="C412" s="51" t="n">
        <f aca="false">1+IF($G$7=$E$7,$F$7,IF(Q412&lt;($F$7-$E$7)/($G$7-$E$7),$E$7+SQRT(Q412*($G$7-$E$7)*($F$7-$E$7)),$G$7-SQRT((1-Q412)*($G$7-$E$7)*($G$7-$F$7))))</f>
        <v>0.830423324390999</v>
      </c>
      <c r="D412" s="51" t="n">
        <f aca="false">1+IF($G$8=$E$8,$F$8,IF(R412&lt;($F$8-$E$8)/($G$8-$E$8),$E$8+SQRT(R412*($G$8-$E$8)*($F$8-$E$8)),$G$8-SQRT((1-R412)*($G$8-$E$8)*($G$8-$F$8))))</f>
        <v>1.00384204823555</v>
      </c>
      <c r="E412" s="51" t="n">
        <f aca="false">1+IF($G$9=$E$9,$F$9,IF(S412&lt;($F$9-$E$9)/($G$9-$E$9),$E$9+SQRT(S412*($G$9-$E$9)*($F$9-$E$9)),$G$9-SQRT((1-S412)*($G$9-$E$9)*($G$9-$F$9))))</f>
        <v>0.92633022277807</v>
      </c>
      <c r="F412" s="51" t="n">
        <f aca="false">1+IF($G$10=$E$10,$F$10,IF(T412&lt;($F$10-$E$10)/($G$10-$E$10),$E$10+SQRT(T412*($G$10-$E$10)*($F$10-$E$10)),$G$10-SQRT((1-T412)*($G$10-$E$10)*($G$10-$F$10))))</f>
        <v>1.14017438393026</v>
      </c>
      <c r="G412" s="52" t="n">
        <f aca="false">IF($G$11=$E$11,$F$11,IF(U412&lt;($F$11-$E$11)/($G$11-$E$11),$E$11+SQRT(U412*($G$11-$E$11)*($F$11-$E$11)),$G$11-SQRT((1-U412)*($G$11-$E$11)*($G$11-$F$11))))</f>
        <v>0.106637268597241</v>
      </c>
      <c r="H412" s="53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-2280348767.86052</v>
      </c>
      <c r="I412" s="53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-32175620.3795788</v>
      </c>
      <c r="J412" s="53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224654516.003744</v>
      </c>
      <c r="K412" s="53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538493371.58358</v>
      </c>
      <c r="L412" s="53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652946190.838578</v>
      </c>
      <c r="M412" s="53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811581446.704971</v>
      </c>
      <c r="N412" s="53" t="n">
        <f aca="false">IF(COUNT('Business Case'!B11:G11)=0,"",H412+NPV(G412,I412:M412))</f>
        <v>-804273331.960009</v>
      </c>
      <c r="P412" s="54" t="n">
        <f aca="true">RAND()</f>
        <v>0.729935835673293</v>
      </c>
      <c r="Q412" s="54" t="n">
        <f aca="true">RAND()</f>
        <v>0.126001804038516</v>
      </c>
      <c r="R412" s="54" t="n">
        <f aca="true">RAND()</f>
        <v>0.383576554164422</v>
      </c>
      <c r="S412" s="54" t="n">
        <f aca="true">RAND()</f>
        <v>0.0277312252617124</v>
      </c>
      <c r="T412" s="54" t="n">
        <f aca="true">RAND()</f>
        <v>0.83917778739869</v>
      </c>
      <c r="U412" s="54" t="n">
        <f aca="true">RAND()</f>
        <v>0.636121854268374</v>
      </c>
    </row>
    <row r="413" customFormat="false" ht="15" hidden="false" customHeight="false" outlineLevel="0" collapsed="false">
      <c r="A413" s="50" t="n">
        <v>333</v>
      </c>
      <c r="B413" s="51" t="n">
        <f aca="false">1+IF($G$6=$E$6,$F$6,IF(P413&lt;($F$6-$E$6)/($G$6-$E$6),$E$6+SQRT(P413*($G$6-$E$6)*($F$6-$E$6)),$G$6-SQRT((1-P413)*($G$6-$E$6)*($G$6-$F$6))))</f>
        <v>1.00637947127204</v>
      </c>
      <c r="C413" s="51" t="n">
        <f aca="false">1+IF($G$7=$E$7,$F$7,IF(Q413&lt;($F$7-$E$7)/($G$7-$E$7),$E$7+SQRT(Q413*($G$7-$E$7)*($F$7-$E$7)),$G$7-SQRT((1-Q413)*($G$7-$E$7)*($G$7-$F$7))))</f>
        <v>1.0915944305165</v>
      </c>
      <c r="D413" s="51" t="n">
        <f aca="false">1+IF($G$8=$E$8,$F$8,IF(R413&lt;($F$8-$E$8)/($G$8-$E$8),$E$8+SQRT(R413*($G$8-$E$8)*($F$8-$E$8)),$G$8-SQRT((1-R413)*($G$8-$E$8)*($G$8-$F$8))))</f>
        <v>1.00206061620304</v>
      </c>
      <c r="E413" s="51" t="n">
        <f aca="false">1+IF($G$9=$E$9,$F$9,IF(S413&lt;($F$9-$E$9)/($G$9-$E$9),$E$9+SQRT(S413*($G$9-$E$9)*($F$9-$E$9)),$G$9-SQRT((1-S413)*($G$9-$E$9)*($G$9-$F$9))))</f>
        <v>0.978677755966921</v>
      </c>
      <c r="F413" s="51" t="n">
        <f aca="false">1+IF($G$10=$E$10,$F$10,IF(T413&lt;($F$10-$E$10)/($G$10-$E$10),$E$10+SQRT(T413*($G$10-$E$10)*($F$10-$E$10)),$G$10-SQRT((1-T413)*($G$10-$E$10)*($G$10-$F$10))))</f>
        <v>1.09710581832771</v>
      </c>
      <c r="G413" s="52" t="n">
        <f aca="false">IF($G$11=$E$11,$F$11,IF(U413&lt;($F$11-$E$11)/($G$11-$E$11),$E$11+SQRT(U413*($G$11-$E$11)*($F$11-$E$11)),$G$11-SQRT((1-U413)*($G$11-$E$11)*($G$11-$F$11))))</f>
        <v>0.110942177582337</v>
      </c>
      <c r="H413" s="53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-2194211636.65541</v>
      </c>
      <c r="I413" s="53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34009954.1933848</v>
      </c>
      <c r="J413" s="53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373847725.544892</v>
      </c>
      <c r="K413" s="53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768540787.812785</v>
      </c>
      <c r="L413" s="53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919786217.214525</v>
      </c>
      <c r="M413" s="53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1128600164.77966</v>
      </c>
      <c r="N413" s="53" t="n">
        <f aca="false">IF(COUNT('Business Case'!B11:G11)=0,"",H413+NPV(G413,I413:M413))</f>
        <v>-29394557.7269082</v>
      </c>
      <c r="P413" s="54" t="n">
        <f aca="true">RAND()</f>
        <v>0.746299929799087</v>
      </c>
      <c r="Q413" s="54" t="n">
        <f aca="true">RAND()</f>
        <v>0.949463547456412</v>
      </c>
      <c r="R413" s="54" t="n">
        <f aca="true">RAND()</f>
        <v>0.360525140098138</v>
      </c>
      <c r="S413" s="54" t="n">
        <f aca="true">RAND()</f>
        <v>0.247607571359615</v>
      </c>
      <c r="T413" s="54" t="n">
        <f aca="true">RAND()</f>
        <v>0.688311589476789</v>
      </c>
      <c r="U413" s="54" t="n">
        <f aca="true">RAND()</f>
        <v>0.75786626979789</v>
      </c>
    </row>
    <row r="414" customFormat="false" ht="15" hidden="false" customHeight="false" outlineLevel="0" collapsed="false">
      <c r="A414" s="50" t="n">
        <v>334</v>
      </c>
      <c r="B414" s="51" t="n">
        <f aca="false">1+IF($G$6=$E$6,$F$6,IF(P414&lt;($F$6-$E$6)/($G$6-$E$6),$E$6+SQRT(P414*($G$6-$E$6)*($F$6-$E$6)),$G$6-SQRT((1-P414)*($G$6-$E$6)*($G$6-$F$6))))</f>
        <v>0.985674715867458</v>
      </c>
      <c r="C414" s="51" t="n">
        <f aca="false">1+IF($G$7=$E$7,$F$7,IF(Q414&lt;($F$7-$E$7)/($G$7-$E$7),$E$7+SQRT(Q414*($G$7-$E$7)*($F$7-$E$7)),$G$7-SQRT((1-Q414)*($G$7-$E$7)*($G$7-$F$7))))</f>
        <v>0.889963087152506</v>
      </c>
      <c r="D414" s="51" t="n">
        <f aca="false">1+IF($G$8=$E$8,$F$8,IF(R414&lt;($F$8-$E$8)/($G$8-$E$8),$E$8+SQRT(R414*($G$8-$E$8)*($F$8-$E$8)),$G$8-SQRT((1-R414)*($G$8-$E$8)*($G$8-$F$8))))</f>
        <v>1.00204572376271</v>
      </c>
      <c r="E414" s="51" t="n">
        <f aca="false">1+IF($G$9=$E$9,$F$9,IF(S414&lt;($F$9-$E$9)/($G$9-$E$9),$E$9+SQRT(S414*($G$9-$E$9)*($F$9-$E$9)),$G$9-SQRT((1-S414)*($G$9-$E$9)*($G$9-$F$9))))</f>
        <v>1.0794568764442</v>
      </c>
      <c r="F414" s="51" t="n">
        <f aca="false">1+IF($G$10=$E$10,$F$10,IF(T414&lt;($F$10-$E$10)/($G$10-$E$10),$E$10+SQRT(T414*($G$10-$E$10)*($F$10-$E$10)),$G$10-SQRT((1-T414)*($G$10-$E$10)*($G$10-$F$10))))</f>
        <v>1.14119095088485</v>
      </c>
      <c r="G414" s="52" t="n">
        <f aca="false">IF($G$11=$E$11,$F$11,IF(U414&lt;($F$11-$E$11)/($G$11-$E$11),$E$11+SQRT(U414*($G$11-$E$11)*($F$11-$E$11)),$G$11-SQRT((1-U414)*($G$11-$E$11)*($G$11-$F$11))))</f>
        <v>0.117826325125952</v>
      </c>
      <c r="H414" s="53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-2282381901.7697</v>
      </c>
      <c r="I414" s="53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-51113039.1932974</v>
      </c>
      <c r="J414" s="53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210866564.153367</v>
      </c>
      <c r="K414" s="53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529905715.044273</v>
      </c>
      <c r="L414" s="53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647548769.24057</v>
      </c>
      <c r="M414" s="53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814289627.851314</v>
      </c>
      <c r="N414" s="53" t="n">
        <f aca="false">IF(COUNT('Business Case'!B11:G11)=0,"",H414+NPV(G414,I414:M414))</f>
        <v>-898671352.054415</v>
      </c>
      <c r="P414" s="54" t="n">
        <f aca="true">RAND()</f>
        <v>0.489343795931315</v>
      </c>
      <c r="Q414" s="54" t="n">
        <f aca="true">RAND()</f>
        <v>0.26730351467045</v>
      </c>
      <c r="R414" s="54" t="n">
        <f aca="true">RAND()</f>
        <v>0.360330651121885</v>
      </c>
      <c r="S414" s="54" t="n">
        <f aca="true">RAND()</f>
        <v>0.867297805839745</v>
      </c>
      <c r="T414" s="54" t="n">
        <f aca="true">RAND()</f>
        <v>0.842141211075425</v>
      </c>
      <c r="U414" s="54" t="n">
        <f aca="true">RAND()</f>
        <v>0.901201093373988</v>
      </c>
    </row>
    <row r="415" customFormat="false" ht="15" hidden="false" customHeight="false" outlineLevel="0" collapsed="false">
      <c r="A415" s="50" t="n">
        <v>335</v>
      </c>
      <c r="B415" s="51" t="n">
        <f aca="false">1+IF($G$6=$E$6,$F$6,IF(P415&lt;($F$6-$E$6)/($G$6-$E$6),$E$6+SQRT(P415*($G$6-$E$6)*($F$6-$E$6)),$G$6-SQRT((1-P415)*($G$6-$E$6)*($G$6-$F$6))))</f>
        <v>0.998119506375946</v>
      </c>
      <c r="C415" s="51" t="n">
        <f aca="false">1+IF($G$7=$E$7,$F$7,IF(Q415&lt;($F$7-$E$7)/($G$7-$E$7),$E$7+SQRT(Q415*($G$7-$E$7)*($F$7-$E$7)),$G$7-SQRT((1-Q415)*($G$7-$E$7)*($G$7-$F$7))))</f>
        <v>0.924385362069927</v>
      </c>
      <c r="D415" s="51" t="n">
        <f aca="false">1+IF($G$8=$E$8,$F$8,IF(R415&lt;($F$8-$E$8)/($G$8-$E$8),$E$8+SQRT(R415*($G$8-$E$8)*($F$8-$E$8)),$G$8-SQRT((1-R415)*($G$8-$E$8)*($G$8-$F$8))))</f>
        <v>1.00690668167582</v>
      </c>
      <c r="E415" s="51" t="n">
        <f aca="false">1+IF($G$9=$E$9,$F$9,IF(S415&lt;($F$9-$E$9)/($G$9-$E$9),$E$9+SQRT(S415*($G$9-$E$9)*($F$9-$E$9)),$G$9-SQRT((1-S415)*($G$9-$E$9)*($G$9-$F$9))))</f>
        <v>0.974434514077273</v>
      </c>
      <c r="F415" s="51" t="n">
        <f aca="false">1+IF($G$10=$E$10,$F$10,IF(T415&lt;($F$10-$E$10)/($G$10-$E$10),$E$10+SQRT(T415*($G$10-$E$10)*($F$10-$E$10)),$G$10-SQRT((1-T415)*($G$10-$E$10)*($G$10-$F$10))))</f>
        <v>1.13296999092085</v>
      </c>
      <c r="G415" s="52" t="n">
        <f aca="false">IF($G$11=$E$11,$F$11,IF(U415&lt;($F$11-$E$11)/($G$11-$E$11),$E$11+SQRT(U415*($G$11-$E$11)*($F$11-$E$11)),$G$11-SQRT((1-U415)*($G$11-$E$11)*($G$11-$F$11))))</f>
        <v>0.107833388591288</v>
      </c>
      <c r="H415" s="53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-2265939981.84171</v>
      </c>
      <c r="I415" s="53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-20456911.6080296</v>
      </c>
      <c r="J415" s="53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258777787.435108</v>
      </c>
      <c r="K415" s="53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594660986.024288</v>
      </c>
      <c r="L415" s="53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719625901.476863</v>
      </c>
      <c r="M415" s="53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895002654.886939</v>
      </c>
      <c r="N415" s="53" t="n">
        <f aca="false">IF(COUNT('Business Case'!B11:G11)=0,"",H415+NPV(G415,I415:M415))</f>
        <v>-622072611.194758</v>
      </c>
      <c r="P415" s="54" t="n">
        <f aca="true">RAND()</f>
        <v>0.641829168763951</v>
      </c>
      <c r="Q415" s="54" t="n">
        <f aca="true">RAND()</f>
        <v>0.372954005268536</v>
      </c>
      <c r="R415" s="54" t="n">
        <f aca="true">RAND()</f>
        <v>0.422242272226137</v>
      </c>
      <c r="S415" s="54" t="n">
        <f aca="true">RAND()</f>
        <v>0.221619875436791</v>
      </c>
      <c r="T415" s="54" t="n">
        <f aca="true">RAND()</f>
        <v>0.817386359665795</v>
      </c>
      <c r="U415" s="54" t="n">
        <f aca="true">RAND()</f>
        <v>0.672427559103425</v>
      </c>
    </row>
    <row r="416" customFormat="false" ht="15" hidden="false" customHeight="false" outlineLevel="0" collapsed="false">
      <c r="A416" s="50" t="n">
        <v>336</v>
      </c>
      <c r="B416" s="51" t="n">
        <f aca="false">1+IF($G$6=$E$6,$F$6,IF(P416&lt;($F$6-$E$6)/($G$6-$E$6),$E$6+SQRT(P416*($G$6-$E$6)*($F$6-$E$6)),$G$6-SQRT((1-P416)*($G$6-$E$6)*($G$6-$F$6))))</f>
        <v>0.963729447405814</v>
      </c>
      <c r="C416" s="51" t="n">
        <f aca="false">1+IF($G$7=$E$7,$F$7,IF(Q416&lt;($F$7-$E$7)/($G$7-$E$7),$E$7+SQRT(Q416*($G$7-$E$7)*($F$7-$E$7)),$G$7-SQRT((1-Q416)*($G$7-$E$7)*($G$7-$F$7))))</f>
        <v>0.895239969386828</v>
      </c>
      <c r="D416" s="51" t="n">
        <f aca="false">1+IF($G$8=$E$8,$F$8,IF(R416&lt;($F$8-$E$8)/($G$8-$E$8),$E$8+SQRT(R416*($G$8-$E$8)*($F$8-$E$8)),$G$8-SQRT((1-R416)*($G$8-$E$8)*($G$8-$F$8))))</f>
        <v>1.05381485419962</v>
      </c>
      <c r="E416" s="51" t="n">
        <f aca="false">1+IF($G$9=$E$9,$F$9,IF(S416&lt;($F$9-$E$9)/($G$9-$E$9),$E$9+SQRT(S416*($G$9-$E$9)*($F$9-$E$9)),$G$9-SQRT((1-S416)*($G$9-$E$9)*($G$9-$F$9))))</f>
        <v>0.995804063952521</v>
      </c>
      <c r="F416" s="51" t="n">
        <f aca="false">1+IF($G$10=$E$10,$F$10,IF(T416&lt;($F$10-$E$10)/($G$10-$E$10),$E$10+SQRT(T416*($G$10-$E$10)*($F$10-$E$10)),$G$10-SQRT((1-T416)*($G$10-$E$10)*($G$10-$F$10))))</f>
        <v>1.00353462956274</v>
      </c>
      <c r="G416" s="52" t="n">
        <f aca="false">IF($G$11=$E$11,$F$11,IF(U416&lt;($F$11-$E$11)/($G$11-$E$11),$E$11+SQRT(U416*($G$11-$E$11)*($F$11-$E$11)),$G$11-SQRT((1-U416)*($G$11-$E$11)*($G$11-$F$11))))</f>
        <v>0.0909991258896454</v>
      </c>
      <c r="H416" s="53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-2007069259.12548</v>
      </c>
      <c r="I416" s="53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-62966844.2788606</v>
      </c>
      <c r="J416" s="53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160749063.524866</v>
      </c>
      <c r="K416" s="53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434641702.806729</v>
      </c>
      <c r="L416" s="53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539030972.896149</v>
      </c>
      <c r="M416" s="53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703026127.414454</v>
      </c>
      <c r="N416" s="53" t="n">
        <f aca="false">IF(COUNT('Business Case'!B11:G11)=0,"",H416+NPV(G416,I416:M416))</f>
        <v>-759734032.098597</v>
      </c>
      <c r="P416" s="54" t="n">
        <f aca="true">RAND()</f>
        <v>0.270762831110028</v>
      </c>
      <c r="Q416" s="54" t="n">
        <f aca="true">RAND()</f>
        <v>0.282360338119774</v>
      </c>
      <c r="R416" s="54" t="n">
        <f aca="true">RAND()</f>
        <v>0.85779548715987</v>
      </c>
      <c r="S416" s="54" t="n">
        <f aca="true">RAND()</f>
        <v>0.36713674679275</v>
      </c>
      <c r="T416" s="54" t="n">
        <f aca="true">RAND()</f>
        <v>0.190064282336316</v>
      </c>
      <c r="U416" s="54" t="n">
        <f aca="true">RAND()</f>
        <v>0.120980770336268</v>
      </c>
    </row>
    <row r="417" customFormat="false" ht="15" hidden="false" customHeight="false" outlineLevel="0" collapsed="false">
      <c r="A417" s="50" t="n">
        <v>337</v>
      </c>
      <c r="B417" s="51" t="n">
        <f aca="false">1+IF($G$6=$E$6,$F$6,IF(P417&lt;($F$6-$E$6)/($G$6-$E$6),$E$6+SQRT(P417*($G$6-$E$6)*($F$6-$E$6)),$G$6-SQRT((1-P417)*($G$6-$E$6)*($G$6-$F$6))))</f>
        <v>0.934910117689577</v>
      </c>
      <c r="C417" s="51" t="n">
        <f aca="false">1+IF($G$7=$E$7,$F$7,IF(Q417&lt;($F$7-$E$7)/($G$7-$E$7),$E$7+SQRT(Q417*($G$7-$E$7)*($F$7-$E$7)),$G$7-SQRT((1-Q417)*($G$7-$E$7)*($G$7-$F$7))))</f>
        <v>0.890931145900943</v>
      </c>
      <c r="D417" s="51" t="n">
        <f aca="false">1+IF($G$8=$E$8,$F$8,IF(R417&lt;($F$8-$E$8)/($G$8-$E$8),$E$8+SQRT(R417*($G$8-$E$8)*($F$8-$E$8)),$G$8-SQRT((1-R417)*($G$8-$E$8)*($G$8-$F$8))))</f>
        <v>1.00879884823388</v>
      </c>
      <c r="E417" s="51" t="n">
        <f aca="false">1+IF($G$9=$E$9,$F$9,IF(S417&lt;($F$9-$E$9)/($G$9-$E$9),$E$9+SQRT(S417*($G$9-$E$9)*($F$9-$E$9)),$G$9-SQRT((1-S417)*($G$9-$E$9)*($G$9-$F$9))))</f>
        <v>0.986100219812238</v>
      </c>
      <c r="F417" s="51" t="n">
        <f aca="false">1+IF($G$10=$E$10,$F$10,IF(T417&lt;($F$10-$E$10)/($G$10-$E$10),$E$10+SQRT(T417*($G$10-$E$10)*($F$10-$E$10)),$G$10-SQRT((1-T417)*($G$10-$E$10)*($G$10-$F$10))))</f>
        <v>1.02877145703618</v>
      </c>
      <c r="G417" s="52" t="n">
        <f aca="false">IF($G$11=$E$11,$F$11,IF(U417&lt;($F$11-$E$11)/($G$11-$E$11),$E$11+SQRT(U417*($G$11-$E$11)*($F$11-$E$11)),$G$11-SQRT((1-U417)*($G$11-$E$11)*($G$11-$F$11))))</f>
        <v>0.104390533637236</v>
      </c>
      <c r="H417" s="53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-2057542914.07237</v>
      </c>
      <c r="I417" s="53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-64140457.7437068</v>
      </c>
      <c r="J417" s="53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157999319.195023</v>
      </c>
      <c r="K417" s="53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431577668.985563</v>
      </c>
      <c r="L417" s="53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534410686.446152</v>
      </c>
      <c r="M417" s="53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692736024.758386</v>
      </c>
      <c r="N417" s="53" t="n">
        <f aca="false">IF(COUNT('Business Case'!B11:G11)=0,"",H417+NPV(G417,I417:M417))</f>
        <v>-884787972.445793</v>
      </c>
      <c r="P417" s="54" t="n">
        <f aca="true">RAND()</f>
        <v>0.0812477544733421</v>
      </c>
      <c r="Q417" s="54" t="n">
        <f aca="true">RAND()</f>
        <v>0.270034833148497</v>
      </c>
      <c r="R417" s="54" t="n">
        <f aca="true">RAND()</f>
        <v>0.445489994435515</v>
      </c>
      <c r="S417" s="54" t="n">
        <f aca="true">RAND()</f>
        <v>0.296529914068627</v>
      </c>
      <c r="T417" s="54" t="n">
        <f aca="true">RAND()</f>
        <v>0.34743909037476</v>
      </c>
      <c r="U417" s="54" t="n">
        <f aca="true">RAND()</f>
        <v>0.562770155076315</v>
      </c>
    </row>
    <row r="418" customFormat="false" ht="15" hidden="false" customHeight="false" outlineLevel="0" collapsed="false">
      <c r="A418" s="50" t="n">
        <v>338</v>
      </c>
      <c r="B418" s="51" t="n">
        <f aca="false">1+IF($G$6=$E$6,$F$6,IF(P418&lt;($F$6-$E$6)/($G$6-$E$6),$E$6+SQRT(P418*($G$6-$E$6)*($F$6-$E$6)),$G$6-SQRT((1-P418)*($G$6-$E$6)*($G$6-$F$6))))</f>
        <v>0.970810119752011</v>
      </c>
      <c r="C418" s="51" t="n">
        <f aca="false">1+IF($G$7=$E$7,$F$7,IF(Q418&lt;($F$7-$E$7)/($G$7-$E$7),$E$7+SQRT(Q418*($G$7-$E$7)*($F$7-$E$7)),$G$7-SQRT((1-Q418)*($G$7-$E$7)*($G$7-$F$7))))</f>
        <v>0.905547449652426</v>
      </c>
      <c r="D418" s="51" t="n">
        <f aca="false">1+IF($G$8=$E$8,$F$8,IF(R418&lt;($F$8-$E$8)/($G$8-$E$8),$E$8+SQRT(R418*($G$8-$E$8)*($F$8-$E$8)),$G$8-SQRT((1-R418)*($G$8-$E$8)*($G$8-$F$8))))</f>
        <v>0.998494062003072</v>
      </c>
      <c r="E418" s="51" t="n">
        <f aca="false">1+IF($G$9=$E$9,$F$9,IF(S418&lt;($F$9-$E$9)/($G$9-$E$9),$E$9+SQRT(S418*($G$9-$E$9)*($F$9-$E$9)),$G$9-SQRT((1-S418)*($G$9-$E$9)*($G$9-$F$9))))</f>
        <v>1.02285888029917</v>
      </c>
      <c r="F418" s="51" t="n">
        <f aca="false">1+IF($G$10=$E$10,$F$10,IF(T418&lt;($F$10-$E$10)/($G$10-$E$10),$E$10+SQRT(T418*($G$10-$E$10)*($F$10-$E$10)),$G$10-SQRT((1-T418)*($G$10-$E$10)*($G$10-$F$10))))</f>
        <v>0.987753050172256</v>
      </c>
      <c r="G418" s="52" t="n">
        <f aca="false">IF($G$11=$E$11,$F$11,IF(U418&lt;($F$11-$E$11)/($G$11-$E$11),$E$11+SQRT(U418*($G$11-$E$11)*($F$11-$E$11)),$G$11-SQRT((1-U418)*($G$11-$E$11)*($G$11-$F$11))))</f>
        <v>0.109669118669812</v>
      </c>
      <c r="H418" s="53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-1975506100.34451</v>
      </c>
      <c r="I418" s="53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-32610709.4827226</v>
      </c>
      <c r="J418" s="53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224577721.147822</v>
      </c>
      <c r="K418" s="53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531153804.28698</v>
      </c>
      <c r="L418" s="53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647265482.708828</v>
      </c>
      <c r="M418" s="53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814367591.206329</v>
      </c>
      <c r="N418" s="53" t="n">
        <f aca="false">IF(COUNT('Business Case'!B11:G11)=0,"",H418+NPV(G418,I418:M418))</f>
        <v>-522899154.277685</v>
      </c>
      <c r="P418" s="54" t="n">
        <f aca="true">RAND()</f>
        <v>0.334271537286271</v>
      </c>
      <c r="Q418" s="54" t="n">
        <f aca="true">RAND()</f>
        <v>0.312961141174937</v>
      </c>
      <c r="R418" s="54" t="n">
        <f aca="true">RAND()</f>
        <v>0.313556539941041</v>
      </c>
      <c r="S418" s="54" t="n">
        <f aca="true">RAND()</f>
        <v>0.568936951499161</v>
      </c>
      <c r="T418" s="54" t="n">
        <f aca="true">RAND()</f>
        <v>0.09501951982059</v>
      </c>
      <c r="U418" s="54" t="n">
        <f aca="true">RAND()</f>
        <v>0.724436842891864</v>
      </c>
    </row>
    <row r="419" customFormat="false" ht="15" hidden="false" customHeight="false" outlineLevel="0" collapsed="false">
      <c r="A419" s="50" t="n">
        <v>339</v>
      </c>
      <c r="B419" s="51" t="n">
        <f aca="false">1+IF($G$6=$E$6,$F$6,IF(P419&lt;($F$6-$E$6)/($G$6-$E$6),$E$6+SQRT(P419*($G$6-$E$6)*($F$6-$E$6)),$G$6-SQRT((1-P419)*($G$6-$E$6)*($G$6-$F$6))))</f>
        <v>0.91206799486435</v>
      </c>
      <c r="C419" s="51" t="n">
        <f aca="false">1+IF($G$7=$E$7,$F$7,IF(Q419&lt;($F$7-$E$7)/($G$7-$E$7),$E$7+SQRT(Q419*($G$7-$E$7)*($F$7-$E$7)),$G$7-SQRT((1-Q419)*($G$7-$E$7)*($G$7-$F$7))))</f>
        <v>0.811264352529354</v>
      </c>
      <c r="D419" s="51" t="n">
        <f aca="false">1+IF($G$8=$E$8,$F$8,IF(R419&lt;($F$8-$E$8)/($G$8-$E$8),$E$8+SQRT(R419*($G$8-$E$8)*($F$8-$E$8)),$G$8-SQRT((1-R419)*($G$8-$E$8)*($G$8-$F$8))))</f>
        <v>0.988699565484865</v>
      </c>
      <c r="E419" s="51" t="n">
        <f aca="false">1+IF($G$9=$E$9,$F$9,IF(S419&lt;($F$9-$E$9)/($G$9-$E$9),$E$9+SQRT(S419*($G$9-$E$9)*($F$9-$E$9)),$G$9-SQRT((1-S419)*($G$9-$E$9)*($G$9-$F$9))))</f>
        <v>0.947087699090162</v>
      </c>
      <c r="F419" s="51" t="n">
        <f aca="false">1+IF($G$10=$E$10,$F$10,IF(T419&lt;($F$10-$E$10)/($G$10-$E$10),$E$10+SQRT(T419*($G$10-$E$10)*($F$10-$E$10)),$G$10-SQRT((1-T419)*($G$10-$E$10)*($G$10-$F$10))))</f>
        <v>1.05876572763234</v>
      </c>
      <c r="G419" s="52" t="n">
        <f aca="false">IF($G$11=$E$11,$F$11,IF(U419&lt;($F$11-$E$11)/($G$11-$E$11),$E$11+SQRT(U419*($G$11-$E$11)*($F$11-$E$11)),$G$11-SQRT((1-U419)*($G$11-$E$11)*($G$11-$F$11))))</f>
        <v>0.0869798470536997</v>
      </c>
      <c r="H419" s="53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-2117531455.26467</v>
      </c>
      <c r="I419" s="53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-83465160.6965</v>
      </c>
      <c r="J419" s="53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111980002.729095</v>
      </c>
      <c r="K419" s="53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360363452.536308</v>
      </c>
      <c r="L419" s="53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451083760.710333</v>
      </c>
      <c r="M419" s="53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591729322.720549</v>
      </c>
      <c r="N419" s="53" t="n">
        <f aca="false">IF(COUNT('Business Case'!B11:G11)=0,"",H419+NPV(G419,I419:M419))</f>
        <v>-1105867802.79125</v>
      </c>
      <c r="P419" s="54" t="n">
        <f aca="true">RAND()</f>
        <v>0.00970910000306473</v>
      </c>
      <c r="Q419" s="54" t="n">
        <f aca="true">RAND()</f>
        <v>0.0917018973613064</v>
      </c>
      <c r="R419" s="54" t="n">
        <f aca="true">RAND()</f>
        <v>0.19968751582898</v>
      </c>
      <c r="S419" s="54" t="n">
        <f aca="true">RAND()</f>
        <v>0.088690056224227</v>
      </c>
      <c r="T419" s="54" t="n">
        <f aca="true">RAND()</f>
        <v>0.512392707626801</v>
      </c>
      <c r="U419" s="54" t="n">
        <f aca="true">RAND()</f>
        <v>0.0487182648930408</v>
      </c>
    </row>
    <row r="420" customFormat="false" ht="15" hidden="false" customHeight="false" outlineLevel="0" collapsed="false">
      <c r="A420" s="50" t="n">
        <v>340</v>
      </c>
      <c r="B420" s="51" t="n">
        <f aca="false">1+IF($G$6=$E$6,$F$6,IF(P420&lt;($F$6-$E$6)/($G$6-$E$6),$E$6+SQRT(P420*($G$6-$E$6)*($F$6-$E$6)),$G$6-SQRT((1-P420)*($G$6-$E$6)*($G$6-$F$6))))</f>
        <v>1.030820799344</v>
      </c>
      <c r="C420" s="51" t="n">
        <f aca="false">1+IF($G$7=$E$7,$F$7,IF(Q420&lt;($F$7-$E$7)/($G$7-$E$7),$E$7+SQRT(Q420*($G$7-$E$7)*($F$7-$E$7)),$G$7-SQRT((1-Q420)*($G$7-$E$7)*($G$7-$F$7))))</f>
        <v>1.09203604945646</v>
      </c>
      <c r="D420" s="51" t="n">
        <f aca="false">1+IF($G$8=$E$8,$F$8,IF(R420&lt;($F$8-$E$8)/($G$8-$E$8),$E$8+SQRT(R420*($G$8-$E$8)*($F$8-$E$8)),$G$8-SQRT((1-R420)*($G$8-$E$8)*($G$8-$F$8))))</f>
        <v>0.975211911563086</v>
      </c>
      <c r="E420" s="51" t="n">
        <f aca="false">1+IF($G$9=$E$9,$F$9,IF(S420&lt;($F$9-$E$9)/($G$9-$E$9),$E$9+SQRT(S420*($G$9-$E$9)*($F$9-$E$9)),$G$9-SQRT((1-S420)*($G$9-$E$9)*($G$9-$F$9))))</f>
        <v>1.02126610470077</v>
      </c>
      <c r="F420" s="51" t="n">
        <f aca="false">1+IF($G$10=$E$10,$F$10,IF(T420&lt;($F$10-$E$10)/($G$10-$E$10),$E$10+SQRT(T420*($G$10-$E$10)*($F$10-$E$10)),$G$10-SQRT((1-T420)*($G$10-$E$10)*($G$10-$F$10))))</f>
        <v>1.02566188818975</v>
      </c>
      <c r="G420" s="52" t="n">
        <f aca="false">IF($G$11=$E$11,$F$11,IF(U420&lt;($F$11-$E$11)/($G$11-$E$11),$E$11+SQRT(U420*($G$11-$E$11)*($F$11-$E$11)),$G$11-SQRT((1-U420)*($G$11-$E$11)*($G$11-$F$11))))</f>
        <v>0.12324117858928</v>
      </c>
      <c r="H420" s="53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-2051323776.37951</v>
      </c>
      <c r="I420" s="53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70700143.0088223</v>
      </c>
      <c r="J420" s="53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447546464.586808</v>
      </c>
      <c r="K420" s="53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875675880.574282</v>
      </c>
      <c r="L420" s="53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1040195287.54144</v>
      </c>
      <c r="M420" s="53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1254167102.96781</v>
      </c>
      <c r="N420" s="53" t="n">
        <f aca="false">IF(COUNT('Business Case'!B11:G11)=0,"",H420+NPV(G420,I420:M420))</f>
        <v>339158581.702528</v>
      </c>
      <c r="P420" s="54" t="n">
        <f aca="true">RAND()</f>
        <v>0.950954434959603</v>
      </c>
      <c r="Q420" s="54" t="n">
        <f aca="true">RAND()</f>
        <v>0.950224895368678</v>
      </c>
      <c r="R420" s="54" t="n">
        <f aca="true">RAND()</f>
        <v>0.0847520646219855</v>
      </c>
      <c r="S420" s="54" t="n">
        <f aca="true">RAND()</f>
        <v>0.558068912028983</v>
      </c>
      <c r="T420" s="54" t="n">
        <f aca="true">RAND()</f>
        <v>0.328965487858842</v>
      </c>
      <c r="U420" s="54" t="n">
        <f aca="true">RAND()</f>
        <v>0.969545555425324</v>
      </c>
    </row>
    <row r="421" customFormat="false" ht="15" hidden="false" customHeight="false" outlineLevel="0" collapsed="false">
      <c r="A421" s="50" t="n">
        <v>341</v>
      </c>
      <c r="B421" s="51" t="n">
        <f aca="false">1+IF($G$6=$E$6,$F$6,IF(P421&lt;($F$6-$E$6)/($G$6-$E$6),$E$6+SQRT(P421*($G$6-$E$6)*($F$6-$E$6)),$G$6-SQRT((1-P421)*($G$6-$E$6)*($G$6-$F$6))))</f>
        <v>0.927936211075399</v>
      </c>
      <c r="C421" s="51" t="n">
        <f aca="false">1+IF($G$7=$E$7,$F$7,IF(Q421&lt;($F$7-$E$7)/($G$7-$E$7),$E$7+SQRT(Q421*($G$7-$E$7)*($F$7-$E$7)),$G$7-SQRT((1-Q421)*($G$7-$E$7)*($G$7-$F$7))))</f>
        <v>0.78826769573382</v>
      </c>
      <c r="D421" s="51" t="n">
        <f aca="false">1+IF($G$8=$E$8,$F$8,IF(R421&lt;($F$8-$E$8)/($G$8-$E$8),$E$8+SQRT(R421*($G$8-$E$8)*($F$8-$E$8)),$G$8-SQRT((1-R421)*($G$8-$E$8)*($G$8-$F$8))))</f>
        <v>1.0314182141793</v>
      </c>
      <c r="E421" s="51" t="n">
        <f aca="false">1+IF($G$9=$E$9,$F$9,IF(S421&lt;($F$9-$E$9)/($G$9-$E$9),$E$9+SQRT(S421*($G$9-$E$9)*($F$9-$E$9)),$G$9-SQRT((1-S421)*($G$9-$E$9)*($G$9-$F$9))))</f>
        <v>1.10690452746088</v>
      </c>
      <c r="F421" s="51" t="n">
        <f aca="false">1+IF($G$10=$E$10,$F$10,IF(T421&lt;($F$10-$E$10)/($G$10-$E$10),$E$10+SQRT(T421*($G$10-$E$10)*($F$10-$E$10)),$G$10-SQRT((1-T421)*($G$10-$E$10)*($G$10-$F$10))))</f>
        <v>1.01536620057715</v>
      </c>
      <c r="G421" s="52" t="n">
        <f aca="false">IF($G$11=$E$11,$F$11,IF(U421&lt;($F$11-$E$11)/($G$11-$E$11),$E$11+SQRT(U421*($G$11-$E$11)*($F$11-$E$11)),$G$11-SQRT((1-U421)*($G$11-$E$11)*($G$11-$F$11))))</f>
        <v>0.102234289706414</v>
      </c>
      <c r="H421" s="53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-2030732401.15429</v>
      </c>
      <c r="I421" s="53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-113945474.846106</v>
      </c>
      <c r="J421" s="53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68966491.4506201</v>
      </c>
      <c r="K421" s="53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302646767.776204</v>
      </c>
      <c r="L421" s="53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388896754.728567</v>
      </c>
      <c r="M421" s="53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527933078.08923</v>
      </c>
      <c r="N421" s="53" t="n">
        <f aca="false">IF(COUNT('Business Case'!B11:G11)=0,"",H421+NPV(G421,I421:M421))</f>
        <v>-1263369424.07092</v>
      </c>
      <c r="P421" s="54" t="n">
        <f aca="true">RAND()</f>
        <v>0.0520287926166177</v>
      </c>
      <c r="Q421" s="54" t="n">
        <f aca="true">RAND()</f>
        <v>0.0577124897048751</v>
      </c>
      <c r="R421" s="54" t="n">
        <f aca="true">RAND()</f>
        <v>0.686435910242914</v>
      </c>
      <c r="S421" s="54" t="n">
        <f aca="true">RAND()</f>
        <v>0.950474139910133</v>
      </c>
      <c r="T421" s="54" t="n">
        <f aca="true">RAND()</f>
        <v>0.265959735578617</v>
      </c>
      <c r="U421" s="54" t="n">
        <f aca="true">RAND()</f>
        <v>0.486043554595085</v>
      </c>
    </row>
    <row r="422" customFormat="false" ht="15" hidden="false" customHeight="false" outlineLevel="0" collapsed="false">
      <c r="A422" s="50" t="n">
        <v>342</v>
      </c>
      <c r="B422" s="51" t="n">
        <f aca="false">1+IF($G$6=$E$6,$F$6,IF(P422&lt;($F$6-$E$6)/($G$6-$E$6),$E$6+SQRT(P422*($G$6-$E$6)*($F$6-$E$6)),$G$6-SQRT((1-P422)*($G$6-$E$6)*($G$6-$F$6))))</f>
        <v>1.01074953862366</v>
      </c>
      <c r="C422" s="51" t="n">
        <f aca="false">1+IF($G$7=$E$7,$F$7,IF(Q422&lt;($F$7-$E$7)/($G$7-$E$7),$E$7+SQRT(Q422*($G$7-$E$7)*($F$7-$E$7)),$G$7-SQRT((1-Q422)*($G$7-$E$7)*($G$7-$F$7))))</f>
        <v>0.745114150156205</v>
      </c>
      <c r="D422" s="51" t="n">
        <f aca="false">1+IF($G$8=$E$8,$F$8,IF(R422&lt;($F$8-$E$8)/($G$8-$E$8),$E$8+SQRT(R422*($G$8-$E$8)*($F$8-$E$8)),$G$8-SQRT((1-R422)*($G$8-$E$8)*($G$8-$F$8))))</f>
        <v>0.965876027927773</v>
      </c>
      <c r="E422" s="51" t="n">
        <f aca="false">1+IF($G$9=$E$9,$F$9,IF(S422&lt;($F$9-$E$9)/($G$9-$E$9),$E$9+SQRT(S422*($G$9-$E$9)*($F$9-$E$9)),$G$9-SQRT((1-S422)*($G$9-$E$9)*($G$9-$F$9))))</f>
        <v>1.0692747098542</v>
      </c>
      <c r="F422" s="51" t="n">
        <f aca="false">1+IF($G$10=$E$10,$F$10,IF(T422&lt;($F$10-$E$10)/($G$10-$E$10),$E$10+SQRT(T422*($G$10-$E$10)*($F$10-$E$10)),$G$10-SQRT((1-T422)*($G$10-$E$10)*($G$10-$F$10))))</f>
        <v>1.03049807818901</v>
      </c>
      <c r="G422" s="52" t="n">
        <f aca="false">IF($G$11=$E$11,$F$11,IF(U422&lt;($F$11-$E$11)/($G$11-$E$11),$E$11+SQRT(U422*($G$11-$E$11)*($F$11-$E$11)),$G$11-SQRT((1-U422)*($G$11-$E$11)*($G$11-$F$11))))</f>
        <v>0.0881401289049886</v>
      </c>
      <c r="H422" s="53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-2060996156.37801</v>
      </c>
      <c r="I422" s="53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-45702632.4734086</v>
      </c>
      <c r="J422" s="53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202737343.549594</v>
      </c>
      <c r="K422" s="53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502702223.482047</v>
      </c>
      <c r="L422" s="53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611543506.780543</v>
      </c>
      <c r="M422" s="53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754697275.546768</v>
      </c>
      <c r="N422" s="53" t="n">
        <f aca="false">IF(COUNT('Business Case'!B11:G11)=0,"",H422+NPV(G422,I422:M422))</f>
        <v>-610690775.232344</v>
      </c>
      <c r="P422" s="54" t="n">
        <f aca="true">RAND()</f>
        <v>0.794586837565909</v>
      </c>
      <c r="Q422" s="54" t="n">
        <f aca="true">RAND()</f>
        <v>0.0150761966245674</v>
      </c>
      <c r="R422" s="54" t="n">
        <f aca="true">RAND()</f>
        <v>0.0336064350351247</v>
      </c>
      <c r="S422" s="54" t="n">
        <f aca="true">RAND()</f>
        <v>0.826224734156709</v>
      </c>
      <c r="T422" s="54" t="n">
        <f aca="true">RAND()</f>
        <v>0.357585417617073</v>
      </c>
      <c r="U422" s="54" t="n">
        <f aca="true">RAND()</f>
        <v>0.0662616985898315</v>
      </c>
    </row>
    <row r="423" customFormat="false" ht="15" hidden="false" customHeight="false" outlineLevel="0" collapsed="false">
      <c r="A423" s="50" t="n">
        <v>343</v>
      </c>
      <c r="B423" s="51" t="n">
        <f aca="false">1+IF($G$6=$E$6,$F$6,IF(P423&lt;($F$6-$E$6)/($G$6-$E$6),$E$6+SQRT(P423*($G$6-$E$6)*($F$6-$E$6)),$G$6-SQRT((1-P423)*($G$6-$E$6)*($G$6-$F$6))))</f>
        <v>0.978221368433703</v>
      </c>
      <c r="C423" s="51" t="n">
        <f aca="false">1+IF($G$7=$E$7,$F$7,IF(Q423&lt;($F$7-$E$7)/($G$7-$E$7),$E$7+SQRT(Q423*($G$7-$E$7)*($F$7-$E$7)),$G$7-SQRT((1-Q423)*($G$7-$E$7)*($G$7-$F$7))))</f>
        <v>0.898102725014076</v>
      </c>
      <c r="D423" s="51" t="n">
        <f aca="false">1+IF($G$8=$E$8,$F$8,IF(R423&lt;($F$8-$E$8)/($G$8-$E$8),$E$8+SQRT(R423*($G$8-$E$8)*($F$8-$E$8)),$G$8-SQRT((1-R423)*($G$8-$E$8)*($G$8-$F$8))))</f>
        <v>1.0056716358986</v>
      </c>
      <c r="E423" s="51" t="n">
        <f aca="false">1+IF($G$9=$E$9,$F$9,IF(S423&lt;($F$9-$E$9)/($G$9-$E$9),$E$9+SQRT(S423*($G$9-$E$9)*($F$9-$E$9)),$G$9-SQRT((1-S423)*($G$9-$E$9)*($G$9-$F$9))))</f>
        <v>1.07694553608736</v>
      </c>
      <c r="F423" s="51" t="n">
        <f aca="false">1+IF($G$10=$E$10,$F$10,IF(T423&lt;($F$10-$E$10)/($G$10-$E$10),$E$10+SQRT(T423*($G$10-$E$10)*($F$10-$E$10)),$G$10-SQRT((1-T423)*($G$10-$E$10)*($G$10-$F$10))))</f>
        <v>1.10312311005235</v>
      </c>
      <c r="G423" s="52" t="n">
        <f aca="false">IF($G$11=$E$11,$F$11,IF(U423&lt;($F$11-$E$11)/($G$11-$E$11),$E$11+SQRT(U423*($G$11-$E$11)*($F$11-$E$11)),$G$11-SQRT((1-U423)*($G$11-$E$11)*($G$11-$F$11))))</f>
        <v>0.0967721263298904</v>
      </c>
      <c r="H423" s="53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-2206246220.1047</v>
      </c>
      <c r="I423" s="53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-51771770.8605727</v>
      </c>
      <c r="J423" s="53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205454107.977627</v>
      </c>
      <c r="K423" s="53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517836142.318445</v>
      </c>
      <c r="L423" s="53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633940557.572455</v>
      </c>
      <c r="M423" s="53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800934063.599476</v>
      </c>
      <c r="N423" s="53" t="n">
        <f aca="false">IF(COUNT('Business Case'!B11:G11)=0,"",H423+NPV(G423,I423:M423))</f>
        <v>-747360955.125873</v>
      </c>
      <c r="P423" s="54" t="n">
        <f aca="true">RAND()</f>
        <v>0.407905498642742</v>
      </c>
      <c r="Q423" s="54" t="n">
        <f aca="true">RAND()</f>
        <v>0.290701404874093</v>
      </c>
      <c r="R423" s="54" t="n">
        <f aca="true">RAND()</f>
        <v>0.406810648396925</v>
      </c>
      <c r="S423" s="54" t="n">
        <f aca="true">RAND()</f>
        <v>0.85768120806499</v>
      </c>
      <c r="T423" s="54" t="n">
        <f aca="true">RAND()</f>
        <v>0.712362389324082</v>
      </c>
      <c r="U423" s="54" t="n">
        <f aca="true">RAND()</f>
        <v>0.281304221625804</v>
      </c>
    </row>
    <row r="424" customFormat="false" ht="15" hidden="false" customHeight="false" outlineLevel="0" collapsed="false">
      <c r="A424" s="50" t="n">
        <v>344</v>
      </c>
      <c r="B424" s="51" t="n">
        <f aca="false">1+IF($G$6=$E$6,$F$6,IF(P424&lt;($F$6-$E$6)/($G$6-$E$6),$E$6+SQRT(P424*($G$6-$E$6)*($F$6-$E$6)),$G$6-SQRT((1-P424)*($G$6-$E$6)*($G$6-$F$6))))</f>
        <v>1.00106023035591</v>
      </c>
      <c r="C424" s="51" t="n">
        <f aca="false">1+IF($G$7=$E$7,$F$7,IF(Q424&lt;($F$7-$E$7)/($G$7-$E$7),$E$7+SQRT(Q424*($G$7-$E$7)*($F$7-$E$7)),$G$7-SQRT((1-Q424)*($G$7-$E$7)*($G$7-$F$7))))</f>
        <v>0.981041057004474</v>
      </c>
      <c r="D424" s="51" t="n">
        <f aca="false">1+IF($G$8=$E$8,$F$8,IF(R424&lt;($F$8-$E$8)/($G$8-$E$8),$E$8+SQRT(R424*($G$8-$E$8)*($F$8-$E$8)),$G$8-SQRT((1-R424)*($G$8-$E$8)*($G$8-$F$8))))</f>
        <v>0.984515813775806</v>
      </c>
      <c r="E424" s="51" t="n">
        <f aca="false">1+IF($G$9=$E$9,$F$9,IF(S424&lt;($F$9-$E$9)/($G$9-$E$9),$E$9+SQRT(S424*($G$9-$E$9)*($F$9-$E$9)),$G$9-SQRT((1-S424)*($G$9-$E$9)*($G$9-$F$9))))</f>
        <v>1.04874785983782</v>
      </c>
      <c r="F424" s="51" t="n">
        <f aca="false">1+IF($G$10=$E$10,$F$10,IF(T424&lt;($F$10-$E$10)/($G$10-$E$10),$E$10+SQRT(T424*($G$10-$E$10)*($F$10-$E$10)),$G$10-SQRT((1-T424)*($G$10-$E$10)*($G$10-$F$10))))</f>
        <v>1.05846301975141</v>
      </c>
      <c r="G424" s="52" t="n">
        <f aca="false">IF($G$11=$E$11,$F$11,IF(U424&lt;($F$11-$E$11)/($G$11-$E$11),$E$11+SQRT(U424*($G$11-$E$11)*($F$11-$E$11)),$G$11-SQRT((1-U424)*($G$11-$E$11)*($G$11-$F$11))))</f>
        <v>0.10618647632772</v>
      </c>
      <c r="H424" s="53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-2116926039.50282</v>
      </c>
      <c r="I424" s="53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4067710.77468406</v>
      </c>
      <c r="J424" s="53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314024757.902307</v>
      </c>
      <c r="K424" s="53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676904956.0175</v>
      </c>
      <c r="L424" s="53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814164697.532614</v>
      </c>
      <c r="M424" s="53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1000838689.4651</v>
      </c>
      <c r="N424" s="53" t="n">
        <f aca="false">IF(COUNT('Business Case'!B11:G11)=0,"",H424+NPV(G424,I424:M424))</f>
        <v>-208527822.191725</v>
      </c>
      <c r="P424" s="54" t="n">
        <f aca="true">RAND()</f>
        <v>0.680653192957723</v>
      </c>
      <c r="Q424" s="54" t="n">
        <f aca="true">RAND()</f>
        <v>0.585067227571793</v>
      </c>
      <c r="R424" s="54" t="n">
        <f aca="true">RAND()</f>
        <v>0.158845520080815</v>
      </c>
      <c r="S424" s="54" t="n">
        <f aca="true">RAND()</f>
        <v>0.726613443002084</v>
      </c>
      <c r="T424" s="54" t="n">
        <f aca="true">RAND()</f>
        <v>0.510847802630012</v>
      </c>
      <c r="U424" s="54" t="n">
        <f aca="true">RAND()</f>
        <v>0.621944060206497</v>
      </c>
    </row>
    <row r="425" customFormat="false" ht="15" hidden="false" customHeight="false" outlineLevel="0" collapsed="false">
      <c r="A425" s="50" t="n">
        <v>345</v>
      </c>
      <c r="B425" s="51" t="n">
        <f aca="false">1+IF($G$6=$E$6,$F$6,IF(P425&lt;($F$6-$E$6)/($G$6-$E$6),$E$6+SQRT(P425*($G$6-$E$6)*($F$6-$E$6)),$G$6-SQRT((1-P425)*($G$6-$E$6)*($G$6-$F$6))))</f>
        <v>1.02323735301192</v>
      </c>
      <c r="C425" s="51" t="n">
        <f aca="false">1+IF($G$7=$E$7,$F$7,IF(Q425&lt;($F$7-$E$7)/($G$7-$E$7),$E$7+SQRT(Q425*($G$7-$E$7)*($F$7-$E$7)),$G$7-SQRT((1-Q425)*($G$7-$E$7)*($G$7-$F$7))))</f>
        <v>1.01294436885654</v>
      </c>
      <c r="D425" s="51" t="n">
        <f aca="false">1+IF($G$8=$E$8,$F$8,IF(R425&lt;($F$8-$E$8)/($G$8-$E$8),$E$8+SQRT(R425*($G$8-$E$8)*($F$8-$E$8)),$G$8-SQRT((1-R425)*($G$8-$E$8)*($G$8-$F$8))))</f>
        <v>0.999736084692926</v>
      </c>
      <c r="E425" s="51" t="n">
        <f aca="false">1+IF($G$9=$E$9,$F$9,IF(S425&lt;($F$9-$E$9)/($G$9-$E$9),$E$9+SQRT(S425*($G$9-$E$9)*($F$9-$E$9)),$G$9-SQRT((1-S425)*($G$9-$E$9)*($G$9-$F$9))))</f>
        <v>1.11143801371345</v>
      </c>
      <c r="F425" s="51" t="n">
        <f aca="false">1+IF($G$10=$E$10,$F$10,IF(T425&lt;($F$10-$E$10)/($G$10-$E$10),$E$10+SQRT(T425*($G$10-$E$10)*($F$10-$E$10)),$G$10-SQRT((1-T425)*($G$10-$E$10)*($G$10-$F$10))))</f>
        <v>1.11245577773722</v>
      </c>
      <c r="G425" s="52" t="n">
        <f aca="false">IF($G$11=$E$11,$F$11,IF(U425&lt;($F$11-$E$11)/($G$11-$E$11),$E$11+SQRT(U425*($G$11-$E$11)*($F$11-$E$11)),$G$11-SQRT((1-U425)*($G$11-$E$11)*($G$11-$F$11))))</f>
        <v>0.101433775941421</v>
      </c>
      <c r="H425" s="53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-2224911555.47444</v>
      </c>
      <c r="I425" s="53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7520860.47180454</v>
      </c>
      <c r="J425" s="53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338065037.831355</v>
      </c>
      <c r="K425" s="53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724232004.077767</v>
      </c>
      <c r="L425" s="53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870234232.240264</v>
      </c>
      <c r="M425" s="53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1067248828.64149</v>
      </c>
      <c r="N425" s="53" t="n">
        <f aca="false">IF(COUNT('Business Case'!B11:G11)=0,"",H425+NPV(G425,I425:M425))</f>
        <v>-147745141.896692</v>
      </c>
      <c r="P425" s="54" t="n">
        <f aca="true">RAND()</f>
        <v>0.904501430158867</v>
      </c>
      <c r="Q425" s="54" t="n">
        <f aca="true">RAND()</f>
        <v>0.721714873657305</v>
      </c>
      <c r="R425" s="54" t="n">
        <f aca="true">RAND()</f>
        <v>0.329823749410915</v>
      </c>
      <c r="S425" s="54" t="n">
        <f aca="true">RAND()</f>
        <v>0.960345952363623</v>
      </c>
      <c r="T425" s="54" t="n">
        <f aca="true">RAND()</f>
        <v>0.747754492295031</v>
      </c>
      <c r="U425" s="54" t="n">
        <f aca="true">RAND()</f>
        <v>0.455980562023364</v>
      </c>
    </row>
    <row r="426" customFormat="false" ht="15" hidden="false" customHeight="false" outlineLevel="0" collapsed="false">
      <c r="A426" s="50" t="n">
        <v>346</v>
      </c>
      <c r="B426" s="51" t="n">
        <f aca="false">1+IF($G$6=$E$6,$F$6,IF(P426&lt;($F$6-$E$6)/($G$6-$E$6),$E$6+SQRT(P426*($G$6-$E$6)*($F$6-$E$6)),$G$6-SQRT((1-P426)*($G$6-$E$6)*($G$6-$F$6))))</f>
        <v>1.00706052380996</v>
      </c>
      <c r="C426" s="51" t="n">
        <f aca="false">1+IF($G$7=$E$7,$F$7,IF(Q426&lt;($F$7-$E$7)/($G$7-$E$7),$E$7+SQRT(Q426*($G$7-$E$7)*($F$7-$E$7)),$G$7-SQRT((1-Q426)*($G$7-$E$7)*($G$7-$F$7))))</f>
        <v>1.03865258520756</v>
      </c>
      <c r="D426" s="51" t="n">
        <f aca="false">1+IF($G$8=$E$8,$F$8,IF(R426&lt;($F$8-$E$8)/($G$8-$E$8),$E$8+SQRT(R426*($G$8-$E$8)*($F$8-$E$8)),$G$8-SQRT((1-R426)*($G$8-$E$8)*($G$8-$F$8))))</f>
        <v>1.04683298223396</v>
      </c>
      <c r="E426" s="51" t="n">
        <f aca="false">1+IF($G$9=$E$9,$F$9,IF(S426&lt;($F$9-$E$9)/($G$9-$E$9),$E$9+SQRT(S426*($G$9-$E$9)*($F$9-$E$9)),$G$9-SQRT((1-S426)*($G$9-$E$9)*($G$9-$F$9))))</f>
        <v>1.07929794179176</v>
      </c>
      <c r="F426" s="51" t="n">
        <f aca="false">1+IF($G$10=$E$10,$F$10,IF(T426&lt;($F$10-$E$10)/($G$10-$E$10),$E$10+SQRT(T426*($G$10-$E$10)*($F$10-$E$10)),$G$10-SQRT((1-T426)*($G$10-$E$10)*($G$10-$F$10))))</f>
        <v>1.10272410381793</v>
      </c>
      <c r="G426" s="52" t="n">
        <f aca="false">IF($G$11=$E$11,$F$11,IF(U426&lt;($F$11-$E$11)/($G$11-$E$11),$E$11+SQRT(U426*($G$11-$E$11)*($F$11-$E$11)),$G$11-SQRT((1-U426)*($G$11-$E$11)*($G$11-$F$11))))</f>
        <v>0.122306588429433</v>
      </c>
      <c r="H426" s="53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-2205448207.63586</v>
      </c>
      <c r="I426" s="53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-17843091.6568092</v>
      </c>
      <c r="J426" s="53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282286309.487137</v>
      </c>
      <c r="K426" s="53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637551915.821981</v>
      </c>
      <c r="L426" s="53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773744326.267412</v>
      </c>
      <c r="M426" s="53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972565348.286714</v>
      </c>
      <c r="N426" s="53" t="n">
        <f aca="false">IF(COUNT('Business Case'!B11:G11)=0,"",H426+NPV(G426,I426:M426))</f>
        <v>-512318782.374048</v>
      </c>
      <c r="P426" s="54" t="n">
        <f aca="true">RAND()</f>
        <v>0.754160184603279</v>
      </c>
      <c r="Q426" s="54" t="n">
        <f aca="true">RAND()</f>
        <v>0.816322269911711</v>
      </c>
      <c r="R426" s="54" t="n">
        <f aca="true">RAND()</f>
        <v>0.811551214791033</v>
      </c>
      <c r="S426" s="54" t="n">
        <f aca="true">RAND()</f>
        <v>0.866699172403181</v>
      </c>
      <c r="T426" s="54" t="n">
        <f aca="true">RAND()</f>
        <v>0.710797472050246</v>
      </c>
      <c r="U426" s="54" t="n">
        <f aca="true">RAND()</f>
        <v>0.960540945603915</v>
      </c>
    </row>
    <row r="427" customFormat="false" ht="15" hidden="false" customHeight="false" outlineLevel="0" collapsed="false">
      <c r="A427" s="50" t="n">
        <v>347</v>
      </c>
      <c r="B427" s="51" t="n">
        <f aca="false">1+IF($G$6=$E$6,$F$6,IF(P427&lt;($F$6-$E$6)/($G$6-$E$6),$E$6+SQRT(P427*($G$6-$E$6)*($F$6-$E$6)),$G$6-SQRT((1-P427)*($G$6-$E$6)*($G$6-$F$6))))</f>
        <v>0.998548703768154</v>
      </c>
      <c r="C427" s="51" t="n">
        <f aca="false">1+IF($G$7=$E$7,$F$7,IF(Q427&lt;($F$7-$E$7)/($G$7-$E$7),$E$7+SQRT(Q427*($G$7-$E$7)*($F$7-$E$7)),$G$7-SQRT((1-Q427)*($G$7-$E$7)*($G$7-$F$7))))</f>
        <v>1.04066389840573</v>
      </c>
      <c r="D427" s="51" t="n">
        <f aca="false">1+IF($G$8=$E$8,$F$8,IF(R427&lt;($F$8-$E$8)/($G$8-$E$8),$E$8+SQRT(R427*($G$8-$E$8)*($F$8-$E$8)),$G$8-SQRT((1-R427)*($G$8-$E$8)*($G$8-$F$8))))</f>
        <v>1.01381292723474</v>
      </c>
      <c r="E427" s="51" t="n">
        <f aca="false">1+IF($G$9=$E$9,$F$9,IF(S427&lt;($F$9-$E$9)/($G$9-$E$9),$E$9+SQRT(S427*($G$9-$E$9)*($F$9-$E$9)),$G$9-SQRT((1-S427)*($G$9-$E$9)*($G$9-$F$9))))</f>
        <v>1.02671497504944</v>
      </c>
      <c r="F427" s="51" t="n">
        <f aca="false">1+IF($G$10=$E$10,$F$10,IF(T427&lt;($F$10-$E$10)/($G$10-$E$10),$E$10+SQRT(T427*($G$10-$E$10)*($F$10-$E$10)),$G$10-SQRT((1-T427)*($G$10-$E$10)*($G$10-$F$10))))</f>
        <v>1.00628952647052</v>
      </c>
      <c r="G427" s="52" t="n">
        <f aca="false">IF($G$11=$E$11,$F$11,IF(U427&lt;($F$11-$E$11)/($G$11-$E$11),$E$11+SQRT(U427*($G$11-$E$11)*($F$11-$E$11)),$G$11-SQRT((1-U427)*($G$11-$E$11)*($G$11-$F$11))))</f>
        <v>0.0935471055310561</v>
      </c>
      <c r="H427" s="53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-2012579052.94104</v>
      </c>
      <c r="I427" s="53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10548746.9859803</v>
      </c>
      <c r="J427" s="53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321595038.011343</v>
      </c>
      <c r="K427" s="53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682955805.360232</v>
      </c>
      <c r="L427" s="53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822551050.328887</v>
      </c>
      <c r="M427" s="53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1020073364.10999</v>
      </c>
      <c r="N427" s="53" t="n">
        <f aca="false">IF(COUNT('Business Case'!B11:G11)=0,"",H427+NPV(G427,I427:M427))</f>
        <v>15733149.99512</v>
      </c>
      <c r="P427" s="54" t="n">
        <f aca="true">RAND()</f>
        <v>0.647456467625557</v>
      </c>
      <c r="Q427" s="54" t="n">
        <f aca="true">RAND()</f>
        <v>0.822898027972858</v>
      </c>
      <c r="R427" s="54" t="n">
        <f aca="true">RAND()</f>
        <v>0.50478589921038</v>
      </c>
      <c r="S427" s="54" t="n">
        <f aca="true">RAND()</f>
        <v>0.594688069945038</v>
      </c>
      <c r="T427" s="54" t="n">
        <f aca="true">RAND()</f>
        <v>0.208069401227151</v>
      </c>
      <c r="U427" s="54" t="n">
        <f aca="true">RAND()</f>
        <v>0.183524068269571</v>
      </c>
    </row>
    <row r="428" customFormat="false" ht="15" hidden="false" customHeight="false" outlineLevel="0" collapsed="false">
      <c r="A428" s="50" t="n">
        <v>348</v>
      </c>
      <c r="B428" s="51" t="n">
        <f aca="false">1+IF($G$6=$E$6,$F$6,IF(P428&lt;($F$6-$E$6)/($G$6-$E$6),$E$6+SQRT(P428*($G$6-$E$6)*($F$6-$E$6)),$G$6-SQRT((1-P428)*($G$6-$E$6)*($G$6-$F$6))))</f>
        <v>0.984079146398348</v>
      </c>
      <c r="C428" s="51" t="n">
        <f aca="false">1+IF($G$7=$E$7,$F$7,IF(Q428&lt;($F$7-$E$7)/($G$7-$E$7),$E$7+SQRT(Q428*($G$7-$E$7)*($F$7-$E$7)),$G$7-SQRT((1-Q428)*($G$7-$E$7)*($G$7-$F$7))))</f>
        <v>0.920848146257516</v>
      </c>
      <c r="D428" s="51" t="n">
        <f aca="false">1+IF($G$8=$E$8,$F$8,IF(R428&lt;($F$8-$E$8)/($G$8-$E$8),$E$8+SQRT(R428*($G$8-$E$8)*($F$8-$E$8)),$G$8-SQRT((1-R428)*($G$8-$E$8)*($G$8-$F$8))))</f>
        <v>1.00323302643317</v>
      </c>
      <c r="E428" s="51" t="n">
        <f aca="false">1+IF($G$9=$E$9,$F$9,IF(S428&lt;($F$9-$E$9)/($G$9-$E$9),$E$9+SQRT(S428*($G$9-$E$9)*($F$9-$E$9)),$G$9-SQRT((1-S428)*($G$9-$E$9)*($G$9-$F$9))))</f>
        <v>1.04325587983917</v>
      </c>
      <c r="F428" s="51" t="n">
        <f aca="false">1+IF($G$10=$E$10,$F$10,IF(T428&lt;($F$10-$E$10)/($G$10-$E$10),$E$10+SQRT(T428*($G$10-$E$10)*($F$10-$E$10)),$G$10-SQRT((1-T428)*($G$10-$E$10)*($G$10-$F$10))))</f>
        <v>0.997591707707159</v>
      </c>
      <c r="G428" s="52" t="n">
        <f aca="false">IF($G$11=$E$11,$F$11,IF(U428&lt;($F$11-$E$11)/($G$11-$E$11),$E$11+SQRT(U428*($G$11-$E$11)*($F$11-$E$11)),$G$11-SQRT((1-U428)*($G$11-$E$11)*($G$11-$F$11))))</f>
        <v>0.0984212310095529</v>
      </c>
      <c r="H428" s="53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-1995183415.41432</v>
      </c>
      <c r="I428" s="53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-25778774.8912199</v>
      </c>
      <c r="J428" s="53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243529364.910213</v>
      </c>
      <c r="K428" s="53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562717090.097003</v>
      </c>
      <c r="L428" s="53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683804308.570018</v>
      </c>
      <c r="M428" s="53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856052420.53564</v>
      </c>
      <c r="N428" s="53" t="n">
        <f aca="false">IF(COUNT('Business Case'!B11:G11)=0,"",H428+NPV(G428,I428:M428))</f>
        <v>-387095513.851117</v>
      </c>
      <c r="P428" s="54" t="n">
        <f aca="true">RAND()</f>
        <v>0.471286857271656</v>
      </c>
      <c r="Q428" s="54" t="n">
        <f aca="true">RAND()</f>
        <v>0.361288175595415</v>
      </c>
      <c r="R428" s="54" t="n">
        <f aca="true">RAND()</f>
        <v>0.375743521781098</v>
      </c>
      <c r="S428" s="54" t="n">
        <f aca="true">RAND()</f>
        <v>0.696151808295765</v>
      </c>
      <c r="T428" s="54" t="n">
        <f aca="true">RAND()</f>
        <v>0.150998042832244</v>
      </c>
      <c r="U428" s="54" t="n">
        <f aca="true">RAND()</f>
        <v>0.339341751907313</v>
      </c>
    </row>
    <row r="429" customFormat="false" ht="15" hidden="false" customHeight="false" outlineLevel="0" collapsed="false">
      <c r="A429" s="50" t="n">
        <v>349</v>
      </c>
      <c r="B429" s="51" t="n">
        <f aca="false">1+IF($G$6=$E$6,$F$6,IF(P429&lt;($F$6-$E$6)/($G$6-$E$6),$E$6+SQRT(P429*($G$6-$E$6)*($F$6-$E$6)),$G$6-SQRT((1-P429)*($G$6-$E$6)*($G$6-$F$6))))</f>
        <v>0.962761824038829</v>
      </c>
      <c r="C429" s="51" t="n">
        <f aca="false">1+IF($G$7=$E$7,$F$7,IF(Q429&lt;($F$7-$E$7)/($G$7-$E$7),$E$7+SQRT(Q429*($G$7-$E$7)*($F$7-$E$7)),$G$7-SQRT((1-Q429)*($G$7-$E$7)*($G$7-$F$7))))</f>
        <v>1.03911303690535</v>
      </c>
      <c r="D429" s="51" t="n">
        <f aca="false">1+IF($G$8=$E$8,$F$8,IF(R429&lt;($F$8-$E$8)/($G$8-$E$8),$E$8+SQRT(R429*($G$8-$E$8)*($F$8-$E$8)),$G$8-SQRT((1-R429)*($G$8-$E$8)*($G$8-$F$8))))</f>
        <v>1.00369506149528</v>
      </c>
      <c r="E429" s="51" t="n">
        <f aca="false">1+IF($G$9=$E$9,$F$9,IF(S429&lt;($F$9-$E$9)/($G$9-$E$9),$E$9+SQRT(S429*($G$9-$E$9)*($F$9-$E$9)),$G$9-SQRT((1-S429)*($G$9-$E$9)*($G$9-$F$9))))</f>
        <v>1.07973989354883</v>
      </c>
      <c r="F429" s="51" t="n">
        <f aca="false">1+IF($G$10=$E$10,$F$10,IF(T429&lt;($F$10-$E$10)/($G$10-$E$10),$E$10+SQRT(T429*($G$10-$E$10)*($F$10-$E$10)),$G$10-SQRT((1-T429)*($G$10-$E$10)*($G$10-$F$10))))</f>
        <v>1.15139652231584</v>
      </c>
      <c r="G429" s="52" t="n">
        <f aca="false">IF($G$11=$E$11,$F$11,IF(U429&lt;($F$11-$E$11)/($G$11-$E$11),$E$11+SQRT(U429*($G$11-$E$11)*($F$11-$E$11)),$G$11-SQRT((1-U429)*($G$11-$E$11)*($G$11-$F$11))))</f>
        <v>0.0915895247560024</v>
      </c>
      <c r="H429" s="53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-2302793044.63167</v>
      </c>
      <c r="I429" s="53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-35033990.7819095</v>
      </c>
      <c r="J429" s="53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250472371.457625</v>
      </c>
      <c r="K429" s="53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593548559.812951</v>
      </c>
      <c r="L429" s="53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723291805.844273</v>
      </c>
      <c r="M429" s="53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913451328.244066</v>
      </c>
      <c r="N429" s="53" t="n">
        <f aca="false">IF(COUNT('Business Case'!B11:G11)=0,"",H429+NPV(G429,I429:M429))</f>
        <v>-569563404.711189</v>
      </c>
      <c r="P429" s="54" t="n">
        <f aca="true">RAND()</f>
        <v>0.262603103778726</v>
      </c>
      <c r="Q429" s="54" t="n">
        <f aca="true">RAND()</f>
        <v>0.817838243194749</v>
      </c>
      <c r="R429" s="54" t="n">
        <f aca="true">RAND()</f>
        <v>0.381690587973483</v>
      </c>
      <c r="S429" s="54" t="n">
        <f aca="true">RAND()</f>
        <v>0.86836046510589</v>
      </c>
      <c r="T429" s="54" t="n">
        <f aca="true">RAND()</f>
        <v>0.870364722514513</v>
      </c>
      <c r="U429" s="54" t="n">
        <f aca="true">RAND()</f>
        <v>0.134317084069993</v>
      </c>
    </row>
    <row r="430" customFormat="false" ht="15" hidden="false" customHeight="false" outlineLevel="0" collapsed="false">
      <c r="A430" s="50" t="n">
        <v>350</v>
      </c>
      <c r="B430" s="51" t="n">
        <f aca="false">1+IF($G$6=$E$6,$F$6,IF(P430&lt;($F$6-$E$6)/($G$6-$E$6),$E$6+SQRT(P430*($G$6-$E$6)*($F$6-$E$6)),$G$6-SQRT((1-P430)*($G$6-$E$6)*($G$6-$F$6))))</f>
        <v>0.929090389521225</v>
      </c>
      <c r="C430" s="51" t="n">
        <f aca="false">1+IF($G$7=$E$7,$F$7,IF(Q430&lt;($F$7-$E$7)/($G$7-$E$7),$E$7+SQRT(Q430*($G$7-$E$7)*($F$7-$E$7)),$G$7-SQRT((1-Q430)*($G$7-$E$7)*($G$7-$F$7))))</f>
        <v>0.9586461633637</v>
      </c>
      <c r="D430" s="51" t="n">
        <f aca="false">1+IF($G$8=$E$8,$F$8,IF(R430&lt;($F$8-$E$8)/($G$8-$E$8),$E$8+SQRT(R430*($G$8-$E$8)*($F$8-$E$8)),$G$8-SQRT((1-R430)*($G$8-$E$8)*($G$8-$F$8))))</f>
        <v>0.999967438891941</v>
      </c>
      <c r="E430" s="51" t="n">
        <f aca="false">1+IF($G$9=$E$9,$F$9,IF(S430&lt;($F$9-$E$9)/($G$9-$E$9),$E$9+SQRT(S430*($G$9-$E$9)*($F$9-$E$9)),$G$9-SQRT((1-S430)*($G$9-$E$9)*($G$9-$F$9))))</f>
        <v>1.09149609588407</v>
      </c>
      <c r="F430" s="51" t="n">
        <f aca="false">1+IF($G$10=$E$10,$F$10,IF(T430&lt;($F$10-$E$10)/($G$10-$E$10),$E$10+SQRT(T430*($G$10-$E$10)*($F$10-$E$10)),$G$10-SQRT((1-T430)*($G$10-$E$10)*($G$10-$F$10))))</f>
        <v>1.09085549417613</v>
      </c>
      <c r="G430" s="52" t="n">
        <f aca="false">IF($G$11=$E$11,$F$11,IF(U430&lt;($F$11-$E$11)/($G$11-$E$11),$E$11+SQRT(U430*($G$11-$E$11)*($F$11-$E$11)),$G$11-SQRT((1-U430)*($G$11-$E$11)*($G$11-$F$11))))</f>
        <v>0.0991373789793582</v>
      </c>
      <c r="H430" s="53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-2181710988.35226</v>
      </c>
      <c r="I430" s="53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-71680748.7054342</v>
      </c>
      <c r="J430" s="53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167107074.552781</v>
      </c>
      <c r="K430" s="53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460437672.519803</v>
      </c>
      <c r="L430" s="53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570815132.08009</v>
      </c>
      <c r="M430" s="53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740113483.688272</v>
      </c>
      <c r="N430" s="53" t="n">
        <f aca="false">IF(COUNT('Business Case'!B11:G11)=0,"",H430+NPV(G430,I430:M430))</f>
        <v>-909397633.502903</v>
      </c>
      <c r="P430" s="54" t="n">
        <f aca="true">RAND()</f>
        <v>0.0564167174997714</v>
      </c>
      <c r="Q430" s="54" t="n">
        <f aca="true">RAND()</f>
        <v>0.495539539427866</v>
      </c>
      <c r="R430" s="54" t="n">
        <f aca="true">RAND()</f>
        <v>0.332899326589317</v>
      </c>
      <c r="S430" s="54" t="n">
        <f aca="true">RAND()</f>
        <v>0.908727818751828</v>
      </c>
      <c r="T430" s="54" t="n">
        <f aca="true">RAND()</f>
        <v>0.662307016881013</v>
      </c>
      <c r="U430" s="54" t="n">
        <f aca="true">RAND()</f>
        <v>0.366239274199581</v>
      </c>
    </row>
    <row r="431" customFormat="false" ht="15" hidden="false" customHeight="false" outlineLevel="0" collapsed="false">
      <c r="A431" s="50" t="n">
        <v>351</v>
      </c>
      <c r="B431" s="51" t="n">
        <f aca="false">1+IF($G$6=$E$6,$F$6,IF(P431&lt;($F$6-$E$6)/($G$6-$E$6),$E$6+SQRT(P431*($G$6-$E$6)*($F$6-$E$6)),$G$6-SQRT((1-P431)*($G$6-$E$6)*($G$6-$F$6))))</f>
        <v>0.963894981278407</v>
      </c>
      <c r="C431" s="51" t="n">
        <f aca="false">1+IF($G$7=$E$7,$F$7,IF(Q431&lt;($F$7-$E$7)/($G$7-$E$7),$E$7+SQRT(Q431*($G$7-$E$7)*($F$7-$E$7)),$G$7-SQRT((1-Q431)*($G$7-$E$7)*($G$7-$F$7))))</f>
        <v>0.874412251078218</v>
      </c>
      <c r="D431" s="51" t="n">
        <f aca="false">1+IF($G$8=$E$8,$F$8,IF(R431&lt;($F$8-$E$8)/($G$8-$E$8),$E$8+SQRT(R431*($G$8-$E$8)*($F$8-$E$8)),$G$8-SQRT((1-R431)*($G$8-$E$8)*($G$8-$F$8))))</f>
        <v>1.00291752590034</v>
      </c>
      <c r="E431" s="51" t="n">
        <f aca="false">1+IF($G$9=$E$9,$F$9,IF(S431&lt;($F$9-$E$9)/($G$9-$E$9),$E$9+SQRT(S431*($G$9-$E$9)*($F$9-$E$9)),$G$9-SQRT((1-S431)*($G$9-$E$9)*($G$9-$F$9))))</f>
        <v>1.05084739563103</v>
      </c>
      <c r="F431" s="51" t="n">
        <f aca="false">1+IF($G$10=$E$10,$F$10,IF(T431&lt;($F$10-$E$10)/($G$10-$E$10),$E$10+SQRT(T431*($G$10-$E$10)*($F$10-$E$10)),$G$10-SQRT((1-T431)*($G$10-$E$10)*($G$10-$F$10))))</f>
        <v>1.03859233341783</v>
      </c>
      <c r="G431" s="52" t="n">
        <f aca="false">IF($G$11=$E$11,$F$11,IF(U431&lt;($F$11-$E$11)/($G$11-$E$11),$E$11+SQRT(U431*($G$11-$E$11)*($F$11-$E$11)),$G$11-SQRT((1-U431)*($G$11-$E$11)*($G$11-$F$11))))</f>
        <v>0.0891124553984913</v>
      </c>
      <c r="H431" s="53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-2077184666.83565</v>
      </c>
      <c r="I431" s="53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-55569790.7224328</v>
      </c>
      <c r="J431" s="53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185843059.082685</v>
      </c>
      <c r="K431" s="53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479185525.558695</v>
      </c>
      <c r="L431" s="53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588785080.511759</v>
      </c>
      <c r="M431" s="53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748992408.110893</v>
      </c>
      <c r="N431" s="53" t="n">
        <f aca="false">IF(COUNT('Business Case'!B11:G11)=0,"",H431+NPV(G431,I431:M431))</f>
        <v>-693355822.877987</v>
      </c>
      <c r="P431" s="54" t="n">
        <f aca="true">RAND()</f>
        <v>0.272171242171203</v>
      </c>
      <c r="Q431" s="54" t="n">
        <f aca="true">RAND()</f>
        <v>0.225330617230898</v>
      </c>
      <c r="R431" s="54" t="n">
        <f aca="true">RAND()</f>
        <v>0.371666214845917</v>
      </c>
      <c r="S431" s="54" t="n">
        <f aca="true">RAND()</f>
        <v>0.737833627915988</v>
      </c>
      <c r="T431" s="54" t="n">
        <f aca="true">RAND()</f>
        <v>0.404090646803744</v>
      </c>
      <c r="U431" s="54" t="n">
        <f aca="true">RAND()</f>
        <v>0.0830368433894934</v>
      </c>
    </row>
    <row r="432" customFormat="false" ht="15" hidden="false" customHeight="false" outlineLevel="0" collapsed="false">
      <c r="A432" s="50" t="n">
        <v>352</v>
      </c>
      <c r="B432" s="51" t="n">
        <f aca="false">1+IF($G$6=$E$6,$F$6,IF(P432&lt;($F$6-$E$6)/($G$6-$E$6),$E$6+SQRT(P432*($G$6-$E$6)*($F$6-$E$6)),$G$6-SQRT((1-P432)*($G$6-$E$6)*($G$6-$F$6))))</f>
        <v>1.01013189314821</v>
      </c>
      <c r="C432" s="51" t="n">
        <f aca="false">1+IF($G$7=$E$7,$F$7,IF(Q432&lt;($F$7-$E$7)/($G$7-$E$7),$E$7+SQRT(Q432*($G$7-$E$7)*($F$7-$E$7)),$G$7-SQRT((1-Q432)*($G$7-$E$7)*($G$7-$F$7))))</f>
        <v>0.963575477831225</v>
      </c>
      <c r="D432" s="51" t="n">
        <f aca="false">1+IF($G$8=$E$8,$F$8,IF(R432&lt;($F$8-$E$8)/($G$8-$E$8),$E$8+SQRT(R432*($G$8-$E$8)*($F$8-$E$8)),$G$8-SQRT((1-R432)*($G$8-$E$8)*($G$8-$F$8))))</f>
        <v>1.01749399952939</v>
      </c>
      <c r="E432" s="51" t="n">
        <f aca="false">1+IF($G$9=$E$9,$F$9,IF(S432&lt;($F$9-$E$9)/($G$9-$E$9),$E$9+SQRT(S432*($G$9-$E$9)*($F$9-$E$9)),$G$9-SQRT((1-S432)*($G$9-$E$9)*($G$9-$F$9))))</f>
        <v>0.926916625023106</v>
      </c>
      <c r="F432" s="51" t="n">
        <f aca="false">1+IF($G$10=$E$10,$F$10,IF(T432&lt;($F$10-$E$10)/($G$10-$E$10),$E$10+SQRT(T432*($G$10-$E$10)*($F$10-$E$10)),$G$10-SQRT((1-T432)*($G$10-$E$10)*($G$10-$F$10))))</f>
        <v>1.1000102729716</v>
      </c>
      <c r="G432" s="52" t="n">
        <f aca="false">IF($G$11=$E$11,$F$11,IF(U432&lt;($F$11-$E$11)/($G$11-$E$11),$E$11+SQRT(U432*($G$11-$E$11)*($F$11-$E$11)),$G$11-SQRT((1-U432)*($G$11-$E$11)*($G$11-$F$11))))</f>
        <v>0.112384302014904</v>
      </c>
      <c r="H432" s="53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-2200020545.94319</v>
      </c>
      <c r="I432" s="53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3064849.77865368</v>
      </c>
      <c r="J432" s="53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298396129.525163</v>
      </c>
      <c r="K432" s="53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648727922.920252</v>
      </c>
      <c r="L432" s="53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780810255.230695</v>
      </c>
      <c r="M432" s="53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965822403.402865</v>
      </c>
      <c r="N432" s="53" t="n">
        <f aca="false">IF(COUNT('Business Case'!B11:G11)=0,"",H432+NPV(G432,I432:M432))</f>
        <v>-407816372.819397</v>
      </c>
      <c r="P432" s="54" t="n">
        <f aca="true">RAND()</f>
        <v>0.788071207473931</v>
      </c>
      <c r="Q432" s="54" t="n">
        <f aca="true">RAND()</f>
        <v>0.514607648251545</v>
      </c>
      <c r="R432" s="54" t="n">
        <f aca="true">RAND()</f>
        <v>0.546183992422962</v>
      </c>
      <c r="S432" s="54" t="n">
        <f aca="true">RAND()</f>
        <v>0.0289801881053794</v>
      </c>
      <c r="T432" s="54" t="n">
        <f aca="true">RAND()</f>
        <v>0.700041090479267</v>
      </c>
      <c r="U432" s="54" t="n">
        <f aca="true">RAND()</f>
        <v>0.793124789665255</v>
      </c>
    </row>
    <row r="433" customFormat="false" ht="15" hidden="false" customHeight="false" outlineLevel="0" collapsed="false">
      <c r="A433" s="50" t="n">
        <v>353</v>
      </c>
      <c r="B433" s="51" t="n">
        <f aca="false">1+IF($G$6=$E$6,$F$6,IF(P433&lt;($F$6-$E$6)/($G$6-$E$6),$E$6+SQRT(P433*($G$6-$E$6)*($F$6-$E$6)),$G$6-SQRT((1-P433)*($G$6-$E$6)*($G$6-$F$6))))</f>
        <v>0.921601234524748</v>
      </c>
      <c r="C433" s="51" t="n">
        <f aca="false">1+IF($G$7=$E$7,$F$7,IF(Q433&lt;($F$7-$E$7)/($G$7-$E$7),$E$7+SQRT(Q433*($G$7-$E$7)*($F$7-$E$7)),$G$7-SQRT((1-Q433)*($G$7-$E$7)*($G$7-$F$7))))</f>
        <v>1.0462272872565</v>
      </c>
      <c r="D433" s="51" t="n">
        <f aca="false">1+IF($G$8=$E$8,$F$8,IF(R433&lt;($F$8-$E$8)/($G$8-$E$8),$E$8+SQRT(R433*($G$8-$E$8)*($F$8-$E$8)),$G$8-SQRT((1-R433)*($G$8-$E$8)*($G$8-$F$8))))</f>
        <v>1.01952700690823</v>
      </c>
      <c r="E433" s="51" t="n">
        <f aca="false">1+IF($G$9=$E$9,$F$9,IF(S433&lt;($F$9-$E$9)/($G$9-$E$9),$E$9+SQRT(S433*($G$9-$E$9)*($F$9-$E$9)),$G$9-SQRT((1-S433)*($G$9-$E$9)*($G$9-$F$9))))</f>
        <v>0.990493311216771</v>
      </c>
      <c r="F433" s="51" t="n">
        <f aca="false">1+IF($G$10=$E$10,$F$10,IF(T433&lt;($F$10-$E$10)/($G$10-$E$10),$E$10+SQRT(T433*($G$10-$E$10)*($F$10-$E$10)),$G$10-SQRT((1-T433)*($G$10-$E$10)*($G$10-$F$10))))</f>
        <v>1.12899336921455</v>
      </c>
      <c r="G433" s="52" t="n">
        <f aca="false">IF($G$11=$E$11,$F$11,IF(U433&lt;($F$11-$E$11)/($G$11-$E$11),$E$11+SQRT(U433*($G$11-$E$11)*($F$11-$E$11)),$G$11-SQRT((1-U433)*($G$11-$E$11)*($G$11-$F$11))))</f>
        <v>0.091256761181963</v>
      </c>
      <c r="H433" s="53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-2257986738.42911</v>
      </c>
      <c r="I433" s="53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-60022085.10613</v>
      </c>
      <c r="J433" s="53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183687669.562207</v>
      </c>
      <c r="K433" s="53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483847092.691272</v>
      </c>
      <c r="L433" s="53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598406580.246042</v>
      </c>
      <c r="M433" s="53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781682544.905327</v>
      </c>
      <c r="N433" s="53" t="n">
        <f aca="false">IF(COUNT('Business Case'!B11:G11)=0,"",H433+NPV(G433,I433:M433))</f>
        <v>-859311663.482299</v>
      </c>
      <c r="P433" s="54" t="n">
        <f aca="true">RAND()</f>
        <v>0.0311075555328762</v>
      </c>
      <c r="Q433" s="54" t="n">
        <f aca="true">RAND()</f>
        <v>0.840462579108967</v>
      </c>
      <c r="R433" s="54" t="n">
        <f aca="true">RAND()</f>
        <v>0.56827315885675</v>
      </c>
      <c r="S433" s="54" t="n">
        <f aca="true">RAND()</f>
        <v>0.327561574999012</v>
      </c>
      <c r="T433" s="54" t="n">
        <f aca="true">RAND()</f>
        <v>0.80476527074606</v>
      </c>
      <c r="U433" s="54" t="n">
        <f aca="true">RAND()</f>
        <v>0.126714672307748</v>
      </c>
    </row>
    <row r="434" customFormat="false" ht="15" hidden="false" customHeight="false" outlineLevel="0" collapsed="false">
      <c r="A434" s="50" t="n">
        <v>354</v>
      </c>
      <c r="B434" s="51" t="n">
        <f aca="false">1+IF($G$6=$E$6,$F$6,IF(P434&lt;($F$6-$E$6)/($G$6-$E$6),$E$6+SQRT(P434*($G$6-$E$6)*($F$6-$E$6)),$G$6-SQRT((1-P434)*($G$6-$E$6)*($G$6-$F$6))))</f>
        <v>1.01813900522956</v>
      </c>
      <c r="C434" s="51" t="n">
        <f aca="false">1+IF($G$7=$E$7,$F$7,IF(Q434&lt;($F$7-$E$7)/($G$7-$E$7),$E$7+SQRT(Q434*($G$7-$E$7)*($F$7-$E$7)),$G$7-SQRT((1-Q434)*($G$7-$E$7)*($G$7-$F$7))))</f>
        <v>0.840513741712039</v>
      </c>
      <c r="D434" s="51" t="n">
        <f aca="false">1+IF($G$8=$E$8,$F$8,IF(R434&lt;($F$8-$E$8)/($G$8-$E$8),$E$8+SQRT(R434*($G$8-$E$8)*($F$8-$E$8)),$G$8-SQRT((1-R434)*($G$8-$E$8)*($G$8-$F$8))))</f>
        <v>1.01779188129585</v>
      </c>
      <c r="E434" s="51" t="n">
        <f aca="false">1+IF($G$9=$E$9,$F$9,IF(S434&lt;($F$9-$E$9)/($G$9-$E$9),$E$9+SQRT(S434*($G$9-$E$9)*($F$9-$E$9)),$G$9-SQRT((1-S434)*($G$9-$E$9)*($G$9-$F$9))))</f>
        <v>0.994137943785889</v>
      </c>
      <c r="F434" s="51" t="n">
        <f aca="false">1+IF($G$10=$E$10,$F$10,IF(T434&lt;($F$10-$E$10)/($G$10-$E$10),$E$10+SQRT(T434*($G$10-$E$10)*($F$10-$E$10)),$G$10-SQRT((1-T434)*($G$10-$E$10)*($G$10-$F$10))))</f>
        <v>1.00563285022973</v>
      </c>
      <c r="G434" s="52" t="n">
        <f aca="false">IF($G$11=$E$11,$F$11,IF(U434&lt;($F$11-$E$11)/($G$11-$E$11),$E$11+SQRT(U434*($G$11-$E$11)*($F$11-$E$11)),$G$11-SQRT((1-U434)*($G$11-$E$11)*($G$11-$F$11))))</f>
        <v>0.111773455463592</v>
      </c>
      <c r="H434" s="53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-2011265700.45947</v>
      </c>
      <c r="I434" s="53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-23294589.1960897</v>
      </c>
      <c r="J434" s="53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239703111.558329</v>
      </c>
      <c r="K434" s="53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552982454.824234</v>
      </c>
      <c r="L434" s="53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670223414.623161</v>
      </c>
      <c r="M434" s="53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832886242.134159</v>
      </c>
      <c r="N434" s="53" t="n">
        <f aca="false">IF(COUNT('Business Case'!B11:G11)=0,"",H434+NPV(G434,I434:M434))</f>
        <v>-506851572.398938</v>
      </c>
      <c r="P434" s="54" t="n">
        <f aca="true">RAND()</f>
        <v>0.864650268298368</v>
      </c>
      <c r="Q434" s="54" t="n">
        <f aca="true">RAND()</f>
        <v>0.146252678591982</v>
      </c>
      <c r="R434" s="54" t="n">
        <f aca="true">RAND()</f>
        <v>0.549455014608323</v>
      </c>
      <c r="S434" s="54" t="n">
        <f aca="true">RAND()</f>
        <v>0.354478098409404</v>
      </c>
      <c r="T434" s="54" t="n">
        <f aca="true">RAND()</f>
        <v>0.203795948175416</v>
      </c>
      <c r="U434" s="54" t="n">
        <f aca="true">RAND()</f>
        <v>0.778528716174879</v>
      </c>
    </row>
    <row r="435" customFormat="false" ht="15" hidden="false" customHeight="false" outlineLevel="0" collapsed="false">
      <c r="A435" s="50" t="n">
        <v>355</v>
      </c>
      <c r="B435" s="51" t="n">
        <f aca="false">1+IF($G$6=$E$6,$F$6,IF(P435&lt;($F$6-$E$6)/($G$6-$E$6),$E$6+SQRT(P435*($G$6-$E$6)*($F$6-$E$6)),$G$6-SQRT((1-P435)*($G$6-$E$6)*($G$6-$F$6))))</f>
        <v>0.919543276470525</v>
      </c>
      <c r="C435" s="51" t="n">
        <f aca="false">1+IF($G$7=$E$7,$F$7,IF(Q435&lt;($F$7-$E$7)/($G$7-$E$7),$E$7+SQRT(Q435*($G$7-$E$7)*($F$7-$E$7)),$G$7-SQRT((1-Q435)*($G$7-$E$7)*($G$7-$F$7))))</f>
        <v>1.05820246405288</v>
      </c>
      <c r="D435" s="51" t="n">
        <f aca="false">1+IF($G$8=$E$8,$F$8,IF(R435&lt;($F$8-$E$8)/($G$8-$E$8),$E$8+SQRT(R435*($G$8-$E$8)*($F$8-$E$8)),$G$8-SQRT((1-R435)*($G$8-$E$8)*($G$8-$F$8))))</f>
        <v>0.985542694023551</v>
      </c>
      <c r="E435" s="51" t="n">
        <f aca="false">1+IF($G$9=$E$9,$F$9,IF(S435&lt;($F$9-$E$9)/($G$9-$E$9),$E$9+SQRT(S435*($G$9-$E$9)*($F$9-$E$9)),$G$9-SQRT((1-S435)*($G$9-$E$9)*($G$9-$F$9))))</f>
        <v>0.978981416631364</v>
      </c>
      <c r="F435" s="51" t="n">
        <f aca="false">1+IF($G$10=$E$10,$F$10,IF(T435&lt;($F$10-$E$10)/($G$10-$E$10),$E$10+SQRT(T435*($G$10-$E$10)*($F$10-$E$10)),$G$10-SQRT((1-T435)*($G$10-$E$10)*($G$10-$F$10))))</f>
        <v>1.14760131195868</v>
      </c>
      <c r="G435" s="52" t="n">
        <f aca="false">IF($G$11=$E$11,$F$11,IF(U435&lt;($F$11-$E$11)/($G$11-$E$11),$E$11+SQRT(U435*($G$11-$E$11)*($F$11-$E$11)),$G$11-SQRT((1-U435)*($G$11-$E$11)*($G$11-$F$11))))</f>
        <v>0.119348914853259</v>
      </c>
      <c r="H435" s="53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-2295202623.91736</v>
      </c>
      <c r="I435" s="53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-41289512.7871124</v>
      </c>
      <c r="J435" s="53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221835846.963016</v>
      </c>
      <c r="K435" s="53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542341272.311079</v>
      </c>
      <c r="L435" s="53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663678781.49205</v>
      </c>
      <c r="M435" s="53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848638589.112157</v>
      </c>
      <c r="N435" s="53" t="n">
        <f aca="false">IF(COUNT('Business Case'!B11:G11)=0,"",H435+NPV(G435,I435:M435))</f>
        <v>-862631434.489302</v>
      </c>
      <c r="P435" s="54" t="n">
        <f aca="true">RAND()</f>
        <v>0.0254626436802258</v>
      </c>
      <c r="Q435" s="54" t="n">
        <f aca="true">RAND()</f>
        <v>0.87515870213388</v>
      </c>
      <c r="R435" s="54" t="n">
        <f aca="true">RAND()</f>
        <v>0.168437746460234</v>
      </c>
      <c r="S435" s="54" t="n">
        <f aca="true">RAND()</f>
        <v>0.249522566923881</v>
      </c>
      <c r="T435" s="54" t="n">
        <f aca="true">RAND()</f>
        <v>0.860193449165554</v>
      </c>
      <c r="U435" s="54" t="n">
        <f aca="true">RAND()</f>
        <v>0.924369590131255</v>
      </c>
    </row>
    <row r="436" customFormat="false" ht="15" hidden="false" customHeight="false" outlineLevel="0" collapsed="false">
      <c r="A436" s="50" t="n">
        <v>356</v>
      </c>
      <c r="B436" s="51" t="n">
        <f aca="false">1+IF($G$6=$E$6,$F$6,IF(P436&lt;($F$6-$E$6)/($G$6-$E$6),$E$6+SQRT(P436*($G$6-$E$6)*($F$6-$E$6)),$G$6-SQRT((1-P436)*($G$6-$E$6)*($G$6-$F$6))))</f>
        <v>0.970607042812586</v>
      </c>
      <c r="C436" s="51" t="n">
        <f aca="false">1+IF($G$7=$E$7,$F$7,IF(Q436&lt;($F$7-$E$7)/($G$7-$E$7),$E$7+SQRT(Q436*($G$7-$E$7)*($F$7-$E$7)),$G$7-SQRT((1-Q436)*($G$7-$E$7)*($G$7-$F$7))))</f>
        <v>0.824343071542356</v>
      </c>
      <c r="D436" s="51" t="n">
        <f aca="false">1+IF($G$8=$E$8,$F$8,IF(R436&lt;($F$8-$E$8)/($G$8-$E$8),$E$8+SQRT(R436*($G$8-$E$8)*($F$8-$E$8)),$G$8-SQRT((1-R436)*($G$8-$E$8)*($G$8-$F$8))))</f>
        <v>1.01311204068194</v>
      </c>
      <c r="E436" s="51" t="n">
        <f aca="false">1+IF($G$9=$E$9,$F$9,IF(S436&lt;($F$9-$E$9)/($G$9-$E$9),$E$9+SQRT(S436*($G$9-$E$9)*($F$9-$E$9)),$G$9-SQRT((1-S436)*($G$9-$E$9)*($G$9-$F$9))))</f>
        <v>1.12192652056842</v>
      </c>
      <c r="F436" s="51" t="n">
        <f aca="false">1+IF($G$10=$E$10,$F$10,IF(T436&lt;($F$10-$E$10)/($G$10-$E$10),$E$10+SQRT(T436*($G$10-$E$10)*($F$10-$E$10)),$G$10-SQRT((1-T436)*($G$10-$E$10)*($G$10-$F$10))))</f>
        <v>1.16048967195296</v>
      </c>
      <c r="G436" s="52" t="n">
        <f aca="false">IF($G$11=$E$11,$F$11,IF(U436&lt;($F$11-$E$11)/($G$11-$E$11),$E$11+SQRT(U436*($G$11-$E$11)*($F$11-$E$11)),$G$11-SQRT((1-U436)*($G$11-$E$11)*($G$11-$F$11))))</f>
        <v>0.117877899681273</v>
      </c>
      <c r="H436" s="53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-2320979343.90592</v>
      </c>
      <c r="I436" s="53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-89245430.976414</v>
      </c>
      <c r="J436" s="53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138573924.285252</v>
      </c>
      <c r="K436" s="53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424417763.144566</v>
      </c>
      <c r="L436" s="53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528009460.110424</v>
      </c>
      <c r="M436" s="53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680094975.442925</v>
      </c>
      <c r="N436" s="53" t="n">
        <f aca="false">IF(COUNT('Business Case'!B11:G11)=0,"",H436+NPV(G436,I436:M436))</f>
        <v>-1258412285.3539</v>
      </c>
      <c r="P436" s="54" t="n">
        <f aca="true">RAND()</f>
        <v>0.33235696631589</v>
      </c>
      <c r="Q436" s="54" t="n">
        <f aca="true">RAND()</f>
        <v>0.11452740326361</v>
      </c>
      <c r="R436" s="54" t="n">
        <f aca="true">RAND()</f>
        <v>0.496698835036201</v>
      </c>
      <c r="S436" s="54" t="n">
        <f aca="true">RAND()</f>
        <v>0.978983460069456</v>
      </c>
      <c r="T436" s="54" t="n">
        <f aca="true">RAND()</f>
        <v>0.893172015638813</v>
      </c>
      <c r="U436" s="54" t="n">
        <f aca="true">RAND()</f>
        <v>0.902036455908474</v>
      </c>
    </row>
    <row r="437" customFormat="false" ht="15" hidden="false" customHeight="false" outlineLevel="0" collapsed="false">
      <c r="A437" s="50" t="n">
        <v>357</v>
      </c>
      <c r="B437" s="51" t="n">
        <f aca="false">1+IF($G$6=$E$6,$F$6,IF(P437&lt;($F$6-$E$6)/($G$6-$E$6),$E$6+SQRT(P437*($G$6-$E$6)*($F$6-$E$6)),$G$6-SQRT((1-P437)*($G$6-$E$6)*($G$6-$F$6))))</f>
        <v>0.912235280884244</v>
      </c>
      <c r="C437" s="51" t="n">
        <f aca="false">1+IF($G$7=$E$7,$F$7,IF(Q437&lt;($F$7-$E$7)/($G$7-$E$7),$E$7+SQRT(Q437*($G$7-$E$7)*($F$7-$E$7)),$G$7-SQRT((1-Q437)*($G$7-$E$7)*($G$7-$F$7))))</f>
        <v>0.794118711847945</v>
      </c>
      <c r="D437" s="51" t="n">
        <f aca="false">1+IF($G$8=$E$8,$F$8,IF(R437&lt;($F$8-$E$8)/($G$8-$E$8),$E$8+SQRT(R437*($G$8-$E$8)*($F$8-$E$8)),$G$8-SQRT((1-R437)*($G$8-$E$8)*($G$8-$F$8))))</f>
        <v>1.03747369840683</v>
      </c>
      <c r="E437" s="51" t="n">
        <f aca="false">1+IF($G$9=$E$9,$F$9,IF(S437&lt;($F$9-$E$9)/($G$9-$E$9),$E$9+SQRT(S437*($G$9-$E$9)*($F$9-$E$9)),$G$9-SQRT((1-S437)*($G$9-$E$9)*($G$9-$F$9))))</f>
        <v>1.04179496491414</v>
      </c>
      <c r="F437" s="51" t="n">
        <f aca="false">1+IF($G$10=$E$10,$F$10,IF(T437&lt;($F$10-$E$10)/($G$10-$E$10),$E$10+SQRT(T437*($G$10-$E$10)*($F$10-$E$10)),$G$10-SQRT((1-T437)*($G$10-$E$10)*($G$10-$F$10))))</f>
        <v>1.18199192955357</v>
      </c>
      <c r="G437" s="52" t="n">
        <f aca="false">IF($G$11=$E$11,$F$11,IF(U437&lt;($F$11-$E$11)/($G$11-$E$11),$E$11+SQRT(U437*($G$11-$E$11)*($F$11-$E$11)),$G$11-SQRT((1-U437)*($G$11-$E$11)*($G$11-$F$11))))</f>
        <v>0.0918879375256106</v>
      </c>
      <c r="H437" s="53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-2363983859.10714</v>
      </c>
      <c r="I437" s="53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-132301104.001082</v>
      </c>
      <c r="J437" s="53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39294322.7872177</v>
      </c>
      <c r="K437" s="53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269989346.053196</v>
      </c>
      <c r="L437" s="53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352223884.198117</v>
      </c>
      <c r="M437" s="53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489922228.216638</v>
      </c>
      <c r="N437" s="53" t="n">
        <f aca="false">IF(COUNT('Business Case'!B11:G11)=0,"",H437+NPV(G437,I437:M437))</f>
        <v>-1681314903.34881</v>
      </c>
      <c r="P437" s="54" t="n">
        <f aca="true">RAND()</f>
        <v>0.00998013988775707</v>
      </c>
      <c r="Q437" s="54" t="n">
        <f aca="true">RAND()</f>
        <v>0.0656172734808621</v>
      </c>
      <c r="R437" s="54" t="n">
        <f aca="true">RAND()</f>
        <v>0.739364107272031</v>
      </c>
      <c r="S437" s="54" t="n">
        <f aca="true">RAND()</f>
        <v>0.687777876855145</v>
      </c>
      <c r="T437" s="54" t="n">
        <f aca="true">RAND()</f>
        <v>0.938332031388715</v>
      </c>
      <c r="U437" s="54" t="n">
        <f aca="true">RAND()</f>
        <v>0.14132305861282</v>
      </c>
    </row>
    <row r="438" customFormat="false" ht="15" hidden="false" customHeight="false" outlineLevel="0" collapsed="false">
      <c r="A438" s="50" t="n">
        <v>358</v>
      </c>
      <c r="B438" s="51" t="n">
        <f aca="false">1+IF($G$6=$E$6,$F$6,IF(P438&lt;($F$6-$E$6)/($G$6-$E$6),$E$6+SQRT(P438*($G$6-$E$6)*($F$6-$E$6)),$G$6-SQRT((1-P438)*($G$6-$E$6)*($G$6-$F$6))))</f>
        <v>0.943922830063677</v>
      </c>
      <c r="C438" s="51" t="n">
        <f aca="false">1+IF($G$7=$E$7,$F$7,IF(Q438&lt;($F$7-$E$7)/($G$7-$E$7),$E$7+SQRT(Q438*($G$7-$E$7)*($F$7-$E$7)),$G$7-SQRT((1-Q438)*($G$7-$E$7)*($G$7-$F$7))))</f>
        <v>1.12962968084238</v>
      </c>
      <c r="D438" s="51" t="n">
        <f aca="false">1+IF($G$8=$E$8,$F$8,IF(R438&lt;($F$8-$E$8)/($G$8-$E$8),$E$8+SQRT(R438*($G$8-$E$8)*($F$8-$E$8)),$G$8-SQRT((1-R438)*($G$8-$E$8)*($G$8-$F$8))))</f>
        <v>1.01312650134105</v>
      </c>
      <c r="E438" s="51" t="n">
        <f aca="false">1+IF($G$9=$E$9,$F$9,IF(S438&lt;($F$9-$E$9)/($G$9-$E$9),$E$9+SQRT(S438*($G$9-$E$9)*($F$9-$E$9)),$G$9-SQRT((1-S438)*($G$9-$E$9)*($G$9-$F$9))))</f>
        <v>0.953868003037463</v>
      </c>
      <c r="F438" s="51" t="n">
        <f aca="false">1+IF($G$10=$E$10,$F$10,IF(T438&lt;($F$10-$E$10)/($G$10-$E$10),$E$10+SQRT(T438*($G$10-$E$10)*($F$10-$E$10)),$G$10-SQRT((1-T438)*($G$10-$E$10)*($G$10-$F$10))))</f>
        <v>1.15413094629472</v>
      </c>
      <c r="G438" s="52" t="n">
        <f aca="false">IF($G$11=$E$11,$F$11,IF(U438&lt;($F$11-$E$11)/($G$11-$E$11),$E$11+SQRT(U438*($G$11-$E$11)*($F$11-$E$11)),$G$11-SQRT((1-U438)*($G$11-$E$11)*($G$11-$F$11))))</f>
        <v>0.0877012396249901</v>
      </c>
      <c r="H438" s="53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-2308261892.58943</v>
      </c>
      <c r="I438" s="53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-18837317.5869663</v>
      </c>
      <c r="J438" s="53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268654612.921987</v>
      </c>
      <c r="K438" s="53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613853090.745675</v>
      </c>
      <c r="L438" s="53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746534483.205007</v>
      </c>
      <c r="M438" s="53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949213602.464914</v>
      </c>
      <c r="N438" s="53" t="n">
        <f aca="false">IF(COUNT('Business Case'!B11:G11)=0,"",H438+NPV(G438,I438:M438))</f>
        <v>-464664209.182249</v>
      </c>
      <c r="P438" s="54" t="n">
        <f aca="true">RAND()</f>
        <v>0.128614333386842</v>
      </c>
      <c r="Q438" s="54" t="n">
        <f aca="true">RAND()</f>
        <v>0.993852594035802</v>
      </c>
      <c r="R438" s="54" t="n">
        <f aca="true">RAND()</f>
        <v>0.496866348716881</v>
      </c>
      <c r="S438" s="54" t="n">
        <f aca="true">RAND()</f>
        <v>0.116070470049766</v>
      </c>
      <c r="T438" s="54" t="n">
        <f aca="true">RAND()</f>
        <v>0.877454993888712</v>
      </c>
      <c r="U438" s="54" t="n">
        <f aca="true">RAND()</f>
        <v>0.0593090917615176</v>
      </c>
    </row>
    <row r="439" customFormat="false" ht="15" hidden="false" customHeight="false" outlineLevel="0" collapsed="false">
      <c r="A439" s="50" t="n">
        <v>359</v>
      </c>
      <c r="B439" s="51" t="n">
        <f aca="false">1+IF($G$6=$E$6,$F$6,IF(P439&lt;($F$6-$E$6)/($G$6-$E$6),$E$6+SQRT(P439*($G$6-$E$6)*($F$6-$E$6)),$G$6-SQRT((1-P439)*($G$6-$E$6)*($G$6-$F$6))))</f>
        <v>0.951703069957412</v>
      </c>
      <c r="C439" s="51" t="n">
        <f aca="false">1+IF($G$7=$E$7,$F$7,IF(Q439&lt;($F$7-$E$7)/($G$7-$E$7),$E$7+SQRT(Q439*($G$7-$E$7)*($F$7-$E$7)),$G$7-SQRT((1-Q439)*($G$7-$E$7)*($G$7-$F$7))))</f>
        <v>0.786856424352894</v>
      </c>
      <c r="D439" s="51" t="n">
        <f aca="false">1+IF($G$8=$E$8,$F$8,IF(R439&lt;($F$8-$E$8)/($G$8-$E$8),$E$8+SQRT(R439*($G$8-$E$8)*($F$8-$E$8)),$G$8-SQRT((1-R439)*($G$8-$E$8)*($G$8-$F$8))))</f>
        <v>1.05822311009496</v>
      </c>
      <c r="E439" s="51" t="n">
        <f aca="false">1+IF($G$9=$E$9,$F$9,IF(S439&lt;($F$9-$E$9)/($G$9-$E$9),$E$9+SQRT(S439*($G$9-$E$9)*($F$9-$E$9)),$G$9-SQRT((1-S439)*($G$9-$E$9)*($G$9-$F$9))))</f>
        <v>0.984015415363202</v>
      </c>
      <c r="F439" s="51" t="n">
        <f aca="false">1+IF($G$10=$E$10,$F$10,IF(T439&lt;($F$10-$E$10)/($G$10-$E$10),$E$10+SQRT(T439*($G$10-$E$10)*($F$10-$E$10)),$G$10-SQRT((1-T439)*($G$10-$E$10)*($G$10-$F$10))))</f>
        <v>0.987484511818743</v>
      </c>
      <c r="G439" s="52" t="n">
        <f aca="false">IF($G$11=$E$11,$F$11,IF(U439&lt;($F$11-$E$11)/($G$11-$E$11),$E$11+SQRT(U439*($G$11-$E$11)*($F$11-$E$11)),$G$11-SQRT((1-U439)*($G$11-$E$11)*($G$11-$F$11))))</f>
        <v>0.0981841215168513</v>
      </c>
      <c r="H439" s="53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-1974969023.63749</v>
      </c>
      <c r="I439" s="53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-90391189.2674713</v>
      </c>
      <c r="J439" s="53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96713639.2065942</v>
      </c>
      <c r="K439" s="53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333192693.271597</v>
      </c>
      <c r="L439" s="53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421441352.426295</v>
      </c>
      <c r="M439" s="53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563783458.908017</v>
      </c>
      <c r="N439" s="53" t="n">
        <f aca="false">IF(COUNT('Business Case'!B11:G11)=0,"",H439+NPV(G439,I439:M439))</f>
        <v>-1082781395.13928</v>
      </c>
      <c r="P439" s="54" t="n">
        <f aca="true">RAND()</f>
        <v>0.178213829534734</v>
      </c>
      <c r="Q439" s="54" t="n">
        <f aca="true">RAND()</f>
        <v>0.0558817663064442</v>
      </c>
      <c r="R439" s="54" t="n">
        <f aca="true">RAND()</f>
        <v>0.883646097990787</v>
      </c>
      <c r="S439" s="54" t="n">
        <f aca="true">RAND()</f>
        <v>0.282343600746054</v>
      </c>
      <c r="T439" s="54" t="n">
        <f aca="true">RAND()</f>
        <v>0.0936725750859651</v>
      </c>
      <c r="U439" s="54" t="n">
        <f aca="true">RAND()</f>
        <v>0.330662275339614</v>
      </c>
    </row>
    <row r="440" customFormat="false" ht="15" hidden="false" customHeight="false" outlineLevel="0" collapsed="false">
      <c r="A440" s="50" t="n">
        <v>360</v>
      </c>
      <c r="B440" s="51" t="n">
        <f aca="false">1+IF($G$6=$E$6,$F$6,IF(P440&lt;($F$6-$E$6)/($G$6-$E$6),$E$6+SQRT(P440*($G$6-$E$6)*($F$6-$E$6)),$G$6-SQRT((1-P440)*($G$6-$E$6)*($G$6-$F$6))))</f>
        <v>0.947056981112566</v>
      </c>
      <c r="C440" s="51" t="n">
        <f aca="false">1+IF($G$7=$E$7,$F$7,IF(Q440&lt;($F$7-$E$7)/($G$7-$E$7),$E$7+SQRT(Q440*($G$7-$E$7)*($F$7-$E$7)),$G$7-SQRT((1-Q440)*($G$7-$E$7)*($G$7-$F$7))))</f>
        <v>0.727992088376812</v>
      </c>
      <c r="D440" s="51" t="n">
        <f aca="false">1+IF($G$8=$E$8,$F$8,IF(R440&lt;($F$8-$E$8)/($G$8-$E$8),$E$8+SQRT(R440*($G$8-$E$8)*($F$8-$E$8)),$G$8-SQRT((1-R440)*($G$8-$E$8)*($G$8-$F$8))))</f>
        <v>0.984175967607487</v>
      </c>
      <c r="E440" s="51" t="n">
        <f aca="false">1+IF($G$9=$E$9,$F$9,IF(S440&lt;($F$9-$E$9)/($G$9-$E$9),$E$9+SQRT(S440*($G$9-$E$9)*($F$9-$E$9)),$G$9-SQRT((1-S440)*($G$9-$E$9)*($G$9-$F$9))))</f>
        <v>0.918447877092325</v>
      </c>
      <c r="F440" s="51" t="n">
        <f aca="false">1+IF($G$10=$E$10,$F$10,IF(T440&lt;($F$10-$E$10)/($G$10-$E$10),$E$10+SQRT(T440*($G$10-$E$10)*($F$10-$E$10)),$G$10-SQRT((1-T440)*($G$10-$E$10)*($G$10-$F$10))))</f>
        <v>1.10770721116982</v>
      </c>
      <c r="G440" s="52" t="n">
        <f aca="false">IF($G$11=$E$11,$F$11,IF(U440&lt;($F$11-$E$11)/($G$11-$E$11),$E$11+SQRT(U440*($G$11-$E$11)*($F$11-$E$11)),$G$11-SQRT((1-U440)*($G$11-$E$11)*($G$11-$F$11))))</f>
        <v>0.106332847981886</v>
      </c>
      <c r="H440" s="53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-2215414422.33964</v>
      </c>
      <c r="I440" s="53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-79182423.9264521</v>
      </c>
      <c r="J440" s="53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118750248.841871</v>
      </c>
      <c r="K440" s="53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372068282.168684</v>
      </c>
      <c r="L440" s="53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461873231.394967</v>
      </c>
      <c r="M440" s="53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592923885.397602</v>
      </c>
      <c r="N440" s="53" t="n">
        <f aca="false">IF(COUNT('Business Case'!B11:G11)=0,"",H440+NPV(G440,I440:M440))</f>
        <v>-1249152342.25063</v>
      </c>
      <c r="P440" s="54" t="n">
        <f aca="true">RAND()</f>
        <v>0.147623964761893</v>
      </c>
      <c r="Q440" s="54" t="n">
        <f aca="true">RAND()</f>
        <v>0.00580412601255744</v>
      </c>
      <c r="R440" s="54" t="n">
        <f aca="true">RAND()</f>
        <v>0.155732901587735</v>
      </c>
      <c r="S440" s="54" t="n">
        <f aca="true">RAND()</f>
        <v>0.0136129667685417</v>
      </c>
      <c r="T440" s="54" t="n">
        <f aca="true">RAND()</f>
        <v>0.730036829959062</v>
      </c>
      <c r="U440" s="54" t="n">
        <f aca="true">RAND()</f>
        <v>0.626577276900982</v>
      </c>
    </row>
    <row r="441" customFormat="false" ht="15" hidden="false" customHeight="false" outlineLevel="0" collapsed="false">
      <c r="A441" s="50" t="n">
        <v>361</v>
      </c>
      <c r="B441" s="51" t="n">
        <f aca="false">1+IF($G$6=$E$6,$F$6,IF(P441&lt;($F$6-$E$6)/($G$6-$E$6),$E$6+SQRT(P441*($G$6-$E$6)*($F$6-$E$6)),$G$6-SQRT((1-P441)*($G$6-$E$6)*($G$6-$F$6))))</f>
        <v>0.935729791048254</v>
      </c>
      <c r="C441" s="51" t="n">
        <f aca="false">1+IF($G$7=$E$7,$F$7,IF(Q441&lt;($F$7-$E$7)/($G$7-$E$7),$E$7+SQRT(Q441*($G$7-$E$7)*($F$7-$E$7)),$G$7-SQRT((1-Q441)*($G$7-$E$7)*($G$7-$F$7))))</f>
        <v>1.07941236465829</v>
      </c>
      <c r="D441" s="51" t="n">
        <f aca="false">1+IF($G$8=$E$8,$F$8,IF(R441&lt;($F$8-$E$8)/($G$8-$E$8),$E$8+SQRT(R441*($G$8-$E$8)*($F$8-$E$8)),$G$8-SQRT((1-R441)*($G$8-$E$8)*($G$8-$F$8))))</f>
        <v>0.976465321427603</v>
      </c>
      <c r="E441" s="51" t="n">
        <f aca="false">1+IF($G$9=$E$9,$F$9,IF(S441&lt;($F$9-$E$9)/($G$9-$E$9),$E$9+SQRT(S441*($G$9-$E$9)*($F$9-$E$9)),$G$9-SQRT((1-S441)*($G$9-$E$9)*($G$9-$F$9))))</f>
        <v>0.987599757006919</v>
      </c>
      <c r="F441" s="51" t="n">
        <f aca="false">1+IF($G$10=$E$10,$F$10,IF(T441&lt;($F$10-$E$10)/($G$10-$E$10),$E$10+SQRT(T441*($G$10-$E$10)*($F$10-$E$10)),$G$10-SQRT((1-T441)*($G$10-$E$10)*($G$10-$F$10))))</f>
        <v>1.14689422140649</v>
      </c>
      <c r="G441" s="52" t="n">
        <f aca="false">IF($G$11=$E$11,$F$11,IF(U441&lt;($F$11-$E$11)/($G$11-$E$11),$E$11+SQRT(U441*($G$11-$E$11)*($F$11-$E$11)),$G$11-SQRT((1-U441)*($G$11-$E$11)*($G$11-$F$11))))</f>
        <v>0.103312958272547</v>
      </c>
      <c r="H441" s="53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-2293788442.81298</v>
      </c>
      <c r="I441" s="53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-19760552.6675376</v>
      </c>
      <c r="J441" s="53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267965388.057631</v>
      </c>
      <c r="K441" s="53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613036039.853124</v>
      </c>
      <c r="L441" s="53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743851610.631963</v>
      </c>
      <c r="M441" s="53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935839691.919432</v>
      </c>
      <c r="N441" s="53" t="n">
        <f aca="false">IF(COUNT('Business Case'!B11:G11)=0,"",H441+NPV(G441,I441:M441))</f>
        <v>-560724481.785908</v>
      </c>
      <c r="P441" s="54" t="n">
        <f aca="true">RAND()</f>
        <v>0.0851078645567927</v>
      </c>
      <c r="Q441" s="54" t="n">
        <f aca="true">RAND()</f>
        <v>0.926183492398005</v>
      </c>
      <c r="R441" s="54" t="n">
        <f aca="true">RAND()</f>
        <v>0.0933884317688456</v>
      </c>
      <c r="S441" s="54" t="n">
        <f aca="true">RAND()</f>
        <v>0.30694869710685</v>
      </c>
      <c r="T441" s="54" t="n">
        <f aca="true">RAND()</f>
        <v>0.858255978941682</v>
      </c>
      <c r="U441" s="54" t="n">
        <f aca="true">RAND()</f>
        <v>0.525201202558121</v>
      </c>
    </row>
    <row r="442" customFormat="false" ht="15" hidden="false" customHeight="false" outlineLevel="0" collapsed="false">
      <c r="A442" s="50" t="n">
        <v>362</v>
      </c>
      <c r="B442" s="51" t="n">
        <f aca="false">1+IF($G$6=$E$6,$F$6,IF(P442&lt;($F$6-$E$6)/($G$6-$E$6),$E$6+SQRT(P442*($G$6-$E$6)*($F$6-$E$6)),$G$6-SQRT((1-P442)*($G$6-$E$6)*($G$6-$F$6))))</f>
        <v>0.984616428957732</v>
      </c>
      <c r="C442" s="51" t="n">
        <f aca="false">1+IF($G$7=$E$7,$F$7,IF(Q442&lt;($F$7-$E$7)/($G$7-$E$7),$E$7+SQRT(Q442*($G$7-$E$7)*($F$7-$E$7)),$G$7-SQRT((1-Q442)*($G$7-$E$7)*($G$7-$F$7))))</f>
        <v>0.948445375765123</v>
      </c>
      <c r="D442" s="51" t="n">
        <f aca="false">1+IF($G$8=$E$8,$F$8,IF(R442&lt;($F$8-$E$8)/($G$8-$E$8),$E$8+SQRT(R442*($G$8-$E$8)*($F$8-$E$8)),$G$8-SQRT((1-R442)*($G$8-$E$8)*($G$8-$F$8))))</f>
        <v>1.02047880323884</v>
      </c>
      <c r="E442" s="51" t="n">
        <f aca="false">1+IF($G$9=$E$9,$F$9,IF(S442&lt;($F$9-$E$9)/($G$9-$E$9),$E$9+SQRT(S442*($G$9-$E$9)*($F$9-$E$9)),$G$9-SQRT((1-S442)*($G$9-$E$9)*($G$9-$F$9))))</f>
        <v>0.971098382465671</v>
      </c>
      <c r="F442" s="51" t="n">
        <f aca="false">1+IF($G$10=$E$10,$F$10,IF(T442&lt;($F$10-$E$10)/($G$10-$E$10),$E$10+SQRT(T442*($G$10-$E$10)*($F$10-$E$10)),$G$10-SQRT((1-T442)*($G$10-$E$10)*($G$10-$F$10))))</f>
        <v>1.15159674383193</v>
      </c>
      <c r="G442" s="52" t="n">
        <f aca="false">IF($G$11=$E$11,$F$11,IF(U442&lt;($F$11-$E$11)/($G$11-$E$11),$E$11+SQRT(U442*($G$11-$E$11)*($F$11-$E$11)),$G$11-SQRT((1-U442)*($G$11-$E$11)*($G$11-$F$11))))</f>
        <v>0.0923166551758168</v>
      </c>
      <c r="H442" s="53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-2303193487.66385</v>
      </c>
      <c r="I442" s="53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-32237694.8915755</v>
      </c>
      <c r="J442" s="53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237185512.54809</v>
      </c>
      <c r="K442" s="53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564188557.179351</v>
      </c>
      <c r="L442" s="53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686270318.300192</v>
      </c>
      <c r="M442" s="53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863777457.492101</v>
      </c>
      <c r="N442" s="53" t="n">
        <f aca="false">IF(COUNT('Business Case'!B11:G11)=0,"",H442+NPV(G442,I442:M442))</f>
        <v>-663499233.932681</v>
      </c>
      <c r="P442" s="54" t="n">
        <f aca="true">RAND()</f>
        <v>0.47732933663726</v>
      </c>
      <c r="Q442" s="54" t="n">
        <f aca="true">RAND()</f>
        <v>0.457222998067208</v>
      </c>
      <c r="R442" s="54" t="n">
        <f aca="true">RAND()</f>
        <v>0.578425284378215</v>
      </c>
      <c r="S442" s="54" t="n">
        <f aca="true">RAND()</f>
        <v>0.202199199569391</v>
      </c>
      <c r="T442" s="54" t="n">
        <f aca="true">RAND()</f>
        <v>0.870890655673606</v>
      </c>
      <c r="U442" s="54" t="n">
        <f aca="true">RAND()</f>
        <v>0.151699994719973</v>
      </c>
    </row>
    <row r="443" customFormat="false" ht="15" hidden="false" customHeight="false" outlineLevel="0" collapsed="false">
      <c r="A443" s="50" t="n">
        <v>363</v>
      </c>
      <c r="B443" s="51" t="n">
        <f aca="false">1+IF($G$6=$E$6,$F$6,IF(P443&lt;($F$6-$E$6)/($G$6-$E$6),$E$6+SQRT(P443*($G$6-$E$6)*($F$6-$E$6)),$G$6-SQRT((1-P443)*($G$6-$E$6)*($G$6-$F$6))))</f>
        <v>0.956048816739106</v>
      </c>
      <c r="C443" s="51" t="n">
        <f aca="false">1+IF($G$7=$E$7,$F$7,IF(Q443&lt;($F$7-$E$7)/($G$7-$E$7),$E$7+SQRT(Q443*($G$7-$E$7)*($F$7-$E$7)),$G$7-SQRT((1-Q443)*($G$7-$E$7)*($G$7-$F$7))))</f>
        <v>0.774033561937722</v>
      </c>
      <c r="D443" s="51" t="n">
        <f aca="false">1+IF($G$8=$E$8,$F$8,IF(R443&lt;($F$8-$E$8)/($G$8-$E$8),$E$8+SQRT(R443*($G$8-$E$8)*($F$8-$E$8)),$G$8-SQRT((1-R443)*($G$8-$E$8)*($G$8-$F$8))))</f>
        <v>1.03645192477134</v>
      </c>
      <c r="E443" s="51" t="n">
        <f aca="false">1+IF($G$9=$E$9,$F$9,IF(S443&lt;($F$9-$E$9)/($G$9-$E$9),$E$9+SQRT(S443*($G$9-$E$9)*($F$9-$E$9)),$G$9-SQRT((1-S443)*($G$9-$E$9)*($G$9-$F$9))))</f>
        <v>1.01484159484012</v>
      </c>
      <c r="F443" s="51" t="n">
        <f aca="false">1+IF($G$10=$E$10,$F$10,IF(T443&lt;($F$10-$E$10)/($G$10-$E$10),$E$10+SQRT(T443*($G$10-$E$10)*($F$10-$E$10)),$G$10-SQRT((1-T443)*($G$10-$E$10)*($G$10-$F$10))))</f>
        <v>1.06501549141736</v>
      </c>
      <c r="G443" s="52" t="n">
        <f aca="false">IF($G$11=$E$11,$F$11,IF(U443&lt;($F$11-$E$11)/($G$11-$E$11),$E$11+SQRT(U443*($G$11-$E$11)*($F$11-$E$11)),$G$11-SQRT((1-U443)*($G$11-$E$11)*($G$11-$F$11))))</f>
        <v>0.0993901352587863</v>
      </c>
      <c r="H443" s="53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-2130030982.83472</v>
      </c>
      <c r="I443" s="53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-93736792.2168969</v>
      </c>
      <c r="J443" s="53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101700758.567206</v>
      </c>
      <c r="K443" s="53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350389083.922177</v>
      </c>
      <c r="L443" s="53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441109813.565544</v>
      </c>
      <c r="M443" s="53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581771650.166538</v>
      </c>
      <c r="N443" s="53" t="n">
        <f aca="false">IF(COUNT('Business Case'!B11:G11)=0,"",H443+NPV(G443,I443:M443))</f>
        <v>-1203268687.55812</v>
      </c>
      <c r="P443" s="54" t="n">
        <f aca="true">RAND()</f>
        <v>0.209431323856928</v>
      </c>
      <c r="Q443" s="54" t="n">
        <f aca="true">RAND()</f>
        <v>0.0405997651347146</v>
      </c>
      <c r="R443" s="54" t="n">
        <f aca="true">RAND()</f>
        <v>0.73077614231554</v>
      </c>
      <c r="S443" s="54" t="n">
        <f aca="true">RAND()</f>
        <v>0.512858813723681</v>
      </c>
      <c r="T443" s="54" t="n">
        <f aca="true">RAND()</f>
        <v>0.543743087792529</v>
      </c>
      <c r="U443" s="54" t="n">
        <f aca="true">RAND()</f>
        <v>0.375977345354028</v>
      </c>
    </row>
    <row r="444" customFormat="false" ht="15" hidden="false" customHeight="false" outlineLevel="0" collapsed="false">
      <c r="A444" s="50" t="n">
        <v>364</v>
      </c>
      <c r="B444" s="51" t="n">
        <f aca="false">1+IF($G$6=$E$6,$F$6,IF(P444&lt;($F$6-$E$6)/($G$6-$E$6),$E$6+SQRT(P444*($G$6-$E$6)*($F$6-$E$6)),$G$6-SQRT((1-P444)*($G$6-$E$6)*($G$6-$F$6))))</f>
        <v>0.963566059122115</v>
      </c>
      <c r="C444" s="51" t="n">
        <f aca="false">1+IF($G$7=$E$7,$F$7,IF(Q444&lt;($F$7-$E$7)/($G$7-$E$7),$E$7+SQRT(Q444*($G$7-$E$7)*($F$7-$E$7)),$G$7-SQRT((1-Q444)*($G$7-$E$7)*($G$7-$F$7))))</f>
        <v>1.01210844519361</v>
      </c>
      <c r="D444" s="51" t="n">
        <f aca="false">1+IF($G$8=$E$8,$F$8,IF(R444&lt;($F$8-$E$8)/($G$8-$E$8),$E$8+SQRT(R444*($G$8-$E$8)*($F$8-$E$8)),$G$8-SQRT((1-R444)*($G$8-$E$8)*($G$8-$F$8))))</f>
        <v>1.01399708154784</v>
      </c>
      <c r="E444" s="51" t="n">
        <f aca="false">1+IF($G$9=$E$9,$F$9,IF(S444&lt;($F$9-$E$9)/($G$9-$E$9),$E$9+SQRT(S444*($G$9-$E$9)*($F$9-$E$9)),$G$9-SQRT((1-S444)*($G$9-$E$9)*($G$9-$F$9))))</f>
        <v>0.926403307053614</v>
      </c>
      <c r="F444" s="51" t="n">
        <f aca="false">1+IF($G$10=$E$10,$F$10,IF(T444&lt;($F$10-$E$10)/($G$10-$E$10),$E$10+SQRT(T444*($G$10-$E$10)*($F$10-$E$10)),$G$10-SQRT((1-T444)*($G$10-$E$10)*($G$10-$F$10))))</f>
        <v>1.04537018671853</v>
      </c>
      <c r="G444" s="52" t="n">
        <f aca="false">IF($G$11=$E$11,$F$11,IF(U444&lt;($F$11-$E$11)/($G$11-$E$11),$E$11+SQRT(U444*($G$11-$E$11)*($F$11-$E$11)),$G$11-SQRT((1-U444)*($G$11-$E$11)*($G$11-$F$11))))</f>
        <v>0.0973185062873201</v>
      </c>
      <c r="H444" s="53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-2090740373.43705</v>
      </c>
      <c r="I444" s="53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-13412041.3960679</v>
      </c>
      <c r="J444" s="53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260003582.79624</v>
      </c>
      <c r="K444" s="53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585687716.324475</v>
      </c>
      <c r="L444" s="53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710530322.157577</v>
      </c>
      <c r="M444" s="53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895902676.553742</v>
      </c>
      <c r="N444" s="53" t="n">
        <f aca="false">IF(COUNT('Business Case'!B11:G11)=0,"",H444+NPV(G444,I444:M444))</f>
        <v>-390584649.858403</v>
      </c>
      <c r="P444" s="54" t="n">
        <f aca="true">RAND()</f>
        <v>0.269376258154414</v>
      </c>
      <c r="Q444" s="54" t="n">
        <f aca="true">RAND()</f>
        <v>0.718309912786321</v>
      </c>
      <c r="R444" s="54" t="n">
        <f aca="true">RAND()</f>
        <v>0.506899867847357</v>
      </c>
      <c r="S444" s="54" t="n">
        <f aca="true">RAND()</f>
        <v>0.0278853849346971</v>
      </c>
      <c r="T444" s="54" t="n">
        <f aca="true">RAND()</f>
        <v>0.44168852688519</v>
      </c>
      <c r="U444" s="54" t="n">
        <f aca="true">RAND()</f>
        <v>0.299930660023946</v>
      </c>
    </row>
    <row r="445" customFormat="false" ht="15" hidden="false" customHeight="false" outlineLevel="0" collapsed="false">
      <c r="A445" s="50" t="n">
        <v>365</v>
      </c>
      <c r="B445" s="51" t="n">
        <f aca="false">1+IF($G$6=$E$6,$F$6,IF(P445&lt;($F$6-$E$6)/($G$6-$E$6),$E$6+SQRT(P445*($G$6-$E$6)*($F$6-$E$6)),$G$6-SQRT((1-P445)*($G$6-$E$6)*($G$6-$F$6))))</f>
        <v>0.987147777814278</v>
      </c>
      <c r="C445" s="51" t="n">
        <f aca="false">1+IF($G$7=$E$7,$F$7,IF(Q445&lt;($F$7-$E$7)/($G$7-$E$7),$E$7+SQRT(Q445*($G$7-$E$7)*($F$7-$E$7)),$G$7-SQRT((1-Q445)*($G$7-$E$7)*($G$7-$F$7))))</f>
        <v>0.908469276551722</v>
      </c>
      <c r="D445" s="51" t="n">
        <f aca="false">1+IF($G$8=$E$8,$F$8,IF(R445&lt;($F$8-$E$8)/($G$8-$E$8),$E$8+SQRT(R445*($G$8-$E$8)*($F$8-$E$8)),$G$8-SQRT((1-R445)*($G$8-$E$8)*($G$8-$F$8))))</f>
        <v>1.0248947139353</v>
      </c>
      <c r="E445" s="51" t="n">
        <f aca="false">1+IF($G$9=$E$9,$F$9,IF(S445&lt;($F$9-$E$9)/($G$9-$E$9),$E$9+SQRT(S445*($G$9-$E$9)*($F$9-$E$9)),$G$9-SQRT((1-S445)*($G$9-$E$9)*($G$9-$F$9))))</f>
        <v>1.10631894225151</v>
      </c>
      <c r="F445" s="51" t="n">
        <f aca="false">1+IF($G$10=$E$10,$F$10,IF(T445&lt;($F$10-$E$10)/($G$10-$E$10),$E$10+SQRT(T445*($G$10-$E$10)*($F$10-$E$10)),$G$10-SQRT((1-T445)*($G$10-$E$10)*($G$10-$F$10))))</f>
        <v>1.01531513477444</v>
      </c>
      <c r="G445" s="52" t="n">
        <f aca="false">IF($G$11=$E$11,$F$11,IF(U445&lt;($F$11-$E$11)/($G$11-$E$11),$E$11+SQRT(U445*($G$11-$E$11)*($F$11-$E$11)),$G$11-SQRT((1-U445)*($G$11-$E$11)*($G$11-$F$11))))</f>
        <v>0.103517257078852</v>
      </c>
      <c r="H445" s="53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-2030630269.54887</v>
      </c>
      <c r="I445" s="53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-47442669.1896737</v>
      </c>
      <c r="J445" s="53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210454499.971001</v>
      </c>
      <c r="K445" s="53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519117425.870399</v>
      </c>
      <c r="L445" s="53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636076329.780451</v>
      </c>
      <c r="M445" s="53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806538824.491165</v>
      </c>
      <c r="N445" s="53" t="n">
        <f aca="false">IF(COUNT('Business Case'!B11:G11)=0,"",H445+NPV(G445,I445:M445))</f>
        <v>-592693912.050363</v>
      </c>
      <c r="P445" s="54" t="n">
        <f aca="true">RAND()</f>
        <v>0.506315678531122</v>
      </c>
      <c r="Q445" s="54" t="n">
        <f aca="true">RAND()</f>
        <v>0.321921772340729</v>
      </c>
      <c r="R445" s="54" t="n">
        <f aca="true">RAND()</f>
        <v>0.623946400342599</v>
      </c>
      <c r="S445" s="54" t="n">
        <f aca="true">RAND()</f>
        <v>0.949119071839287</v>
      </c>
      <c r="T445" s="54" t="n">
        <f aca="true">RAND()</f>
        <v>0.265640187120779</v>
      </c>
      <c r="U445" s="54" t="n">
        <f aca="true">RAND()</f>
        <v>0.532442884914922</v>
      </c>
    </row>
    <row r="446" customFormat="false" ht="15" hidden="false" customHeight="false" outlineLevel="0" collapsed="false">
      <c r="A446" s="50" t="n">
        <v>366</v>
      </c>
      <c r="B446" s="51" t="n">
        <f aca="false">1+IF($G$6=$E$6,$F$6,IF(P446&lt;($F$6-$E$6)/($G$6-$E$6),$E$6+SQRT(P446*($G$6-$E$6)*($F$6-$E$6)),$G$6-SQRT((1-P446)*($G$6-$E$6)*($G$6-$F$6))))</f>
        <v>0.966872462929461</v>
      </c>
      <c r="C446" s="51" t="n">
        <f aca="false">1+IF($G$7=$E$7,$F$7,IF(Q446&lt;($F$7-$E$7)/($G$7-$E$7),$E$7+SQRT(Q446*($G$7-$E$7)*($F$7-$E$7)),$G$7-SQRT((1-Q446)*($G$7-$E$7)*($G$7-$F$7))))</f>
        <v>1.04218217249859</v>
      </c>
      <c r="D446" s="51" t="n">
        <f aca="false">1+IF($G$8=$E$8,$F$8,IF(R446&lt;($F$8-$E$8)/($G$8-$E$8),$E$8+SQRT(R446*($G$8-$E$8)*($F$8-$E$8)),$G$8-SQRT((1-R446)*($G$8-$E$8)*($G$8-$F$8))))</f>
        <v>1.06284878604173</v>
      </c>
      <c r="E446" s="51" t="n">
        <f aca="false">1+IF($G$9=$E$9,$F$9,IF(S446&lt;($F$9-$E$9)/($G$9-$E$9),$E$9+SQRT(S446*($G$9-$E$9)*($F$9-$E$9)),$G$9-SQRT((1-S446)*($G$9-$E$9)*($G$9-$F$9))))</f>
        <v>1.06847006196572</v>
      </c>
      <c r="F446" s="51" t="n">
        <f aca="false">1+IF($G$10=$E$10,$F$10,IF(T446&lt;($F$10-$E$10)/($G$10-$E$10),$E$10+SQRT(T446*($G$10-$E$10)*($F$10-$E$10)),$G$10-SQRT((1-T446)*($G$10-$E$10)*($G$10-$F$10))))</f>
        <v>0.9966942363119</v>
      </c>
      <c r="G446" s="52" t="n">
        <f aca="false">IF($G$11=$E$11,$F$11,IF(U446&lt;($F$11-$E$11)/($G$11-$E$11),$E$11+SQRT(U446*($G$11-$E$11)*($F$11-$E$11)),$G$11-SQRT((1-U446)*($G$11-$E$11)*($G$11-$F$11))))</f>
        <v>0.117946662021646</v>
      </c>
      <c r="H446" s="53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-1993388472.6238</v>
      </c>
      <c r="I446" s="53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-45543582.4115654</v>
      </c>
      <c r="J446" s="53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212755653.145688</v>
      </c>
      <c r="K446" s="53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520889600.518537</v>
      </c>
      <c r="L446" s="53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641813980.055024</v>
      </c>
      <c r="M446" s="53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833349468.984069</v>
      </c>
      <c r="N446" s="53" t="n">
        <f aca="false">IF(COUNT('Business Case'!B11:G11)=0,"",H446+NPV(G446,I446:M446))</f>
        <v>-602977629.166435</v>
      </c>
      <c r="P446" s="54" t="n">
        <f aca="true">RAND()</f>
        <v>0.298128419883477</v>
      </c>
      <c r="Q446" s="54" t="n">
        <f aca="true">RAND()</f>
        <v>0.827782460338917</v>
      </c>
      <c r="R446" s="54" t="n">
        <f aca="true">RAND()</f>
        <v>0.907985820095136</v>
      </c>
      <c r="S446" s="54" t="n">
        <f aca="true">RAND()</f>
        <v>0.822743178776727</v>
      </c>
      <c r="T446" s="54" t="n">
        <f aca="true">RAND()</f>
        <v>0.145356780316768</v>
      </c>
      <c r="U446" s="54" t="n">
        <f aca="true">RAND()</f>
        <v>0.90314469571972</v>
      </c>
    </row>
    <row r="447" customFormat="false" ht="15" hidden="false" customHeight="false" outlineLevel="0" collapsed="false">
      <c r="A447" s="50" t="n">
        <v>367</v>
      </c>
      <c r="B447" s="51" t="n">
        <f aca="false">1+IF($G$6=$E$6,$F$6,IF(P447&lt;($F$6-$E$6)/($G$6-$E$6),$E$6+SQRT(P447*($G$6-$E$6)*($F$6-$E$6)),$G$6-SQRT((1-P447)*($G$6-$E$6)*($G$6-$F$6))))</f>
        <v>0.953716461999037</v>
      </c>
      <c r="C447" s="51" t="n">
        <f aca="false">1+IF($G$7=$E$7,$F$7,IF(Q447&lt;($F$7-$E$7)/($G$7-$E$7),$E$7+SQRT(Q447*($G$7-$E$7)*($F$7-$E$7)),$G$7-SQRT((1-Q447)*($G$7-$E$7)*($G$7-$F$7))))</f>
        <v>1.09288801132931</v>
      </c>
      <c r="D447" s="51" t="n">
        <f aca="false">1+IF($G$8=$E$8,$F$8,IF(R447&lt;($F$8-$E$8)/($G$8-$E$8),$E$8+SQRT(R447*($G$8-$E$8)*($F$8-$E$8)),$G$8-SQRT((1-R447)*($G$8-$E$8)*($G$8-$F$8))))</f>
        <v>1.01708527885206</v>
      </c>
      <c r="E447" s="51" t="n">
        <f aca="false">1+IF($G$9=$E$9,$F$9,IF(S447&lt;($F$9-$E$9)/($G$9-$E$9),$E$9+SQRT(S447*($G$9-$E$9)*($F$9-$E$9)),$G$9-SQRT((1-S447)*($G$9-$E$9)*($G$9-$F$9))))</f>
        <v>0.97550684007167</v>
      </c>
      <c r="F447" s="51" t="n">
        <f aca="false">1+IF($G$10=$E$10,$F$10,IF(T447&lt;($F$10-$E$10)/($G$10-$E$10),$E$10+SQRT(T447*($G$10-$E$10)*($F$10-$E$10)),$G$10-SQRT((1-T447)*($G$10-$E$10)*($G$10-$F$10))))</f>
        <v>1.12767725157532</v>
      </c>
      <c r="G447" s="52" t="n">
        <f aca="false">IF($G$11=$E$11,$F$11,IF(U447&lt;($F$11-$E$11)/($G$11-$E$11),$E$11+SQRT(U447*($G$11-$E$11)*($F$11-$E$11)),$G$11-SQRT((1-U447)*($G$11-$E$11)*($G$11-$F$11))))</f>
        <v>0.110111641164359</v>
      </c>
      <c r="H447" s="53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-2255354503.15064</v>
      </c>
      <c r="I447" s="53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-20824780.2033898</v>
      </c>
      <c r="J447" s="53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263868343.514299</v>
      </c>
      <c r="K447" s="53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604945329.810754</v>
      </c>
      <c r="L447" s="53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735865108.453555</v>
      </c>
      <c r="M447" s="53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933986497.506526</v>
      </c>
      <c r="N447" s="53" t="n">
        <f aca="false">IF(COUNT('Business Case'!B11:G11)=0,"",H447+NPV(G447,I447:M447))</f>
        <v>-579258866.668074</v>
      </c>
      <c r="P447" s="54" t="n">
        <f aca="true">RAND()</f>
        <v>0.192363885979599</v>
      </c>
      <c r="Q447" s="54" t="n">
        <f aca="true">RAND()</f>
        <v>0.951677344445616</v>
      </c>
      <c r="R447" s="54" t="n">
        <f aca="true">RAND()</f>
        <v>0.541676601130568</v>
      </c>
      <c r="S447" s="54" t="n">
        <f aca="true">RAND()</f>
        <v>0.228051315904347</v>
      </c>
      <c r="T447" s="54" t="n">
        <f aca="true">RAND()</f>
        <v>0.800495269571091</v>
      </c>
      <c r="U447" s="54" t="n">
        <f aca="true">RAND()</f>
        <v>0.736302121883185</v>
      </c>
    </row>
    <row r="448" customFormat="false" ht="15" hidden="false" customHeight="false" outlineLevel="0" collapsed="false">
      <c r="A448" s="50" t="n">
        <v>368</v>
      </c>
      <c r="B448" s="51" t="n">
        <f aca="false">1+IF($G$6=$E$6,$F$6,IF(P448&lt;($F$6-$E$6)/($G$6-$E$6),$E$6+SQRT(P448*($G$6-$E$6)*($F$6-$E$6)),$G$6-SQRT((1-P448)*($G$6-$E$6)*($G$6-$F$6))))</f>
        <v>0.942696505964391</v>
      </c>
      <c r="C448" s="51" t="n">
        <f aca="false">1+IF($G$7=$E$7,$F$7,IF(Q448&lt;($F$7-$E$7)/($G$7-$E$7),$E$7+SQRT(Q448*($G$7-$E$7)*($F$7-$E$7)),$G$7-SQRT((1-Q448)*($G$7-$E$7)*($G$7-$F$7))))</f>
        <v>0.885088672847753</v>
      </c>
      <c r="D448" s="51" t="n">
        <f aca="false">1+IF($G$8=$E$8,$F$8,IF(R448&lt;($F$8-$E$8)/($G$8-$E$8),$E$8+SQRT(R448*($G$8-$E$8)*($F$8-$E$8)),$G$8-SQRT((1-R448)*($G$8-$E$8)*($G$8-$F$8))))</f>
        <v>1.04949683258713</v>
      </c>
      <c r="E448" s="51" t="n">
        <f aca="false">1+IF($G$9=$E$9,$F$9,IF(S448&lt;($F$9-$E$9)/($G$9-$E$9),$E$9+SQRT(S448*($G$9-$E$9)*($F$9-$E$9)),$G$9-SQRT((1-S448)*($G$9-$E$9)*($G$9-$F$9))))</f>
        <v>0.96870029402125</v>
      </c>
      <c r="F448" s="51" t="n">
        <f aca="false">1+IF($G$10=$E$10,$F$10,IF(T448&lt;($F$10-$E$10)/($G$10-$E$10),$E$10+SQRT(T448*($G$10-$E$10)*($F$10-$E$10)),$G$10-SQRT((1-T448)*($G$10-$E$10)*($G$10-$F$10))))</f>
        <v>1.09878427952962</v>
      </c>
      <c r="G448" s="52" t="n">
        <f aca="false">IF($G$11=$E$11,$F$11,IF(U448&lt;($F$11-$E$11)/($G$11-$E$11),$E$11+SQRT(U448*($G$11-$E$11)*($F$11-$E$11)),$G$11-SQRT((1-U448)*($G$11-$E$11)*($G$11-$F$11))))</f>
        <v>0.115598146462169</v>
      </c>
      <c r="H448" s="53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-2197568559.05923</v>
      </c>
      <c r="I448" s="53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-82993587.0521784</v>
      </c>
      <c r="J448" s="53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124894176.425365</v>
      </c>
      <c r="K448" s="53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387721153.879389</v>
      </c>
      <c r="L448" s="53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485852902.216529</v>
      </c>
      <c r="M448" s="53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644449951.695303</v>
      </c>
      <c r="N448" s="53" t="n">
        <f aca="false">IF(COUNT('Business Case'!B11:G11)=0,"",H448+NPV(G448,I448:M448))</f>
        <v>-1205738116.24812</v>
      </c>
      <c r="P448" s="54" t="n">
        <f aca="true">RAND()</f>
        <v>0.121532774771153</v>
      </c>
      <c r="Q448" s="54" t="n">
        <f aca="true">RAND()</f>
        <v>0.253761606048464</v>
      </c>
      <c r="R448" s="54" t="n">
        <f aca="true">RAND()</f>
        <v>0.829962005417821</v>
      </c>
      <c r="S448" s="54" t="n">
        <f aca="true">RAND()</f>
        <v>0.188789215944245</v>
      </c>
      <c r="T448" s="54" t="n">
        <f aca="true">RAND()</f>
        <v>0.695117411768302</v>
      </c>
      <c r="U448" s="54" t="n">
        <f aca="true">RAND()</f>
        <v>0.861724409783233</v>
      </c>
    </row>
    <row r="449" customFormat="false" ht="15" hidden="false" customHeight="false" outlineLevel="0" collapsed="false">
      <c r="A449" s="50" t="n">
        <v>369</v>
      </c>
      <c r="B449" s="51" t="n">
        <f aca="false">1+IF($G$6=$E$6,$F$6,IF(P449&lt;($F$6-$E$6)/($G$6-$E$6),$E$6+SQRT(P449*($G$6-$E$6)*($F$6-$E$6)),$G$6-SQRT((1-P449)*($G$6-$E$6)*($G$6-$F$6))))</f>
        <v>1.02823856904404</v>
      </c>
      <c r="C449" s="51" t="n">
        <f aca="false">1+IF($G$7=$E$7,$F$7,IF(Q449&lt;($F$7-$E$7)/($G$7-$E$7),$E$7+SQRT(Q449*($G$7-$E$7)*($F$7-$E$7)),$G$7-SQRT((1-Q449)*($G$7-$E$7)*($G$7-$F$7))))</f>
        <v>0.932586548798863</v>
      </c>
      <c r="D449" s="51" t="n">
        <f aca="false">1+IF($G$8=$E$8,$F$8,IF(R449&lt;($F$8-$E$8)/($G$8-$E$8),$E$8+SQRT(R449*($G$8-$E$8)*($F$8-$E$8)),$G$8-SQRT((1-R449)*($G$8-$E$8)*($G$8-$F$8))))</f>
        <v>1.01663990548334</v>
      </c>
      <c r="E449" s="51" t="n">
        <f aca="false">1+IF($G$9=$E$9,$F$9,IF(S449&lt;($F$9-$E$9)/($G$9-$E$9),$E$9+SQRT(S449*($G$9-$E$9)*($F$9-$E$9)),$G$9-SQRT((1-S449)*($G$9-$E$9)*($G$9-$F$9))))</f>
        <v>1.05143605917229</v>
      </c>
      <c r="F449" s="51" t="n">
        <f aca="false">1+IF($G$10=$E$10,$F$10,IF(T449&lt;($F$10-$E$10)/($G$10-$E$10),$E$10+SQRT(T449*($G$10-$E$10)*($F$10-$E$10)),$G$10-SQRT((1-T449)*($G$10-$E$10)*($G$10-$F$10))))</f>
        <v>1.05631925015674</v>
      </c>
      <c r="G449" s="52" t="n">
        <f aca="false">IF($G$11=$E$11,$F$11,IF(U449&lt;($F$11-$E$11)/($G$11-$E$11),$E$11+SQRT(U449*($G$11-$E$11)*($F$11-$E$11)),$G$11-SQRT((1-U449)*($G$11-$E$11)*($G$11-$F$11))))</f>
        <v>0.10689354376673</v>
      </c>
      <c r="H449" s="53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-2112638500.31347</v>
      </c>
      <c r="I449" s="53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-4784662.6698259</v>
      </c>
      <c r="J449" s="53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295287295.696196</v>
      </c>
      <c r="K449" s="53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648175216.570054</v>
      </c>
      <c r="L449" s="53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781339528.295978</v>
      </c>
      <c r="M449" s="53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963611319.117519</v>
      </c>
      <c r="N449" s="53" t="n">
        <f aca="false">IF(COUNT('Business Case'!B11:G11)=0,"",H449+NPV(G449,I449:M449))</f>
        <v>-297589756.005351</v>
      </c>
      <c r="P449" s="54" t="n">
        <f aca="true">RAND()</f>
        <v>0.936858683033174</v>
      </c>
      <c r="Q449" s="54" t="n">
        <f aca="true">RAND()</f>
        <v>0.400714834682711</v>
      </c>
      <c r="R449" s="54" t="n">
        <f aca="true">RAND()</f>
        <v>0.536739642811571</v>
      </c>
      <c r="S449" s="54" t="n">
        <f aca="true">RAND()</f>
        <v>0.740937321826965</v>
      </c>
      <c r="T449" s="54" t="n">
        <f aca="true">RAND()</f>
        <v>0.499836895202013</v>
      </c>
      <c r="U449" s="54" t="n">
        <f aca="true">RAND()</f>
        <v>0.644061120226662</v>
      </c>
    </row>
    <row r="450" customFormat="false" ht="15" hidden="false" customHeight="false" outlineLevel="0" collapsed="false">
      <c r="A450" s="50" t="n">
        <v>370</v>
      </c>
      <c r="B450" s="51" t="n">
        <f aca="false">1+IF($G$6=$E$6,$F$6,IF(P450&lt;($F$6-$E$6)/($G$6-$E$6),$E$6+SQRT(P450*($G$6-$E$6)*($F$6-$E$6)),$G$6-SQRT((1-P450)*($G$6-$E$6)*($G$6-$F$6))))</f>
        <v>1.00951320445352</v>
      </c>
      <c r="C450" s="51" t="n">
        <f aca="false">1+IF($G$7=$E$7,$F$7,IF(Q450&lt;($F$7-$E$7)/($G$7-$E$7),$E$7+SQRT(Q450*($G$7-$E$7)*($F$7-$E$7)),$G$7-SQRT((1-Q450)*($G$7-$E$7)*($G$7-$F$7))))</f>
        <v>1.09818374259841</v>
      </c>
      <c r="D450" s="51" t="n">
        <f aca="false">1+IF($G$8=$E$8,$F$8,IF(R450&lt;($F$8-$E$8)/($G$8-$E$8),$E$8+SQRT(R450*($G$8-$E$8)*($F$8-$E$8)),$G$8-SQRT((1-R450)*($G$8-$E$8)*($G$8-$F$8))))</f>
        <v>0.991891693256697</v>
      </c>
      <c r="E450" s="51" t="n">
        <f aca="false">1+IF($G$9=$E$9,$F$9,IF(S450&lt;($F$9-$E$9)/($G$9-$E$9),$E$9+SQRT(S450*($G$9-$E$9)*($F$9-$E$9)),$G$9-SQRT((1-S450)*($G$9-$E$9)*($G$9-$F$9))))</f>
        <v>0.964358608544851</v>
      </c>
      <c r="F450" s="51" t="n">
        <f aca="false">1+IF($G$10=$E$10,$F$10,IF(T450&lt;($F$10-$E$10)/($G$10-$E$10),$E$10+SQRT(T450*($G$10-$E$10)*($F$10-$E$10)),$G$10-SQRT((1-T450)*($G$10-$E$10)*($G$10-$F$10))))</f>
        <v>0.987026275510117</v>
      </c>
      <c r="G450" s="52" t="n">
        <f aca="false">IF($G$11=$E$11,$F$11,IF(U450&lt;($F$11-$E$11)/($G$11-$E$11),$E$11+SQRT(U450*($G$11-$E$11)*($F$11-$E$11)),$G$11-SQRT((1-U450)*($G$11-$E$11)*($G$11-$F$11))))</f>
        <v>0.0996571305864395</v>
      </c>
      <c r="H450" s="53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-1974052551.02023</v>
      </c>
      <c r="I450" s="53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57118873.7061762</v>
      </c>
      <c r="J450" s="53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407543599.571793</v>
      </c>
      <c r="K450" s="53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807319639.212916</v>
      </c>
      <c r="L450" s="53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962442168.150356</v>
      </c>
      <c r="M450" s="53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1173170746.55264</v>
      </c>
      <c r="N450" s="53" t="n">
        <f aca="false">IF(COUNT('Business Case'!B11:G11)=0,"",H450+NPV(G450,I450:M450))</f>
        <v>409795843.212634</v>
      </c>
      <c r="P450" s="54" t="n">
        <f aca="true">RAND()</f>
        <v>0.781442584850319</v>
      </c>
      <c r="Q450" s="54" t="n">
        <f aca="true">RAND()</f>
        <v>0.960223340279885</v>
      </c>
      <c r="R450" s="54" t="n">
        <f aca="true">RAND()</f>
        <v>0.233988528521757</v>
      </c>
      <c r="S450" s="54" t="n">
        <f aca="true">RAND()</f>
        <v>0.165681219753175</v>
      </c>
      <c r="T450" s="54" t="n">
        <f aca="true">RAND()</f>
        <v>0.0913963385434074</v>
      </c>
      <c r="U450" s="54" t="n">
        <f aca="true">RAND()</f>
        <v>0.386402782892334</v>
      </c>
    </row>
    <row r="451" customFormat="false" ht="15" hidden="false" customHeight="false" outlineLevel="0" collapsed="false">
      <c r="A451" s="50" t="n">
        <v>371</v>
      </c>
      <c r="B451" s="51" t="n">
        <f aca="false">1+IF($G$6=$E$6,$F$6,IF(P451&lt;($F$6-$E$6)/($G$6-$E$6),$E$6+SQRT(P451*($G$6-$E$6)*($F$6-$E$6)),$G$6-SQRT((1-P451)*($G$6-$E$6)*($G$6-$F$6))))</f>
        <v>1.03060907647195</v>
      </c>
      <c r="C451" s="51" t="n">
        <f aca="false">1+IF($G$7=$E$7,$F$7,IF(Q451&lt;($F$7-$E$7)/($G$7-$E$7),$E$7+SQRT(Q451*($G$7-$E$7)*($F$7-$E$7)),$G$7-SQRT((1-Q451)*($G$7-$E$7)*($G$7-$F$7))))</f>
        <v>0.925874305469069</v>
      </c>
      <c r="D451" s="51" t="n">
        <f aca="false">1+IF($G$8=$E$8,$F$8,IF(R451&lt;($F$8-$E$8)/($G$8-$E$8),$E$8+SQRT(R451*($G$8-$E$8)*($F$8-$E$8)),$G$8-SQRT((1-R451)*($G$8-$E$8)*($G$8-$F$8))))</f>
        <v>1.06527741482819</v>
      </c>
      <c r="E451" s="51" t="n">
        <f aca="false">1+IF($G$9=$E$9,$F$9,IF(S451&lt;($F$9-$E$9)/($G$9-$E$9),$E$9+SQRT(S451*($G$9-$E$9)*($F$9-$E$9)),$G$9-SQRT((1-S451)*($G$9-$E$9)*($G$9-$F$9))))</f>
        <v>1.07798411062221</v>
      </c>
      <c r="F451" s="51" t="n">
        <f aca="false">1+IF($G$10=$E$10,$F$10,IF(T451&lt;($F$10-$E$10)/($G$10-$E$10),$E$10+SQRT(T451*($G$10-$E$10)*($F$10-$E$10)),$G$10-SQRT((1-T451)*($G$10-$E$10)*($G$10-$F$10))))</f>
        <v>1.0296035252358</v>
      </c>
      <c r="G451" s="52" t="n">
        <f aca="false">IF($G$11=$E$11,$F$11,IF(U451&lt;($F$11-$E$11)/($G$11-$E$11),$E$11+SQRT(U451*($G$11-$E$11)*($F$11-$E$11)),$G$11-SQRT((1-U451)*($G$11-$E$11)*($G$11-$F$11))))</f>
        <v>0.109473168033706</v>
      </c>
      <c r="H451" s="53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-2059207050.4716</v>
      </c>
      <c r="I451" s="53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-29059166.3561919</v>
      </c>
      <c r="J451" s="53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247597838.097819</v>
      </c>
      <c r="K451" s="53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575735018.813619</v>
      </c>
      <c r="L451" s="53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700931672.135719</v>
      </c>
      <c r="M451" s="53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882308757.241582</v>
      </c>
      <c r="N451" s="53" t="n">
        <f aca="false">IF(COUNT('Business Case'!B11:G11)=0,"",H451+NPV(G451,I451:M451))</f>
        <v>-475224911.738468</v>
      </c>
      <c r="P451" s="54" t="n">
        <f aca="true">RAND()</f>
        <v>0.949865611297255</v>
      </c>
      <c r="Q451" s="54" t="n">
        <f aca="true">RAND()</f>
        <v>0.377920013860254</v>
      </c>
      <c r="R451" s="54" t="n">
        <f aca="true">RAND()</f>
        <v>0.919622805265744</v>
      </c>
      <c r="S451" s="54" t="n">
        <f aca="true">RAND()</f>
        <v>0.861698978056685</v>
      </c>
      <c r="T451" s="54" t="n">
        <f aca="true">RAND()</f>
        <v>0.352338585486853</v>
      </c>
      <c r="U451" s="54" t="n">
        <f aca="true">RAND()</f>
        <v>0.719099446285008</v>
      </c>
    </row>
    <row r="452" customFormat="false" ht="15" hidden="false" customHeight="false" outlineLevel="0" collapsed="false">
      <c r="A452" s="50" t="n">
        <v>372</v>
      </c>
      <c r="B452" s="51" t="n">
        <f aca="false">1+IF($G$6=$E$6,$F$6,IF(P452&lt;($F$6-$E$6)/($G$6-$E$6),$E$6+SQRT(P452*($G$6-$E$6)*($F$6-$E$6)),$G$6-SQRT((1-P452)*($G$6-$E$6)*($G$6-$F$6))))</f>
        <v>1.0003740309805</v>
      </c>
      <c r="C452" s="51" t="n">
        <f aca="false">1+IF($G$7=$E$7,$F$7,IF(Q452&lt;($F$7-$E$7)/($G$7-$E$7),$E$7+SQRT(Q452*($G$7-$E$7)*($F$7-$E$7)),$G$7-SQRT((1-Q452)*($G$7-$E$7)*($G$7-$F$7))))</f>
        <v>0.983480389417087</v>
      </c>
      <c r="D452" s="51" t="n">
        <f aca="false">1+IF($G$8=$E$8,$F$8,IF(R452&lt;($F$8-$E$8)/($G$8-$E$8),$E$8+SQRT(R452*($G$8-$E$8)*($F$8-$E$8)),$G$8-SQRT((1-R452)*($G$8-$E$8)*($G$8-$F$8))))</f>
        <v>0.983232602461077</v>
      </c>
      <c r="E452" s="51" t="n">
        <f aca="false">1+IF($G$9=$E$9,$F$9,IF(S452&lt;($F$9-$E$9)/($G$9-$E$9),$E$9+SQRT(S452*($G$9-$E$9)*($F$9-$E$9)),$G$9-SQRT((1-S452)*($G$9-$E$9)*($G$9-$F$9))))</f>
        <v>0.995312818294804</v>
      </c>
      <c r="F452" s="51" t="n">
        <f aca="false">1+IF($G$10=$E$10,$F$10,IF(T452&lt;($F$10-$E$10)/($G$10-$E$10),$E$10+SQRT(T452*($G$10-$E$10)*($F$10-$E$10)),$G$10-SQRT((1-T452)*($G$10-$E$10)*($G$10-$F$10))))</f>
        <v>1.17852423822283</v>
      </c>
      <c r="G452" s="52" t="n">
        <f aca="false">IF($G$11=$E$11,$F$11,IF(U452&lt;($F$11-$E$11)/($G$11-$E$11),$E$11+SQRT(U452*($G$11-$E$11)*($F$11-$E$11)),$G$11-SQRT((1-U452)*($G$11-$E$11)*($G$11-$F$11))))</f>
        <v>0.11065929813054</v>
      </c>
      <c r="H452" s="53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-2357048476.44567</v>
      </c>
      <c r="I452" s="53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432435.505745724</v>
      </c>
      <c r="J452" s="53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311253470.437323</v>
      </c>
      <c r="K452" s="53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681000717.280043</v>
      </c>
      <c r="L452" s="53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818609524.151919</v>
      </c>
      <c r="M452" s="53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1005619397.90602</v>
      </c>
      <c r="N452" s="53" t="n">
        <f aca="false">IF(COUNT('Business Case'!B11:G11)=0,"",H452+NPV(G452,I452:M452))</f>
        <v>-474301854.81827</v>
      </c>
      <c r="P452" s="54" t="n">
        <f aca="true">RAND()</f>
        <v>0.671635093183475</v>
      </c>
      <c r="Q452" s="54" t="n">
        <f aca="true">RAND()</f>
        <v>0.595267638400468</v>
      </c>
      <c r="R452" s="54" t="n">
        <f aca="true">RAND()</f>
        <v>0.147254115511468</v>
      </c>
      <c r="S452" s="54" t="n">
        <f aca="true">RAND()</f>
        <v>0.363381333251934</v>
      </c>
      <c r="T452" s="54" t="n">
        <f aca="true">RAND()</f>
        <v>0.931882873044986</v>
      </c>
      <c r="U452" s="54" t="n">
        <f aca="true">RAND()</f>
        <v>0.750624834131123</v>
      </c>
    </row>
    <row r="453" customFormat="false" ht="15" hidden="false" customHeight="false" outlineLevel="0" collapsed="false">
      <c r="A453" s="50" t="n">
        <v>373</v>
      </c>
      <c r="B453" s="51" t="n">
        <f aca="false">1+IF($G$6=$E$6,$F$6,IF(P453&lt;($F$6-$E$6)/($G$6-$E$6),$E$6+SQRT(P453*($G$6-$E$6)*($F$6-$E$6)),$G$6-SQRT((1-P453)*($G$6-$E$6)*($G$6-$F$6))))</f>
        <v>0.967700028798232</v>
      </c>
      <c r="C453" s="51" t="n">
        <f aca="false">1+IF($G$7=$E$7,$F$7,IF(Q453&lt;($F$7-$E$7)/($G$7-$E$7),$E$7+SQRT(Q453*($G$7-$E$7)*($F$7-$E$7)),$G$7-SQRT((1-Q453)*($G$7-$E$7)*($G$7-$F$7))))</f>
        <v>0.934984078815822</v>
      </c>
      <c r="D453" s="51" t="n">
        <f aca="false">1+IF($G$8=$E$8,$F$8,IF(R453&lt;($F$8-$E$8)/($G$8-$E$8),$E$8+SQRT(R453*($G$8-$E$8)*($F$8-$E$8)),$G$8-SQRT((1-R453)*($G$8-$E$8)*($G$8-$F$8))))</f>
        <v>0.987746972981207</v>
      </c>
      <c r="E453" s="51" t="n">
        <f aca="false">1+IF($G$9=$E$9,$F$9,IF(S453&lt;($F$9-$E$9)/($G$9-$E$9),$E$9+SQRT(S453*($G$9-$E$9)*($F$9-$E$9)),$G$9-SQRT((1-S453)*($G$9-$E$9)*($G$9-$F$9))))</f>
        <v>1.06999664544943</v>
      </c>
      <c r="F453" s="51" t="n">
        <f aca="false">1+IF($G$10=$E$10,$F$10,IF(T453&lt;($F$10-$E$10)/($G$10-$E$10),$E$10+SQRT(T453*($G$10-$E$10)*($F$10-$E$10)),$G$10-SQRT((1-T453)*($G$10-$E$10)*($G$10-$F$10))))</f>
        <v>1.04676096612156</v>
      </c>
      <c r="G453" s="52" t="n">
        <f aca="false">IF($G$11=$E$11,$F$11,IF(U453&lt;($F$11-$E$11)/($G$11-$E$11),$E$11+SQRT(U453*($G$11-$E$11)*($F$11-$E$11)),$G$11-SQRT((1-U453)*($G$11-$E$11)*($G$11-$F$11))))</f>
        <v>0.105743365286682</v>
      </c>
      <c r="H453" s="53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-2093521932.24311</v>
      </c>
      <c r="I453" s="53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-35422586.56844</v>
      </c>
      <c r="J453" s="53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232888455.238775</v>
      </c>
      <c r="K453" s="53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553537545.352068</v>
      </c>
      <c r="L453" s="53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674243898.474867</v>
      </c>
      <c r="M453" s="53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846225264.003699</v>
      </c>
      <c r="N453" s="53" t="n">
        <f aca="false">IF(COUNT('Business Case'!B11:G11)=0,"",H453+NPV(G453,I453:M453))</f>
        <v>-562688949.24574</v>
      </c>
      <c r="P453" s="54" t="n">
        <f aca="true">RAND()</f>
        <v>0.305552926618766</v>
      </c>
      <c r="Q453" s="54" t="n">
        <f aca="true">RAND()</f>
        <v>0.409018646643856</v>
      </c>
      <c r="R453" s="54" t="n">
        <f aca="true">RAND()</f>
        <v>0.189977862565863</v>
      </c>
      <c r="S453" s="54" t="n">
        <f aca="true">RAND()</f>
        <v>0.829319020284155</v>
      </c>
      <c r="T453" s="54" t="n">
        <f aca="true">RAND()</f>
        <v>0.449251934775417</v>
      </c>
      <c r="U453" s="54" t="n">
        <f aca="true">RAND()</f>
        <v>0.607743781589764</v>
      </c>
    </row>
    <row r="454" customFormat="false" ht="15" hidden="false" customHeight="false" outlineLevel="0" collapsed="false">
      <c r="A454" s="50" t="n">
        <v>374</v>
      </c>
      <c r="B454" s="51" t="n">
        <f aca="false">1+IF($G$6=$E$6,$F$6,IF(P454&lt;($F$6-$E$6)/($G$6-$E$6),$E$6+SQRT(P454*($G$6-$E$6)*($F$6-$E$6)),$G$6-SQRT((1-P454)*($G$6-$E$6)*($G$6-$F$6))))</f>
        <v>0.995244465199894</v>
      </c>
      <c r="C454" s="51" t="n">
        <f aca="false">1+IF($G$7=$E$7,$F$7,IF(Q454&lt;($F$7-$E$7)/($G$7-$E$7),$E$7+SQRT(Q454*($G$7-$E$7)*($F$7-$E$7)),$G$7-SQRT((1-Q454)*($G$7-$E$7)*($G$7-$F$7))))</f>
        <v>1.10932406568719</v>
      </c>
      <c r="D454" s="51" t="n">
        <f aca="false">1+IF($G$8=$E$8,$F$8,IF(R454&lt;($F$8-$E$8)/($G$8-$E$8),$E$8+SQRT(R454*($G$8-$E$8)*($F$8-$E$8)),$G$8-SQRT((1-R454)*($G$8-$E$8)*($G$8-$F$8))))</f>
        <v>1.07737668810547</v>
      </c>
      <c r="E454" s="51" t="n">
        <f aca="false">1+IF($G$9=$E$9,$F$9,IF(S454&lt;($F$9-$E$9)/($G$9-$E$9),$E$9+SQRT(S454*($G$9-$E$9)*($F$9-$E$9)),$G$9-SQRT((1-S454)*($G$9-$E$9)*($G$9-$F$9))))</f>
        <v>1.04642518630949</v>
      </c>
      <c r="F454" s="51" t="n">
        <f aca="false">1+IF($G$10=$E$10,$F$10,IF(T454&lt;($F$10-$E$10)/($G$10-$E$10),$E$10+SQRT(T454*($G$10-$E$10)*($F$10-$E$10)),$G$10-SQRT((1-T454)*($G$10-$E$10)*($G$10-$F$10))))</f>
        <v>1.08117152014649</v>
      </c>
      <c r="G454" s="52" t="n">
        <f aca="false">IF($G$11=$E$11,$F$11,IF(U454&lt;($F$11-$E$11)/($G$11-$E$11),$E$11+SQRT(U454*($G$11-$E$11)*($F$11-$E$11)),$G$11-SQRT((1-U454)*($G$11-$E$11)*($G$11-$F$11))))</f>
        <v>0.105050154806867</v>
      </c>
      <c r="H454" s="53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-2162343040.29298</v>
      </c>
      <c r="I454" s="53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-21683619.8646826</v>
      </c>
      <c r="J454" s="53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270785455.094042</v>
      </c>
      <c r="K454" s="53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617313106.060091</v>
      </c>
      <c r="L454" s="53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752958718.590033</v>
      </c>
      <c r="M454" s="53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962816283.413713</v>
      </c>
      <c r="N454" s="53" t="n">
        <f aca="false">IF(COUNT('Business Case'!B11:G11)=0,"",H454+NPV(G454,I454:M454))</f>
        <v>-413509002.928281</v>
      </c>
      <c r="P454" s="54" t="n">
        <f aca="true">RAND()</f>
        <v>0.604767210080924</v>
      </c>
      <c r="Q454" s="54" t="n">
        <f aca="true">RAND()</f>
        <v>0.975488420263406</v>
      </c>
      <c r="R454" s="54" t="n">
        <f aca="true">RAND()</f>
        <v>0.96587905059485</v>
      </c>
      <c r="S454" s="54" t="n">
        <f aca="true">RAND()</f>
        <v>0.713926879172688</v>
      </c>
      <c r="T454" s="54" t="n">
        <f aca="true">RAND()</f>
        <v>0.619959258538038</v>
      </c>
      <c r="U454" s="54" t="n">
        <f aca="true">RAND()</f>
        <v>0.585003483225808</v>
      </c>
    </row>
    <row r="455" customFormat="false" ht="15" hidden="false" customHeight="false" outlineLevel="0" collapsed="false">
      <c r="A455" s="50" t="n">
        <v>375</v>
      </c>
      <c r="B455" s="51" t="n">
        <f aca="false">1+IF($G$6=$E$6,$F$6,IF(P455&lt;($F$6-$E$6)/($G$6-$E$6),$E$6+SQRT(P455*($G$6-$E$6)*($F$6-$E$6)),$G$6-SQRT((1-P455)*($G$6-$E$6)*($G$6-$F$6))))</f>
        <v>0.989868466291102</v>
      </c>
      <c r="C455" s="51" t="n">
        <f aca="false">1+IF($G$7=$E$7,$F$7,IF(Q455&lt;($F$7-$E$7)/($G$7-$E$7),$E$7+SQRT(Q455*($G$7-$E$7)*($F$7-$E$7)),$G$7-SQRT((1-Q455)*($G$7-$E$7)*($G$7-$F$7))))</f>
        <v>0.920403750943433</v>
      </c>
      <c r="D455" s="51" t="n">
        <f aca="false">1+IF($G$8=$E$8,$F$8,IF(R455&lt;($F$8-$E$8)/($G$8-$E$8),$E$8+SQRT(R455*($G$8-$E$8)*($F$8-$E$8)),$G$8-SQRT((1-R455)*($G$8-$E$8)*($G$8-$F$8))))</f>
        <v>1.00542734878202</v>
      </c>
      <c r="E455" s="51" t="n">
        <f aca="false">1+IF($G$9=$E$9,$F$9,IF(S455&lt;($F$9-$E$9)/($G$9-$E$9),$E$9+SQRT(S455*($G$9-$E$9)*($F$9-$E$9)),$G$9-SQRT((1-S455)*($G$9-$E$9)*($G$9-$F$9))))</f>
        <v>1.00981063325093</v>
      </c>
      <c r="F455" s="51" t="n">
        <f aca="false">1+IF($G$10=$E$10,$F$10,IF(T455&lt;($F$10-$E$10)/($G$10-$E$10),$E$10+SQRT(T455*($G$10-$E$10)*($F$10-$E$10)),$G$10-SQRT((1-T455)*($G$10-$E$10)*($G$10-$F$10))))</f>
        <v>1.01593852100807</v>
      </c>
      <c r="G455" s="52" t="n">
        <f aca="false">IF($G$11=$E$11,$F$11,IF(U455&lt;($F$11-$E$11)/($G$11-$E$11),$E$11+SQRT(U455*($G$11-$E$11)*($F$11-$E$11)),$G$11-SQRT((1-U455)*($G$11-$E$11)*($G$11-$F$11))))</f>
        <v>0.106160810950338</v>
      </c>
      <c r="H455" s="53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-2031877042.01614</v>
      </c>
      <c r="I455" s="53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-19910538.7471129</v>
      </c>
      <c r="J455" s="53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252598163.83535</v>
      </c>
      <c r="K455" s="53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575903792.468216</v>
      </c>
      <c r="L455" s="53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698226904.782695</v>
      </c>
      <c r="M455" s="53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871404734.444482</v>
      </c>
      <c r="N455" s="53" t="n">
        <f aca="false">IF(COUNT('Business Case'!B11:G11)=0,"",H455+NPV(G455,I455:M455))</f>
        <v>-425405760.511126</v>
      </c>
      <c r="P455" s="54" t="n">
        <f aca="true">RAND()</f>
        <v>0.538422748900999</v>
      </c>
      <c r="Q455" s="54" t="n">
        <f aca="true">RAND()</f>
        <v>0.359835655036553</v>
      </c>
      <c r="R455" s="54" t="n">
        <f aca="true">RAND()</f>
        <v>0.403734242773544</v>
      </c>
      <c r="S455" s="54" t="n">
        <f aca="true">RAND()</f>
        <v>0.475918438679826</v>
      </c>
      <c r="T455" s="54" t="n">
        <f aca="true">RAND()</f>
        <v>0.269536320694799</v>
      </c>
      <c r="U455" s="54" t="n">
        <f aca="true">RAND()</f>
        <v>0.621128710302982</v>
      </c>
    </row>
    <row r="456" customFormat="false" ht="15" hidden="false" customHeight="false" outlineLevel="0" collapsed="false">
      <c r="A456" s="50" t="n">
        <v>376</v>
      </c>
      <c r="B456" s="51" t="n">
        <f aca="false">1+IF($G$6=$E$6,$F$6,IF(P456&lt;($F$6-$E$6)/($G$6-$E$6),$E$6+SQRT(P456*($G$6-$E$6)*($F$6-$E$6)),$G$6-SQRT((1-P456)*($G$6-$E$6)*($G$6-$F$6))))</f>
        <v>1.0186310224156</v>
      </c>
      <c r="C456" s="51" t="n">
        <f aca="false">1+IF($G$7=$E$7,$F$7,IF(Q456&lt;($F$7-$E$7)/($G$7-$E$7),$E$7+SQRT(Q456*($G$7-$E$7)*($F$7-$E$7)),$G$7-SQRT((1-Q456)*($G$7-$E$7)*($G$7-$F$7))))</f>
        <v>0.891909865724634</v>
      </c>
      <c r="D456" s="51" t="n">
        <f aca="false">1+IF($G$8=$E$8,$F$8,IF(R456&lt;($F$8-$E$8)/($G$8-$E$8),$E$8+SQRT(R456*($G$8-$E$8)*($F$8-$E$8)),$G$8-SQRT((1-R456)*($G$8-$E$8)*($G$8-$F$8))))</f>
        <v>0.999308472589032</v>
      </c>
      <c r="E456" s="51" t="n">
        <f aca="false">1+IF($G$9=$E$9,$F$9,IF(S456&lt;($F$9-$E$9)/($G$9-$E$9),$E$9+SQRT(S456*($G$9-$E$9)*($F$9-$E$9)),$G$9-SQRT((1-S456)*($G$9-$E$9)*($G$9-$F$9))))</f>
        <v>0.995266388752206</v>
      </c>
      <c r="F456" s="51" t="n">
        <f aca="false">1+IF($G$10=$E$10,$F$10,IF(T456&lt;($F$10-$E$10)/($G$10-$E$10),$E$10+SQRT(T456*($G$10-$E$10)*($F$10-$E$10)),$G$10-SQRT((1-T456)*($G$10-$E$10)*($G$10-$F$10))))</f>
        <v>1.10873210608879</v>
      </c>
      <c r="G456" s="52" t="n">
        <f aca="false">IF($G$11=$E$11,$F$11,IF(U456&lt;($F$11-$E$11)/($G$11-$E$11),$E$11+SQRT(U456*($G$11-$E$11)*($F$11-$E$11)),$G$11-SQRT((1-U456)*($G$11-$E$11)*($G$11-$F$11))))</f>
        <v>0.0952563611991666</v>
      </c>
      <c r="H456" s="53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-2217464212.17758</v>
      </c>
      <c r="I456" s="53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-11619815.3820084</v>
      </c>
      <c r="J456" s="53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276258503.034211</v>
      </c>
      <c r="K456" s="53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619573426.754871</v>
      </c>
      <c r="L456" s="53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746931561.366135</v>
      </c>
      <c r="M456" s="53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919624384.631681</v>
      </c>
      <c r="N456" s="53" t="n">
        <f aca="false">IF(COUNT('Business Case'!B11:G11)=0,"",H456+NPV(G456,I456:M456))</f>
        <v>-423661824.024457</v>
      </c>
      <c r="P456" s="54" t="n">
        <f aca="true">RAND()</f>
        <v>0.868798299374601</v>
      </c>
      <c r="Q456" s="54" t="n">
        <f aca="true">RAND()</f>
        <v>0.272810344907014</v>
      </c>
      <c r="R456" s="54" t="n">
        <f aca="true">RAND()</f>
        <v>0.324176729208445</v>
      </c>
      <c r="S456" s="54" t="n">
        <f aca="true">RAND()</f>
        <v>0.363027393035456</v>
      </c>
      <c r="T456" s="54" t="n">
        <f aca="true">RAND()</f>
        <v>0.733911761998552</v>
      </c>
      <c r="U456" s="54" t="n">
        <f aca="true">RAND()</f>
        <v>0.232756557039435</v>
      </c>
    </row>
    <row r="457" customFormat="false" ht="15" hidden="false" customHeight="false" outlineLevel="0" collapsed="false">
      <c r="A457" s="50" t="n">
        <v>377</v>
      </c>
      <c r="B457" s="51" t="n">
        <f aca="false">1+IF($G$6=$E$6,$F$6,IF(P457&lt;($F$6-$E$6)/($G$6-$E$6),$E$6+SQRT(P457*($G$6-$E$6)*($F$6-$E$6)),$G$6-SQRT((1-P457)*($G$6-$E$6)*($G$6-$F$6))))</f>
        <v>0.959810088115022</v>
      </c>
      <c r="C457" s="51" t="n">
        <f aca="false">1+IF($G$7=$E$7,$F$7,IF(Q457&lt;($F$7-$E$7)/($G$7-$E$7),$E$7+SQRT(Q457*($G$7-$E$7)*($F$7-$E$7)),$G$7-SQRT((1-Q457)*($G$7-$E$7)*($G$7-$F$7))))</f>
        <v>1.05847985549847</v>
      </c>
      <c r="D457" s="51" t="n">
        <f aca="false">1+IF($G$8=$E$8,$F$8,IF(R457&lt;($F$8-$E$8)/($G$8-$E$8),$E$8+SQRT(R457*($G$8-$E$8)*($F$8-$E$8)),$G$8-SQRT((1-R457)*($G$8-$E$8)*($G$8-$F$8))))</f>
        <v>1.05388919195241</v>
      </c>
      <c r="E457" s="51" t="n">
        <f aca="false">1+IF($G$9=$E$9,$F$9,IF(S457&lt;($F$9-$E$9)/($G$9-$E$9),$E$9+SQRT(S457*($G$9-$E$9)*($F$9-$E$9)),$G$9-SQRT((1-S457)*($G$9-$E$9)*($G$9-$F$9))))</f>
        <v>1.08347752093885</v>
      </c>
      <c r="F457" s="51" t="n">
        <f aca="false">1+IF($G$10=$E$10,$F$10,IF(T457&lt;($F$10-$E$10)/($G$10-$E$10),$E$10+SQRT(T457*($G$10-$E$10)*($F$10-$E$10)),$G$10-SQRT((1-T457)*($G$10-$E$10)*($G$10-$F$10))))</f>
        <v>1.05296636065227</v>
      </c>
      <c r="G457" s="52" t="n">
        <f aca="false">IF($G$11=$E$11,$F$11,IF(U457&lt;($F$11-$E$11)/($G$11-$E$11),$E$11+SQRT(U457*($G$11-$E$11)*($F$11-$E$11)),$G$11-SQRT((1-U457)*($G$11-$E$11)*($G$11-$F$11))))</f>
        <v>0.113876171791469</v>
      </c>
      <c r="H457" s="53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-2105932721.30455</v>
      </c>
      <c r="I457" s="53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-50962978.9991724</v>
      </c>
      <c r="J457" s="53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210107492.656893</v>
      </c>
      <c r="K457" s="53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523826282.345572</v>
      </c>
      <c r="L457" s="53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645960646.972598</v>
      </c>
      <c r="M457" s="53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839070454.385121</v>
      </c>
      <c r="N457" s="53" t="n">
        <f aca="false">IF(COUNT('Business Case'!B11:G11)=0,"",H457+NPV(G457,I457:M457))</f>
        <v>-694344087.143724</v>
      </c>
      <c r="P457" s="54" t="n">
        <f aca="true">RAND()</f>
        <v>0.238483109355112</v>
      </c>
      <c r="Q457" s="54" t="n">
        <f aca="true">RAND()</f>
        <v>0.875912046672877</v>
      </c>
      <c r="R457" s="54" t="n">
        <f aca="true">RAND()</f>
        <v>0.858252892079862</v>
      </c>
      <c r="S457" s="54" t="n">
        <f aca="true">RAND()</f>
        <v>0.881993594121569</v>
      </c>
      <c r="T457" s="54" t="n">
        <f aca="true">RAND()</f>
        <v>0.482369932871862</v>
      </c>
      <c r="U457" s="54" t="n">
        <f aca="true">RAND()</f>
        <v>0.826681442601185</v>
      </c>
    </row>
    <row r="458" customFormat="false" ht="15" hidden="false" customHeight="false" outlineLevel="0" collapsed="false">
      <c r="A458" s="50" t="n">
        <v>378</v>
      </c>
      <c r="B458" s="51" t="n">
        <f aca="false">1+IF($G$6=$E$6,$F$6,IF(P458&lt;($F$6-$E$6)/($G$6-$E$6),$E$6+SQRT(P458*($G$6-$E$6)*($F$6-$E$6)),$G$6-SQRT((1-P458)*($G$6-$E$6)*($G$6-$F$6))))</f>
        <v>0.945816859535738</v>
      </c>
      <c r="C458" s="51" t="n">
        <f aca="false">1+IF($G$7=$E$7,$F$7,IF(Q458&lt;($F$7-$E$7)/($G$7-$E$7),$E$7+SQRT(Q458*($G$7-$E$7)*($F$7-$E$7)),$G$7-SQRT((1-Q458)*($G$7-$E$7)*($G$7-$F$7))))</f>
        <v>0.926669310393203</v>
      </c>
      <c r="D458" s="51" t="n">
        <f aca="false">1+IF($G$8=$E$8,$F$8,IF(R458&lt;($F$8-$E$8)/($G$8-$E$8),$E$8+SQRT(R458*($G$8-$E$8)*($F$8-$E$8)),$G$8-SQRT((1-R458)*($G$8-$E$8)*($G$8-$F$8))))</f>
        <v>0.965209017070799</v>
      </c>
      <c r="E458" s="51" t="n">
        <f aca="false">1+IF($G$9=$E$9,$F$9,IF(S458&lt;($F$9-$E$9)/($G$9-$E$9),$E$9+SQRT(S458*($G$9-$E$9)*($F$9-$E$9)),$G$9-SQRT((1-S458)*($G$9-$E$9)*($G$9-$F$9))))</f>
        <v>1.0111772942071</v>
      </c>
      <c r="F458" s="51" t="n">
        <f aca="false">1+IF($G$10=$E$10,$F$10,IF(T458&lt;($F$10-$E$10)/($G$10-$E$10),$E$10+SQRT(T458*($G$10-$E$10)*($F$10-$E$10)),$G$10-SQRT((1-T458)*($G$10-$E$10)*($G$10-$F$10))))</f>
        <v>1.0831408841634</v>
      </c>
      <c r="G458" s="52" t="n">
        <f aca="false">IF($G$11=$E$11,$F$11,IF(U458&lt;($F$11-$E$11)/($G$11-$E$11),$E$11+SQRT(U458*($G$11-$E$11)*($F$11-$E$11)),$G$11-SQRT((1-U458)*($G$11-$E$11)*($G$11-$F$11))))</f>
        <v>0.0975808021775514</v>
      </c>
      <c r="H458" s="53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-2166281768.32679</v>
      </c>
      <c r="I458" s="53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-37532145.1936745</v>
      </c>
      <c r="J458" s="53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222474867.515304</v>
      </c>
      <c r="K458" s="53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536638924.432453</v>
      </c>
      <c r="L458" s="53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653598367.502155</v>
      </c>
      <c r="M458" s="53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820195781.08572</v>
      </c>
      <c r="N458" s="53" t="n">
        <f aca="false">IF(COUNT('Business Case'!B11:G11)=0,"",H458+NPV(G458,I458:M458))</f>
        <v>-644665813.913464</v>
      </c>
      <c r="P458" s="54" t="n">
        <f aca="true">RAND()</f>
        <v>0.139945641181166</v>
      </c>
      <c r="Q458" s="54" t="n">
        <f aca="true">RAND()</f>
        <v>0.380585009438002</v>
      </c>
      <c r="R458" s="54" t="n">
        <f aca="true">RAND()</f>
        <v>0.030841893367982</v>
      </c>
      <c r="S458" s="54" t="n">
        <f aca="true">RAND()</f>
        <v>0.486086836169037</v>
      </c>
      <c r="T458" s="54" t="n">
        <f aca="true">RAND()</f>
        <v>0.628773806163027</v>
      </c>
      <c r="U458" s="54" t="n">
        <f aca="true">RAND()</f>
        <v>0.309084605206196</v>
      </c>
    </row>
    <row r="459" customFormat="false" ht="15" hidden="false" customHeight="false" outlineLevel="0" collapsed="false">
      <c r="A459" s="50" t="n">
        <v>379</v>
      </c>
      <c r="B459" s="51" t="n">
        <f aca="false">1+IF($G$6=$E$6,$F$6,IF(P459&lt;($F$6-$E$6)/($G$6-$E$6),$E$6+SQRT(P459*($G$6-$E$6)*($F$6-$E$6)),$G$6-SQRT((1-P459)*($G$6-$E$6)*($G$6-$F$6))))</f>
        <v>1.02503721073517</v>
      </c>
      <c r="C459" s="51" t="n">
        <f aca="false">1+IF($G$7=$E$7,$F$7,IF(Q459&lt;($F$7-$E$7)/($G$7-$E$7),$E$7+SQRT(Q459*($G$7-$E$7)*($F$7-$E$7)),$G$7-SQRT((1-Q459)*($G$7-$E$7)*($G$7-$F$7))))</f>
        <v>1.0458534611457</v>
      </c>
      <c r="D459" s="51" t="n">
        <f aca="false">1+IF($G$8=$E$8,$F$8,IF(R459&lt;($F$8-$E$8)/($G$8-$E$8),$E$8+SQRT(R459*($G$8-$E$8)*($F$8-$E$8)),$G$8-SQRT((1-R459)*($G$8-$E$8)*($G$8-$F$8))))</f>
        <v>0.995008710877314</v>
      </c>
      <c r="E459" s="51" t="n">
        <f aca="false">1+IF($G$9=$E$9,$F$9,IF(S459&lt;($F$9-$E$9)/($G$9-$E$9),$E$9+SQRT(S459*($G$9-$E$9)*($F$9-$E$9)),$G$9-SQRT((1-S459)*($G$9-$E$9)*($G$9-$F$9))))</f>
        <v>1.09537505515791</v>
      </c>
      <c r="F459" s="51" t="n">
        <f aca="false">1+IF($G$10=$E$10,$F$10,IF(T459&lt;($F$10-$E$10)/($G$10-$E$10),$E$10+SQRT(T459*($G$10-$E$10)*($F$10-$E$10)),$G$10-SQRT((1-T459)*($G$10-$E$10)*($G$10-$F$10))))</f>
        <v>1.04118541248336</v>
      </c>
      <c r="G459" s="52" t="n">
        <f aca="false">IF($G$11=$E$11,$F$11,IF(U459&lt;($F$11-$E$11)/($G$11-$E$11),$E$11+SQRT(U459*($G$11-$E$11)*($F$11-$E$11)),$G$11-SQRT((1-U459)*($G$11-$E$11)*($G$11-$F$11))))</f>
        <v>0.100415122796604</v>
      </c>
      <c r="H459" s="53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-2082370824.96673</v>
      </c>
      <c r="I459" s="53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29900531.9710101</v>
      </c>
      <c r="J459" s="53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375256425.001293</v>
      </c>
      <c r="K459" s="53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772671588.655744</v>
      </c>
      <c r="L459" s="53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924839877.64416</v>
      </c>
      <c r="M459" s="53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1128612996.52493</v>
      </c>
      <c r="N459" s="53" t="n">
        <f aca="false">IF(COUNT('Business Case'!B11:G11)=0,"",H459+NPV(G459,I459:M459))</f>
        <v>164743907.1015</v>
      </c>
      <c r="P459" s="54" t="n">
        <f aca="true">RAND()</f>
        <v>0.916914553615974</v>
      </c>
      <c r="Q459" s="54" t="n">
        <f aca="true">RAND()</f>
        <v>0.839311088069177</v>
      </c>
      <c r="R459" s="54" t="n">
        <f aca="true">RAND()</f>
        <v>0.270104540645015</v>
      </c>
      <c r="S459" s="54" t="n">
        <f aca="true">RAND()</f>
        <v>0.920429744026616</v>
      </c>
      <c r="T459" s="54" t="n">
        <f aca="true">RAND()</f>
        <v>0.418619573870092</v>
      </c>
      <c r="U459" s="54" t="n">
        <f aca="true">RAND()</f>
        <v>0.416490027239998</v>
      </c>
    </row>
    <row r="460" customFormat="false" ht="15" hidden="false" customHeight="false" outlineLevel="0" collapsed="false">
      <c r="A460" s="50" t="n">
        <v>380</v>
      </c>
      <c r="B460" s="51" t="n">
        <f aca="false">1+IF($G$6=$E$6,$F$6,IF(P460&lt;($F$6-$E$6)/($G$6-$E$6),$E$6+SQRT(P460*($G$6-$E$6)*($F$6-$E$6)),$G$6-SQRT((1-P460)*($G$6-$E$6)*($G$6-$F$6))))</f>
        <v>0.991348879873594</v>
      </c>
      <c r="C460" s="51" t="n">
        <f aca="false">1+IF($G$7=$E$7,$F$7,IF(Q460&lt;($F$7-$E$7)/($G$7-$E$7),$E$7+SQRT(Q460*($G$7-$E$7)*($F$7-$E$7)),$G$7-SQRT((1-Q460)*($G$7-$E$7)*($G$7-$F$7))))</f>
        <v>0.844065853007453</v>
      </c>
      <c r="D460" s="51" t="n">
        <f aca="false">1+IF($G$8=$E$8,$F$8,IF(R460&lt;($F$8-$E$8)/($G$8-$E$8),$E$8+SQRT(R460*($G$8-$E$8)*($F$8-$E$8)),$G$8-SQRT((1-R460)*($G$8-$E$8)*($G$8-$F$8))))</f>
        <v>0.974217425123722</v>
      </c>
      <c r="E460" s="51" t="n">
        <f aca="false">1+IF($G$9=$E$9,$F$9,IF(S460&lt;($F$9-$E$9)/($G$9-$E$9),$E$9+SQRT(S460*($G$9-$E$9)*($F$9-$E$9)),$G$9-SQRT((1-S460)*($G$9-$E$9)*($G$9-$F$9))))</f>
        <v>0.950190320669207</v>
      </c>
      <c r="F460" s="51" t="n">
        <f aca="false">1+IF($G$10=$E$10,$F$10,IF(T460&lt;($F$10-$E$10)/($G$10-$E$10),$E$10+SQRT(T460*($G$10-$E$10)*($F$10-$E$10)),$G$10-SQRT((1-T460)*($G$10-$E$10)*($G$10-$F$10))))</f>
        <v>0.987900855675745</v>
      </c>
      <c r="G460" s="52" t="n">
        <f aca="false">IF($G$11=$E$11,$F$11,IF(U460&lt;($F$11-$E$11)/($G$11-$E$11),$E$11+SQRT(U460*($G$11-$E$11)*($F$11-$E$11)),$G$11-SQRT((1-U460)*($G$11-$E$11)*($G$11-$F$11))))</f>
        <v>0.125400116476922</v>
      </c>
      <c r="H460" s="53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-1975801711.35149</v>
      </c>
      <c r="I460" s="53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-12868923.6224128</v>
      </c>
      <c r="J460" s="53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251547134.095604</v>
      </c>
      <c r="K460" s="53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565358234.597409</v>
      </c>
      <c r="L460" s="53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682415475.285878</v>
      </c>
      <c r="M460" s="53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841467526.589424</v>
      </c>
      <c r="N460" s="53" t="n">
        <f aca="false">IF(COUNT('Business Case'!B11:G11)=0,"",H460+NPV(G460,I460:M460))</f>
        <v>-500430627.238401</v>
      </c>
      <c r="P460" s="54" t="n">
        <f aca="true">RAND()</f>
        <v>0.55630785694402</v>
      </c>
      <c r="Q460" s="54" t="n">
        <f aca="true">RAND()</f>
        <v>0.153740518539</v>
      </c>
      <c r="R460" s="54" t="n">
        <f aca="true">RAND()</f>
        <v>0.0781978239497446</v>
      </c>
      <c r="S460" s="54" t="n">
        <f aca="true">RAND()</f>
        <v>0.100762731555112</v>
      </c>
      <c r="T460" s="54" t="n">
        <f aca="true">RAND()</f>
        <v>0.0957649907302428</v>
      </c>
      <c r="U460" s="54" t="n">
        <f aca="true">RAND()</f>
        <v>0.985894047716078</v>
      </c>
    </row>
    <row r="461" customFormat="false" ht="15" hidden="false" customHeight="false" outlineLevel="0" collapsed="false">
      <c r="A461" s="50" t="n">
        <v>381</v>
      </c>
      <c r="B461" s="51" t="n">
        <f aca="false">1+IF($G$6=$E$6,$F$6,IF(P461&lt;($F$6-$E$6)/($G$6-$E$6),$E$6+SQRT(P461*($G$6-$E$6)*($F$6-$E$6)),$G$6-SQRT((1-P461)*($G$6-$E$6)*($G$6-$F$6))))</f>
        <v>1.00501852622704</v>
      </c>
      <c r="C461" s="51" t="n">
        <f aca="false">1+IF($G$7=$E$7,$F$7,IF(Q461&lt;($F$7-$E$7)/($G$7-$E$7),$E$7+SQRT(Q461*($G$7-$E$7)*($F$7-$E$7)),$G$7-SQRT((1-Q461)*($G$7-$E$7)*($G$7-$F$7))))</f>
        <v>0.962570813300545</v>
      </c>
      <c r="D461" s="51" t="n">
        <f aca="false">1+IF($G$8=$E$8,$F$8,IF(R461&lt;($F$8-$E$8)/($G$8-$E$8),$E$8+SQRT(R461*($G$8-$E$8)*($F$8-$E$8)),$G$8-SQRT((1-R461)*($G$8-$E$8)*($G$8-$F$8))))</f>
        <v>1.09375924819332</v>
      </c>
      <c r="E461" s="51" t="n">
        <f aca="false">1+IF($G$9=$E$9,$F$9,IF(S461&lt;($F$9-$E$9)/($G$9-$E$9),$E$9+SQRT(S461*($G$9-$E$9)*($F$9-$E$9)),$G$9-SQRT((1-S461)*($G$9-$E$9)*($G$9-$F$9))))</f>
        <v>1.10008359917253</v>
      </c>
      <c r="F461" s="51" t="n">
        <f aca="false">1+IF($G$10=$E$10,$F$10,IF(T461&lt;($F$10-$E$10)/($G$10-$E$10),$E$10+SQRT(T461*($G$10-$E$10)*($F$10-$E$10)),$G$10-SQRT((1-T461)*($G$10-$E$10)*($G$10-$F$10))))</f>
        <v>1.06698506202723</v>
      </c>
      <c r="G461" s="52" t="n">
        <f aca="false">IF($G$11=$E$11,$F$11,IF(U461&lt;($F$11-$E$11)/($G$11-$E$11),$E$11+SQRT(U461*($G$11-$E$11)*($F$11-$E$11)),$G$11-SQRT((1-U461)*($G$11-$E$11)*($G$11-$F$11))))</f>
        <v>0.0930701093513038</v>
      </c>
      <c r="H461" s="53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-2133970124.05446</v>
      </c>
      <c r="I461" s="53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-59868993.8596786</v>
      </c>
      <c r="J461" s="53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193542500.05464</v>
      </c>
      <c r="K461" s="53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500303247.070321</v>
      </c>
      <c r="L461" s="53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618207140.887721</v>
      </c>
      <c r="M461" s="53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802090818.040505</v>
      </c>
      <c r="N461" s="53" t="n">
        <f aca="false">IF(COUNT('Business Case'!B11:G11)=0,"",H461+NPV(G461,I461:M461))</f>
        <v>-696596713.474316</v>
      </c>
      <c r="P461" s="54" t="n">
        <f aca="true">RAND()</f>
        <v>0.730222268961649</v>
      </c>
      <c r="Q461" s="54" t="n">
        <f aca="true">RAND()</f>
        <v>0.510692088868959</v>
      </c>
      <c r="R461" s="54" t="n">
        <f aca="true">RAND()</f>
        <v>0.997403534459159</v>
      </c>
      <c r="S461" s="54" t="n">
        <f aca="true">RAND()</f>
        <v>0.933556078091493</v>
      </c>
      <c r="T461" s="54" t="n">
        <f aca="true">RAND()</f>
        <v>0.553407099717649</v>
      </c>
      <c r="U461" s="54" t="n">
        <f aca="true">RAND()</f>
        <v>0.170827758455038</v>
      </c>
    </row>
    <row r="462" customFormat="false" ht="15" hidden="false" customHeight="false" outlineLevel="0" collapsed="false">
      <c r="A462" s="50" t="n">
        <v>382</v>
      </c>
      <c r="B462" s="51" t="n">
        <f aca="false">1+IF($G$6=$E$6,$F$6,IF(P462&lt;($F$6-$E$6)/($G$6-$E$6),$E$6+SQRT(P462*($G$6-$E$6)*($F$6-$E$6)),$G$6-SQRT((1-P462)*($G$6-$E$6)*($G$6-$F$6))))</f>
        <v>0.973553628243515</v>
      </c>
      <c r="C462" s="51" t="n">
        <f aca="false">1+IF($G$7=$E$7,$F$7,IF(Q462&lt;($F$7-$E$7)/($G$7-$E$7),$E$7+SQRT(Q462*($G$7-$E$7)*($F$7-$E$7)),$G$7-SQRT((1-Q462)*($G$7-$E$7)*($G$7-$F$7))))</f>
        <v>0.727879641732709</v>
      </c>
      <c r="D462" s="51" t="n">
        <f aca="false">1+IF($G$8=$E$8,$F$8,IF(R462&lt;($F$8-$E$8)/($G$8-$E$8),$E$8+SQRT(R462*($G$8-$E$8)*($F$8-$E$8)),$G$8-SQRT((1-R462)*($G$8-$E$8)*($G$8-$F$8))))</f>
        <v>1.0714301912362</v>
      </c>
      <c r="E462" s="51" t="n">
        <f aca="false">1+IF($G$9=$E$9,$F$9,IF(S462&lt;($F$9-$E$9)/($G$9-$E$9),$E$9+SQRT(S462*($G$9-$E$9)*($F$9-$E$9)),$G$9-SQRT((1-S462)*($G$9-$E$9)*($G$9-$F$9))))</f>
        <v>1.00089489716074</v>
      </c>
      <c r="F462" s="51" t="n">
        <f aca="false">1+IF($G$10=$E$10,$F$10,IF(T462&lt;($F$10-$E$10)/($G$10-$E$10),$E$10+SQRT(T462*($G$10-$E$10)*($F$10-$E$10)),$G$10-SQRT((1-T462)*($G$10-$E$10)*($G$10-$F$10))))</f>
        <v>1.09199008965863</v>
      </c>
      <c r="G462" s="52" t="n">
        <f aca="false">IF($G$11=$E$11,$F$11,IF(U462&lt;($F$11-$E$11)/($G$11-$E$11),$E$11+SQRT(U462*($G$11-$E$11)*($F$11-$E$11)),$G$11-SQRT((1-U462)*($G$11-$E$11)*($G$11-$F$11))))</f>
        <v>0.120957495916894</v>
      </c>
      <c r="H462" s="53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-2183980179.31727</v>
      </c>
      <c r="I462" s="53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-107074942.665079</v>
      </c>
      <c r="J462" s="53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74111750.2723218</v>
      </c>
      <c r="K462" s="53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309897947.692654</v>
      </c>
      <c r="L462" s="53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394783760.178693</v>
      </c>
      <c r="M462" s="53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529480125.133343</v>
      </c>
      <c r="N462" s="53" t="n">
        <f aca="false">IF(COUNT('Business Case'!B11:G11)=0,"",H462+NPV(G462,I462:M462))</f>
        <v>-1451309748.66168</v>
      </c>
      <c r="P462" s="54" t="n">
        <f aca="true">RAND()</f>
        <v>0.360675748519009</v>
      </c>
      <c r="Q462" s="54" t="n">
        <f aca="true">RAND()</f>
        <v>0.00575758831958656</v>
      </c>
      <c r="R462" s="54" t="n">
        <f aca="true">RAND()</f>
        <v>0.945584401813336</v>
      </c>
      <c r="S462" s="54" t="n">
        <f aca="true">RAND()</f>
        <v>0.407137821527796</v>
      </c>
      <c r="T462" s="54" t="n">
        <f aca="true">RAND()</f>
        <v>0.667104909785507</v>
      </c>
      <c r="U462" s="54" t="n">
        <f aca="true">RAND()</f>
        <v>0.945488746604669</v>
      </c>
    </row>
    <row r="463" customFormat="false" ht="15" hidden="false" customHeight="false" outlineLevel="0" collapsed="false">
      <c r="A463" s="50" t="n">
        <v>383</v>
      </c>
      <c r="B463" s="51" t="n">
        <f aca="false">1+IF($G$6=$E$6,$F$6,IF(P463&lt;($F$6-$E$6)/($G$6-$E$6),$E$6+SQRT(P463*($G$6-$E$6)*($F$6-$E$6)),$G$6-SQRT((1-P463)*($G$6-$E$6)*($G$6-$F$6))))</f>
        <v>0.993804345304759</v>
      </c>
      <c r="C463" s="51" t="n">
        <f aca="false">1+IF($G$7=$E$7,$F$7,IF(Q463&lt;($F$7-$E$7)/($G$7-$E$7),$E$7+SQRT(Q463*($G$7-$E$7)*($F$7-$E$7)),$G$7-SQRT((1-Q463)*($G$7-$E$7)*($G$7-$F$7))))</f>
        <v>0.917977502569519</v>
      </c>
      <c r="D463" s="51" t="n">
        <f aca="false">1+IF($G$8=$E$8,$F$8,IF(R463&lt;($F$8-$E$8)/($G$8-$E$8),$E$8+SQRT(R463*($G$8-$E$8)*($F$8-$E$8)),$G$8-SQRT((1-R463)*($G$8-$E$8)*($G$8-$F$8))))</f>
        <v>1.03538437097037</v>
      </c>
      <c r="E463" s="51" t="n">
        <f aca="false">1+IF($G$9=$E$9,$F$9,IF(S463&lt;($F$9-$E$9)/($G$9-$E$9),$E$9+SQRT(S463*($G$9-$E$9)*($F$9-$E$9)),$G$9-SQRT((1-S463)*($G$9-$E$9)*($G$9-$F$9))))</f>
        <v>1.01432607061198</v>
      </c>
      <c r="F463" s="51" t="n">
        <f aca="false">1+IF($G$10=$E$10,$F$10,IF(T463&lt;($F$10-$E$10)/($G$10-$E$10),$E$10+SQRT(T463*($G$10-$E$10)*($F$10-$E$10)),$G$10-SQRT((1-T463)*($G$10-$E$10)*($G$10-$F$10))))</f>
        <v>1.12406472793931</v>
      </c>
      <c r="G463" s="52" t="n">
        <f aca="false">IF($G$11=$E$11,$F$11,IF(U463&lt;($F$11-$E$11)/($G$11-$E$11),$E$11+SQRT(U463*($G$11-$E$11)*($F$11-$E$11)),$G$11-SQRT((1-U463)*($G$11-$E$11)*($G$11-$F$11))))</f>
        <v>0.0999895315514611</v>
      </c>
      <c r="H463" s="53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-2248129455.87862</v>
      </c>
      <c r="I463" s="53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-43264792.4879748</v>
      </c>
      <c r="J463" s="53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217407170.263224</v>
      </c>
      <c r="K463" s="53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534282369.411389</v>
      </c>
      <c r="L463" s="53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652701767.131269</v>
      </c>
      <c r="M463" s="53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826109856.213408</v>
      </c>
      <c r="N463" s="53" t="n">
        <f aca="false">IF(COUNT('Business Case'!B11:G11)=0,"",H463+NPV(G463,I463:M463))</f>
        <v>-747562285.904836</v>
      </c>
      <c r="P463" s="54" t="n">
        <f aca="true">RAND()</f>
        <v>0.586617013203631</v>
      </c>
      <c r="Q463" s="54" t="n">
        <f aca="true">RAND()</f>
        <v>0.351956975010702</v>
      </c>
      <c r="R463" s="54" t="n">
        <f aca="true">RAND()</f>
        <v>0.721654699006983</v>
      </c>
      <c r="S463" s="54" t="n">
        <f aca="true">RAND()</f>
        <v>0.509135596917706</v>
      </c>
      <c r="T463" s="54" t="n">
        <f aca="true">RAND()</f>
        <v>0.788537430013332</v>
      </c>
      <c r="U463" s="54" t="n">
        <f aca="true">RAND()</f>
        <v>0.399581371646857</v>
      </c>
    </row>
    <row r="464" customFormat="false" ht="15" hidden="false" customHeight="false" outlineLevel="0" collapsed="false">
      <c r="A464" s="50" t="n">
        <v>384</v>
      </c>
      <c r="B464" s="51" t="n">
        <f aca="false">1+IF($G$6=$E$6,$F$6,IF(P464&lt;($F$6-$E$6)/($G$6-$E$6),$E$6+SQRT(P464*($G$6-$E$6)*($F$6-$E$6)),$G$6-SQRT((1-P464)*($G$6-$E$6)*($G$6-$F$6))))</f>
        <v>0.976569911728473</v>
      </c>
      <c r="C464" s="51" t="n">
        <f aca="false">1+IF($G$7=$E$7,$F$7,IF(Q464&lt;($F$7-$E$7)/($G$7-$E$7),$E$7+SQRT(Q464*($G$7-$E$7)*($F$7-$E$7)),$G$7-SQRT((1-Q464)*($G$7-$E$7)*($G$7-$F$7))))</f>
        <v>0.768777876946885</v>
      </c>
      <c r="D464" s="51" t="n">
        <f aca="false">1+IF($G$8=$E$8,$F$8,IF(R464&lt;($F$8-$E$8)/($G$8-$E$8),$E$8+SQRT(R464*($G$8-$E$8)*($F$8-$E$8)),$G$8-SQRT((1-R464)*($G$8-$E$8)*($G$8-$F$8))))</f>
        <v>0.984104409465903</v>
      </c>
      <c r="E464" s="51" t="n">
        <f aca="false">1+IF($G$9=$E$9,$F$9,IF(S464&lt;($F$9-$E$9)/($G$9-$E$9),$E$9+SQRT(S464*($G$9-$E$9)*($F$9-$E$9)),$G$9-SQRT((1-S464)*($G$9-$E$9)*($G$9-$F$9))))</f>
        <v>0.980089444219053</v>
      </c>
      <c r="F464" s="51" t="n">
        <f aca="false">1+IF($G$10=$E$10,$F$10,IF(T464&lt;($F$10-$E$10)/($G$10-$E$10),$E$10+SQRT(T464*($G$10-$E$10)*($F$10-$E$10)),$G$10-SQRT((1-T464)*($G$10-$E$10)*($G$10-$F$10))))</f>
        <v>0.973792080642631</v>
      </c>
      <c r="G464" s="52" t="n">
        <f aca="false">IF($G$11=$E$11,$F$11,IF(U464&lt;($F$11-$E$11)/($G$11-$E$11),$E$11+SQRT(U464*($G$11-$E$11)*($F$11-$E$11)),$G$11-SQRT((1-U464)*($G$11-$E$11)*($G$11-$F$11))))</f>
        <v>0.101987585709389</v>
      </c>
      <c r="H464" s="53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-1947584161.28526</v>
      </c>
      <c r="I464" s="53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-48033748.1316137</v>
      </c>
      <c r="J464" s="53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179600106.172335</v>
      </c>
      <c r="K464" s="53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455923564.508416</v>
      </c>
      <c r="L464" s="53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557747966.211965</v>
      </c>
      <c r="M464" s="53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700453442.690916</v>
      </c>
      <c r="N464" s="53" t="n">
        <f aca="false">IF(COUNT('Business Case'!B11:G11)=0,"",H464+NPV(G464,I464:M464))</f>
        <v>-693358783.541675</v>
      </c>
      <c r="P464" s="54" t="n">
        <f aca="true">RAND()</f>
        <v>0.390863425473746</v>
      </c>
      <c r="Q464" s="54" t="n">
        <f aca="true">RAND()</f>
        <v>0.0350399730171909</v>
      </c>
      <c r="R464" s="54" t="n">
        <f aca="true">RAND()</f>
        <v>0.155081432669066</v>
      </c>
      <c r="S464" s="54" t="n">
        <f aca="true">RAND()</f>
        <v>0.256572763012674</v>
      </c>
      <c r="T464" s="54" t="n">
        <f aca="true">RAND()</f>
        <v>0.0377375400870316</v>
      </c>
      <c r="U464" s="54" t="n">
        <f aca="true">RAND()</f>
        <v>0.476869763740773</v>
      </c>
    </row>
    <row r="465" customFormat="false" ht="15" hidden="false" customHeight="false" outlineLevel="0" collapsed="false">
      <c r="A465" s="50" t="n">
        <v>385</v>
      </c>
      <c r="B465" s="51" t="n">
        <f aca="false">1+IF($G$6=$E$6,$F$6,IF(P465&lt;($F$6-$E$6)/($G$6-$E$6),$E$6+SQRT(P465*($G$6-$E$6)*($F$6-$E$6)),$G$6-SQRT((1-P465)*($G$6-$E$6)*($G$6-$F$6))))</f>
        <v>1.01740975062727</v>
      </c>
      <c r="C465" s="51" t="n">
        <f aca="false">1+IF($G$7=$E$7,$F$7,IF(Q465&lt;($F$7-$E$7)/($G$7-$E$7),$E$7+SQRT(Q465*($G$7-$E$7)*($F$7-$E$7)),$G$7-SQRT((1-Q465)*($G$7-$E$7)*($G$7-$F$7))))</f>
        <v>1.06328132623651</v>
      </c>
      <c r="D465" s="51" t="n">
        <f aca="false">1+IF($G$8=$E$8,$F$8,IF(R465&lt;($F$8-$E$8)/($G$8-$E$8),$E$8+SQRT(R465*($G$8-$E$8)*($F$8-$E$8)),$G$8-SQRT((1-R465)*($G$8-$E$8)*($G$8-$F$8))))</f>
        <v>1.06368628608587</v>
      </c>
      <c r="E465" s="51" t="n">
        <f aca="false">1+IF($G$9=$E$9,$F$9,IF(S465&lt;($F$9-$E$9)/($G$9-$E$9),$E$9+SQRT(S465*($G$9-$E$9)*($F$9-$E$9)),$G$9-SQRT((1-S465)*($G$9-$E$9)*($G$9-$F$9))))</f>
        <v>1.02688564739995</v>
      </c>
      <c r="F465" s="51" t="n">
        <f aca="false">1+IF($G$10=$E$10,$F$10,IF(T465&lt;($F$10-$E$10)/($G$10-$E$10),$E$10+SQRT(T465*($G$10-$E$10)*($F$10-$E$10)),$G$10-SQRT((1-T465)*($G$10-$E$10)*($G$10-$F$10))))</f>
        <v>1.09699405162862</v>
      </c>
      <c r="G465" s="52" t="n">
        <f aca="false">IF($G$11=$E$11,$F$11,IF(U465&lt;($F$11-$E$11)/($G$11-$E$11),$E$11+SQRT(U465*($G$11-$E$11)*($F$11-$E$11)),$G$11-SQRT((1-U465)*($G$11-$E$11)*($G$11-$F$11))))</f>
        <v>0.10610136888488</v>
      </c>
      <c r="H465" s="53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-2193988103.25724</v>
      </c>
      <c r="I465" s="53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-4716874.99677959</v>
      </c>
      <c r="J465" s="53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302368932.409932</v>
      </c>
      <c r="K465" s="53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664304442.398075</v>
      </c>
      <c r="L465" s="53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804053136.987216</v>
      </c>
      <c r="M465" s="53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1009680310.31519</v>
      </c>
      <c r="N465" s="53" t="n">
        <f aca="false">IF(COUNT('Business Case'!B11:G11)=0,"",H465+NPV(G465,I465:M465))</f>
        <v>-313229819.891721</v>
      </c>
      <c r="P465" s="54" t="n">
        <f aca="true">RAND()</f>
        <v>0.858383419443102</v>
      </c>
      <c r="Q465" s="54" t="n">
        <f aca="true">RAND()</f>
        <v>0.888590690677057</v>
      </c>
      <c r="R465" s="54" t="n">
        <f aca="true">RAND()</f>
        <v>0.912087612117518</v>
      </c>
      <c r="S465" s="54" t="n">
        <f aca="true">RAND()</f>
        <v>0.59580949823656</v>
      </c>
      <c r="T465" s="54" t="n">
        <f aca="true">RAND()</f>
        <v>0.687855730172985</v>
      </c>
      <c r="U465" s="54" t="n">
        <f aca="true">RAND()</f>
        <v>0.619236953882265</v>
      </c>
    </row>
    <row r="466" customFormat="false" ht="15" hidden="false" customHeight="false" outlineLevel="0" collapsed="false">
      <c r="A466" s="50" t="n">
        <v>386</v>
      </c>
      <c r="B466" s="51" t="n">
        <f aca="false">1+IF($G$6=$E$6,$F$6,IF(P466&lt;($F$6-$E$6)/($G$6-$E$6),$E$6+SQRT(P466*($G$6-$E$6)*($F$6-$E$6)),$G$6-SQRT((1-P466)*($G$6-$E$6)*($G$6-$F$6))))</f>
        <v>0.952356246712131</v>
      </c>
      <c r="C466" s="51" t="n">
        <f aca="false">1+IF($G$7=$E$7,$F$7,IF(Q466&lt;($F$7-$E$7)/($G$7-$E$7),$E$7+SQRT(Q466*($G$7-$E$7)*($F$7-$E$7)),$G$7-SQRT((1-Q466)*($G$7-$E$7)*($G$7-$F$7))))</f>
        <v>0.760883762999561</v>
      </c>
      <c r="D466" s="51" t="n">
        <f aca="false">1+IF($G$8=$E$8,$F$8,IF(R466&lt;($F$8-$E$8)/($G$8-$E$8),$E$8+SQRT(R466*($G$8-$E$8)*($F$8-$E$8)),$G$8-SQRT((1-R466)*($G$8-$E$8)*($G$8-$F$8))))</f>
        <v>1.06099699760047</v>
      </c>
      <c r="E466" s="51" t="n">
        <f aca="false">1+IF($G$9=$E$9,$F$9,IF(S466&lt;($F$9-$E$9)/($G$9-$E$9),$E$9+SQRT(S466*($G$9-$E$9)*($F$9-$E$9)),$G$9-SQRT((1-S466)*($G$9-$E$9)*($G$9-$F$9))))</f>
        <v>1.05855339080108</v>
      </c>
      <c r="F466" s="51" t="n">
        <f aca="false">1+IF($G$10=$E$10,$F$10,IF(T466&lt;($F$10-$E$10)/($G$10-$E$10),$E$10+SQRT(T466*($G$10-$E$10)*($F$10-$E$10)),$G$10-SQRT((1-T466)*($G$10-$E$10)*($G$10-$F$10))))</f>
        <v>1.08188148611611</v>
      </c>
      <c r="G466" s="52" t="n">
        <f aca="false">IF($G$11=$E$11,$F$11,IF(U466&lt;($F$11-$E$11)/($G$11-$E$11),$E$11+SQRT(U466*($G$11-$E$11)*($F$11-$E$11)),$G$11-SQRT((1-U466)*($G$11-$E$11)*($G$11-$F$11))))</f>
        <v>0.119425608485341</v>
      </c>
      <c r="H466" s="53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-2163762972.23223</v>
      </c>
      <c r="I466" s="53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-116023926.708118</v>
      </c>
      <c r="J466" s="53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64231531.2276865</v>
      </c>
      <c r="K466" s="53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298581063.469297</v>
      </c>
      <c r="L466" s="53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383709512.021497</v>
      </c>
      <c r="M466" s="53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521447639.509623</v>
      </c>
      <c r="N466" s="53" t="n">
        <f aca="false">IF(COUNT('Business Case'!B11:G11)=0,"",H466+NPV(G466,I466:M466))</f>
        <v>-1462301458.52061</v>
      </c>
      <c r="P466" s="54" t="n">
        <f aca="true">RAND()</f>
        <v>0.182745104652098</v>
      </c>
      <c r="Q466" s="54" t="n">
        <f aca="true">RAND()</f>
        <v>0.0274580192369383</v>
      </c>
      <c r="R466" s="54" t="n">
        <f aca="true">RAND()</f>
        <v>0.898584386921473</v>
      </c>
      <c r="S466" s="54" t="n">
        <f aca="true">RAND()</f>
        <v>0.777000471093875</v>
      </c>
      <c r="T466" s="54" t="n">
        <f aca="true">RAND()</f>
        <v>0.623148870526316</v>
      </c>
      <c r="U466" s="54" t="n">
        <f aca="true">RAND()</f>
        <v>0.92545482939647</v>
      </c>
    </row>
    <row r="467" customFormat="false" ht="15" hidden="false" customHeight="false" outlineLevel="0" collapsed="false">
      <c r="A467" s="50" t="n">
        <v>387</v>
      </c>
      <c r="B467" s="51" t="n">
        <f aca="false">1+IF($G$6=$E$6,$F$6,IF(P467&lt;($F$6-$E$6)/($G$6-$E$6),$E$6+SQRT(P467*($G$6-$E$6)*($F$6-$E$6)),$G$6-SQRT((1-P467)*($G$6-$E$6)*($G$6-$F$6))))</f>
        <v>0.974067798543288</v>
      </c>
      <c r="C467" s="51" t="n">
        <f aca="false">1+IF($G$7=$E$7,$F$7,IF(Q467&lt;($F$7-$E$7)/($G$7-$E$7),$E$7+SQRT(Q467*($G$7-$E$7)*($F$7-$E$7)),$G$7-SQRT((1-Q467)*($G$7-$E$7)*($G$7-$F$7))))</f>
        <v>0.944431802950879</v>
      </c>
      <c r="D467" s="51" t="n">
        <f aca="false">1+IF($G$8=$E$8,$F$8,IF(R467&lt;($F$8-$E$8)/($G$8-$E$8),$E$8+SQRT(R467*($G$8-$E$8)*($F$8-$E$8)),$G$8-SQRT((1-R467)*($G$8-$E$8)*($G$8-$F$8))))</f>
        <v>1.06230290304936</v>
      </c>
      <c r="E467" s="51" t="n">
        <f aca="false">1+IF($G$9=$E$9,$F$9,IF(S467&lt;($F$9-$E$9)/($G$9-$E$9),$E$9+SQRT(S467*($G$9-$E$9)*($F$9-$E$9)),$G$9-SQRT((1-S467)*($G$9-$E$9)*($G$9-$F$9))))</f>
        <v>0.997612159757365</v>
      </c>
      <c r="F467" s="51" t="n">
        <f aca="false">1+IF($G$10=$E$10,$F$10,IF(T467&lt;($F$10-$E$10)/($G$10-$E$10),$E$10+SQRT(T467*($G$10-$E$10)*($F$10-$E$10)),$G$10-SQRT((1-T467)*($G$10-$E$10)*($G$10-$F$10))))</f>
        <v>1.07821042143068</v>
      </c>
      <c r="G467" s="52" t="n">
        <f aca="false">IF($G$11=$E$11,$F$11,IF(U467&lt;($F$11-$E$11)/($G$11-$E$11),$E$11+SQRT(U467*($G$11-$E$11)*($F$11-$E$11)),$G$11-SQRT((1-U467)*($G$11-$E$11)*($G$11-$F$11))))</f>
        <v>0.0953855938674083</v>
      </c>
      <c r="H467" s="53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-2156420842.86136</v>
      </c>
      <c r="I467" s="53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-57468952.2805884</v>
      </c>
      <c r="J467" s="53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182433307.775321</v>
      </c>
      <c r="K467" s="53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476246088.902765</v>
      </c>
      <c r="L467" s="53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588006656.305357</v>
      </c>
      <c r="M467" s="53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762868966.917111</v>
      </c>
      <c r="N467" s="53" t="n">
        <f aca="false">IF(COUNT('Business Case'!B11:G11)=0,"",H467+NPV(G467,I467:M467))</f>
        <v>-802319552.779355</v>
      </c>
      <c r="P467" s="54" t="n">
        <f aca="true">RAND()</f>
        <v>0.365735918736605</v>
      </c>
      <c r="Q467" s="54" t="n">
        <f aca="true">RAND()</f>
        <v>0.442569676250498</v>
      </c>
      <c r="R467" s="54" t="n">
        <f aca="true">RAND()</f>
        <v>0.905261925432913</v>
      </c>
      <c r="S467" s="54" t="n">
        <f aca="true">RAND()</f>
        <v>0.381125349299893</v>
      </c>
      <c r="T467" s="54" t="n">
        <f aca="true">RAND()</f>
        <v>0.606511209266342</v>
      </c>
      <c r="U467" s="54" t="n">
        <f aca="true">RAND()</f>
        <v>0.236716498652833</v>
      </c>
    </row>
    <row r="468" customFormat="false" ht="15" hidden="false" customHeight="false" outlineLevel="0" collapsed="false">
      <c r="A468" s="50" t="n">
        <v>388</v>
      </c>
      <c r="B468" s="51" t="n">
        <f aca="false">1+IF($G$6=$E$6,$F$6,IF(P468&lt;($F$6-$E$6)/($G$6-$E$6),$E$6+SQRT(P468*($G$6-$E$6)*($F$6-$E$6)),$G$6-SQRT((1-P468)*($G$6-$E$6)*($G$6-$F$6))))</f>
        <v>1.0090174558464</v>
      </c>
      <c r="C468" s="51" t="n">
        <f aca="false">1+IF($G$7=$E$7,$F$7,IF(Q468&lt;($F$7-$E$7)/($G$7-$E$7),$E$7+SQRT(Q468*($G$7-$E$7)*($F$7-$E$7)),$G$7-SQRT((1-Q468)*($G$7-$E$7)*($G$7-$F$7))))</f>
        <v>1.00411896748148</v>
      </c>
      <c r="D468" s="51" t="n">
        <f aca="false">1+IF($G$8=$E$8,$F$8,IF(R468&lt;($F$8-$E$8)/($G$8-$E$8),$E$8+SQRT(R468*($G$8-$E$8)*($F$8-$E$8)),$G$8-SQRT((1-R468)*($G$8-$E$8)*($G$8-$F$8))))</f>
        <v>1.03971858554637</v>
      </c>
      <c r="E468" s="51" t="n">
        <f aca="false">1+IF($G$9=$E$9,$F$9,IF(S468&lt;($F$9-$E$9)/($G$9-$E$9),$E$9+SQRT(S468*($G$9-$E$9)*($F$9-$E$9)),$G$9-SQRT((1-S468)*($G$9-$E$9)*($G$9-$F$9))))</f>
        <v>0.991974009178524</v>
      </c>
      <c r="F468" s="51" t="n">
        <f aca="false">1+IF($G$10=$E$10,$F$10,IF(T468&lt;($F$10-$E$10)/($G$10-$E$10),$E$10+SQRT(T468*($G$10-$E$10)*($F$10-$E$10)),$G$10-SQRT((1-T468)*($G$10-$E$10)*($G$10-$F$10))))</f>
        <v>1.11544883201345</v>
      </c>
      <c r="G468" s="52" t="n">
        <f aca="false">IF($G$11=$E$11,$F$11,IF(U468&lt;($F$11-$E$11)/($G$11-$E$11),$E$11+SQRT(U468*($G$11-$E$11)*($F$11-$E$11)),$G$11-SQRT((1-U468)*($G$11-$E$11)*($G$11-$F$11))))</f>
        <v>0.0912678078934532</v>
      </c>
      <c r="H468" s="53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-2230897664.0269</v>
      </c>
      <c r="I468" s="53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-9709476.0008141</v>
      </c>
      <c r="J468" s="53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285707552.962988</v>
      </c>
      <c r="K468" s="53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636897023.527462</v>
      </c>
      <c r="L468" s="53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770384644.954119</v>
      </c>
      <c r="M468" s="53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962968676.367096</v>
      </c>
      <c r="N468" s="53" t="n">
        <f aca="false">IF(COUNT('Business Case'!B11:G11)=0,"",H468+NPV(G468,I468:M468))</f>
        <v>-344325366.765121</v>
      </c>
      <c r="P468" s="54" t="n">
        <f aca="true">RAND()</f>
        <v>0.776057476626416</v>
      </c>
      <c r="Q468" s="54" t="n">
        <f aca="true">RAND()</f>
        <v>0.684721842241914</v>
      </c>
      <c r="R468" s="54" t="n">
        <f aca="true">RAND()</f>
        <v>0.75774340476461</v>
      </c>
      <c r="S468" s="54" t="n">
        <f aca="true">RAND()</f>
        <v>0.338368734574852</v>
      </c>
      <c r="T468" s="54" t="n">
        <f aca="true">RAND()</f>
        <v>0.758613109246077</v>
      </c>
      <c r="U468" s="54" t="n">
        <f aca="true">RAND()</f>
        <v>0.126963494723767</v>
      </c>
    </row>
    <row r="469" customFormat="false" ht="15" hidden="false" customHeight="false" outlineLevel="0" collapsed="false">
      <c r="A469" s="50" t="n">
        <v>389</v>
      </c>
      <c r="B469" s="51" t="n">
        <f aca="false">1+IF($G$6=$E$6,$F$6,IF(P469&lt;($F$6-$E$6)/($G$6-$E$6),$E$6+SQRT(P469*($G$6-$E$6)*($F$6-$E$6)),$G$6-SQRT((1-P469)*($G$6-$E$6)*($G$6-$F$6))))</f>
        <v>1.00430589048432</v>
      </c>
      <c r="C469" s="51" t="n">
        <f aca="false">1+IF($G$7=$E$7,$F$7,IF(Q469&lt;($F$7-$E$7)/($G$7-$E$7),$E$7+SQRT(Q469*($G$7-$E$7)*($F$7-$E$7)),$G$7-SQRT((1-Q469)*($G$7-$E$7)*($G$7-$F$7))))</f>
        <v>1.05634112245084</v>
      </c>
      <c r="D469" s="51" t="n">
        <f aca="false">1+IF($G$8=$E$8,$F$8,IF(R469&lt;($F$8-$E$8)/($G$8-$E$8),$E$8+SQRT(R469*($G$8-$E$8)*($F$8-$E$8)),$G$8-SQRT((1-R469)*($G$8-$E$8)*($G$8-$F$8))))</f>
        <v>0.978644797796529</v>
      </c>
      <c r="E469" s="51" t="n">
        <f aca="false">1+IF($G$9=$E$9,$F$9,IF(S469&lt;($F$9-$E$9)/($G$9-$E$9),$E$9+SQRT(S469*($G$9-$E$9)*($F$9-$E$9)),$G$9-SQRT((1-S469)*($G$9-$E$9)*($G$9-$F$9))))</f>
        <v>1.02773946269936</v>
      </c>
      <c r="F469" s="51" t="n">
        <f aca="false">1+IF($G$10=$E$10,$F$10,IF(T469&lt;($F$10-$E$10)/($G$10-$E$10),$E$10+SQRT(T469*($G$10-$E$10)*($F$10-$E$10)),$G$10-SQRT((1-T469)*($G$10-$E$10)*($G$10-$F$10))))</f>
        <v>1.14127328467228</v>
      </c>
      <c r="G469" s="52" t="n">
        <f aca="false">IF($G$11=$E$11,$F$11,IF(U469&lt;($F$11-$E$11)/($G$11-$E$11),$E$11+SQRT(U469*($G$11-$E$11)*($F$11-$E$11)),$G$11-SQRT((1-U469)*($G$11-$E$11)*($G$11-$F$11))))</f>
        <v>0.0947697729235496</v>
      </c>
      <c r="H469" s="53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-2282546569.34455</v>
      </c>
      <c r="I469" s="53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24462516.0501034</v>
      </c>
      <c r="J469" s="53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364193429.630608</v>
      </c>
      <c r="K469" s="53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760988007.444725</v>
      </c>
      <c r="L469" s="53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910895990.28311</v>
      </c>
      <c r="M469" s="53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1112549887.6633</v>
      </c>
      <c r="N469" s="53" t="n">
        <f aca="false">IF(COUNT('Business Case'!B11:G11)=0,"",H469+NPV(G469,I469:M469))</f>
        <v>-34762533.5283871</v>
      </c>
      <c r="P469" s="54" t="n">
        <f aca="true">RAND()</f>
        <v>0.72160644740921</v>
      </c>
      <c r="Q469" s="54" t="n">
        <f aca="true">RAND()</f>
        <v>0.870044661573789</v>
      </c>
      <c r="R469" s="54" t="n">
        <f aca="true">RAND()</f>
        <v>0.109403258773867</v>
      </c>
      <c r="S469" s="54" t="n">
        <f aca="true">RAND()</f>
        <v>0.601396293838927</v>
      </c>
      <c r="T469" s="54" t="n">
        <f aca="true">RAND()</f>
        <v>0.842380018320585</v>
      </c>
      <c r="U469" s="54" t="n">
        <f aca="true">RAND()</f>
        <v>0.218146192213218</v>
      </c>
    </row>
    <row r="470" customFormat="false" ht="15" hidden="false" customHeight="false" outlineLevel="0" collapsed="false">
      <c r="A470" s="50" t="n">
        <v>390</v>
      </c>
      <c r="B470" s="51" t="n">
        <f aca="false">1+IF($G$6=$E$6,$F$6,IF(P470&lt;($F$6-$E$6)/($G$6-$E$6),$E$6+SQRT(P470*($G$6-$E$6)*($F$6-$E$6)),$G$6-SQRT((1-P470)*($G$6-$E$6)*($G$6-$F$6))))</f>
        <v>0.998019584148483</v>
      </c>
      <c r="C470" s="51" t="n">
        <f aca="false">1+IF($G$7=$E$7,$F$7,IF(Q470&lt;($F$7-$E$7)/($G$7-$E$7),$E$7+SQRT(Q470*($G$7-$E$7)*($F$7-$E$7)),$G$7-SQRT((1-Q470)*($G$7-$E$7)*($G$7-$F$7))))</f>
        <v>1.06594850005156</v>
      </c>
      <c r="D470" s="51" t="n">
        <f aca="false">1+IF($G$8=$E$8,$F$8,IF(R470&lt;($F$8-$E$8)/($G$8-$E$8),$E$8+SQRT(R470*($G$8-$E$8)*($F$8-$E$8)),$G$8-SQRT((1-R470)*($G$8-$E$8)*($G$8-$F$8))))</f>
        <v>1.00411481453895</v>
      </c>
      <c r="E470" s="51" t="n">
        <f aca="false">1+IF($G$9=$E$9,$F$9,IF(S470&lt;($F$9-$E$9)/($G$9-$E$9),$E$9+SQRT(S470*($G$9-$E$9)*($F$9-$E$9)),$G$9-SQRT((1-S470)*($G$9-$E$9)*($G$9-$F$9))))</f>
        <v>1.04773136013623</v>
      </c>
      <c r="F470" s="51" t="n">
        <f aca="false">1+IF($G$10=$E$10,$F$10,IF(T470&lt;($F$10-$E$10)/($G$10-$E$10),$E$10+SQRT(T470*($G$10-$E$10)*($F$10-$E$10)),$G$10-SQRT((1-T470)*($G$10-$E$10)*($G$10-$F$10))))</f>
        <v>1.02806213906288</v>
      </c>
      <c r="G470" s="52" t="n">
        <f aca="false">IF($G$11=$E$11,$F$11,IF(U470&lt;($F$11-$E$11)/($G$11-$E$11),$E$11+SQRT(U470*($G$11-$E$11)*($F$11-$E$11)),$G$11-SQRT((1-U470)*($G$11-$E$11)*($G$11-$F$11))))</f>
        <v>0.107191486992577</v>
      </c>
      <c r="H470" s="53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-2056124278.12576</v>
      </c>
      <c r="I470" s="53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16490813.5654591</v>
      </c>
      <c r="J470" s="53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339924575.346727</v>
      </c>
      <c r="K470" s="53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714761444.081139</v>
      </c>
      <c r="L470" s="53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859338921.273661</v>
      </c>
      <c r="M470" s="53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1061553149.23354</v>
      </c>
      <c r="N470" s="53" t="n">
        <f aca="false">IF(COUNT('Business Case'!B11:G11)=0,"",H470+NPV(G470,I470:M470))</f>
        <v>-27474037.6536362</v>
      </c>
      <c r="P470" s="54" t="n">
        <f aca="true">RAND()</f>
        <v>0.640522591776106</v>
      </c>
      <c r="Q470" s="54" t="n">
        <f aca="true">RAND()</f>
        <v>0.895338449724714</v>
      </c>
      <c r="R470" s="54" t="n">
        <f aca="true">RAND()</f>
        <v>0.387068747273383</v>
      </c>
      <c r="S470" s="54" t="n">
        <f aca="true">RAND()</f>
        <v>0.721096674677712</v>
      </c>
      <c r="T470" s="54" t="n">
        <f aca="true">RAND()</f>
        <v>0.343247811768735</v>
      </c>
      <c r="U470" s="54" t="n">
        <f aca="true">RAND()</f>
        <v>0.653181156260144</v>
      </c>
    </row>
    <row r="471" customFormat="false" ht="15" hidden="false" customHeight="false" outlineLevel="0" collapsed="false">
      <c r="A471" s="50" t="n">
        <v>391</v>
      </c>
      <c r="B471" s="51" t="n">
        <f aca="false">1+IF($G$6=$E$6,$F$6,IF(P471&lt;($F$6-$E$6)/($G$6-$E$6),$E$6+SQRT(P471*($G$6-$E$6)*($F$6-$E$6)),$G$6-SQRT((1-P471)*($G$6-$E$6)*($G$6-$F$6))))</f>
        <v>1.01600422200308</v>
      </c>
      <c r="C471" s="51" t="n">
        <f aca="false">1+IF($G$7=$E$7,$F$7,IF(Q471&lt;($F$7-$E$7)/($G$7-$E$7),$E$7+SQRT(Q471*($G$7-$E$7)*($F$7-$E$7)),$G$7-SQRT((1-Q471)*($G$7-$E$7)*($G$7-$F$7))))</f>
        <v>0.909804528085839</v>
      </c>
      <c r="D471" s="51" t="n">
        <f aca="false">1+IF($G$8=$E$8,$F$8,IF(R471&lt;($F$8-$E$8)/($G$8-$E$8),$E$8+SQRT(R471*($G$8-$E$8)*($F$8-$E$8)),$G$8-SQRT((1-R471)*($G$8-$E$8)*($G$8-$F$8))))</f>
        <v>1.07044830737224</v>
      </c>
      <c r="E471" s="51" t="n">
        <f aca="false">1+IF($G$9=$E$9,$F$9,IF(S471&lt;($F$9-$E$9)/($G$9-$E$9),$E$9+SQRT(S471*($G$9-$E$9)*($F$9-$E$9)),$G$9-SQRT((1-S471)*($G$9-$E$9)*($G$9-$F$9))))</f>
        <v>0.930213737974332</v>
      </c>
      <c r="F471" s="51" t="n">
        <f aca="false">1+IF($G$10=$E$10,$F$10,IF(T471&lt;($F$10-$E$10)/($G$10-$E$10),$E$10+SQRT(T471*($G$10-$E$10)*($F$10-$E$10)),$G$10-SQRT((1-T471)*($G$10-$E$10)*($G$10-$F$10))))</f>
        <v>1.04060178792954</v>
      </c>
      <c r="G471" s="52" t="n">
        <f aca="false">IF($G$11=$E$11,$F$11,IF(U471&lt;($F$11-$E$11)/($G$11-$E$11),$E$11+SQRT(U471*($G$11-$E$11)*($F$11-$E$11)),$G$11-SQRT((1-U471)*($G$11-$E$11)*($G$11-$F$11))))</f>
        <v>0.112388717629183</v>
      </c>
      <c r="H471" s="53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-2081203575.85908</v>
      </c>
      <c r="I471" s="53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-25692210.4605388</v>
      </c>
      <c r="J471" s="53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232871245.543251</v>
      </c>
      <c r="K471" s="53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543464790.943519</v>
      </c>
      <c r="L471" s="53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661598672.365732</v>
      </c>
      <c r="M471" s="53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837302017.51429</v>
      </c>
      <c r="N471" s="53" t="n">
        <f aca="false">IF(COUNT('Business Case'!B11:G11)=0,"",H471+NPV(G471,I471:M471))</f>
        <v>-597615161.137399</v>
      </c>
      <c r="P471" s="54" t="n">
        <f aca="true">RAND()</f>
        <v>0.845904943784547</v>
      </c>
      <c r="Q471" s="54" t="n">
        <f aca="true">RAND()</f>
        <v>0.326058814854233</v>
      </c>
      <c r="R471" s="54" t="n">
        <f aca="true">RAND()</f>
        <v>0.941779830855628</v>
      </c>
      <c r="S471" s="54" t="n">
        <f aca="true">RAND()</f>
        <v>0.0365147984952631</v>
      </c>
      <c r="T471" s="54" t="n">
        <f aca="true">RAND()</f>
        <v>0.415365183755942</v>
      </c>
      <c r="U471" s="54" t="n">
        <f aca="true">RAND()</f>
        <v>0.793228488836907</v>
      </c>
    </row>
    <row r="472" customFormat="false" ht="15" hidden="false" customHeight="false" outlineLevel="0" collapsed="false">
      <c r="A472" s="50" t="n">
        <v>392</v>
      </c>
      <c r="B472" s="51" t="n">
        <f aca="false">1+IF($G$6=$E$6,$F$6,IF(P472&lt;($F$6-$E$6)/($G$6-$E$6),$E$6+SQRT(P472*($G$6-$E$6)*($F$6-$E$6)),$G$6-SQRT((1-P472)*($G$6-$E$6)*($G$6-$F$6))))</f>
        <v>0.977277271643392</v>
      </c>
      <c r="C472" s="51" t="n">
        <f aca="false">1+IF($G$7=$E$7,$F$7,IF(Q472&lt;($F$7-$E$7)/($G$7-$E$7),$E$7+SQRT(Q472*($G$7-$E$7)*($F$7-$E$7)),$G$7-SQRT((1-Q472)*($G$7-$E$7)*($G$7-$F$7))))</f>
        <v>0.92743355471994</v>
      </c>
      <c r="D472" s="51" t="n">
        <f aca="false">1+IF($G$8=$E$8,$F$8,IF(R472&lt;($F$8-$E$8)/($G$8-$E$8),$E$8+SQRT(R472*($G$8-$E$8)*($F$8-$E$8)),$G$8-SQRT((1-R472)*($G$8-$E$8)*($G$8-$F$8))))</f>
        <v>1.02810002062536</v>
      </c>
      <c r="E472" s="51" t="n">
        <f aca="false">1+IF($G$9=$E$9,$F$9,IF(S472&lt;($F$9-$E$9)/($G$9-$E$9),$E$9+SQRT(S472*($G$9-$E$9)*($F$9-$E$9)),$G$9-SQRT((1-S472)*($G$9-$E$9)*($G$9-$F$9))))</f>
        <v>0.936353608175778</v>
      </c>
      <c r="F472" s="51" t="n">
        <f aca="false">1+IF($G$10=$E$10,$F$10,IF(T472&lt;($F$10-$E$10)/($G$10-$E$10),$E$10+SQRT(T472*($G$10-$E$10)*($F$10-$E$10)),$G$10-SQRT((1-T472)*($G$10-$E$10)*($G$10-$F$10))))</f>
        <v>1.08237004867071</v>
      </c>
      <c r="G472" s="52" t="n">
        <f aca="false">IF($G$11=$E$11,$F$11,IF(U472&lt;($F$11-$E$11)/($G$11-$E$11),$E$11+SQRT(U472*($G$11-$E$11)*($F$11-$E$11)),$G$11-SQRT((1-U472)*($G$11-$E$11)*($G$11-$F$11))))</f>
        <v>0.104078466084338</v>
      </c>
      <c r="H472" s="53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-2164740097.34143</v>
      </c>
      <c r="I472" s="53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-34111178.8155803</v>
      </c>
      <c r="J472" s="53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220149818.928405</v>
      </c>
      <c r="K472" s="53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528529319.105925</v>
      </c>
      <c r="L472" s="53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644606777.427186</v>
      </c>
      <c r="M472" s="53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816887635.663479</v>
      </c>
      <c r="N472" s="53" t="n">
        <f aca="false">IF(COUNT('Business Case'!B11:G11)=0,"",H472+NPV(G472,I472:M472))</f>
        <v>-690598793.799709</v>
      </c>
      <c r="P472" s="54" t="n">
        <f aca="true">RAND()</f>
        <v>0.398118447509776</v>
      </c>
      <c r="Q472" s="54" t="n">
        <f aca="true">RAND()</f>
        <v>0.383155717129984</v>
      </c>
      <c r="R472" s="54" t="n">
        <f aca="true">RAND()</f>
        <v>0.655359531061791</v>
      </c>
      <c r="S472" s="54" t="n">
        <f aca="true">RAND()</f>
        <v>0.0528633930959186</v>
      </c>
      <c r="T472" s="54" t="n">
        <f aca="true">RAND()</f>
        <v>0.625335992231219</v>
      </c>
      <c r="U472" s="54" t="n">
        <f aca="true">RAND()</f>
        <v>0.552049386306134</v>
      </c>
    </row>
    <row r="473" customFormat="false" ht="15" hidden="false" customHeight="false" outlineLevel="0" collapsed="false">
      <c r="A473" s="50" t="n">
        <v>393</v>
      </c>
      <c r="B473" s="51" t="n">
        <f aca="false">1+IF($G$6=$E$6,$F$6,IF(P473&lt;($F$6-$E$6)/($G$6-$E$6),$E$6+SQRT(P473*($G$6-$E$6)*($F$6-$E$6)),$G$6-SQRT((1-P473)*($G$6-$E$6)*($G$6-$F$6))))</f>
        <v>0.994133045648749</v>
      </c>
      <c r="C473" s="51" t="n">
        <f aca="false">1+IF($G$7=$E$7,$F$7,IF(Q473&lt;($F$7-$E$7)/($G$7-$E$7),$E$7+SQRT(Q473*($G$7-$E$7)*($F$7-$E$7)),$G$7-SQRT((1-Q473)*($G$7-$E$7)*($G$7-$F$7))))</f>
        <v>1.09178564840502</v>
      </c>
      <c r="D473" s="51" t="n">
        <f aca="false">1+IF($G$8=$E$8,$F$8,IF(R473&lt;($F$8-$E$8)/($G$8-$E$8),$E$8+SQRT(R473*($G$8-$E$8)*($F$8-$E$8)),$G$8-SQRT((1-R473)*($G$8-$E$8)*($G$8-$F$8))))</f>
        <v>0.998122926010299</v>
      </c>
      <c r="E473" s="51" t="n">
        <f aca="false">1+IF($G$9=$E$9,$F$9,IF(S473&lt;($F$9-$E$9)/($G$9-$E$9),$E$9+SQRT(S473*($G$9-$E$9)*($F$9-$E$9)),$G$9-SQRT((1-S473)*($G$9-$E$9)*($G$9-$F$9))))</f>
        <v>1.02204924874641</v>
      </c>
      <c r="F473" s="51" t="n">
        <f aca="false">1+IF($G$10=$E$10,$F$10,IF(T473&lt;($F$10-$E$10)/($G$10-$E$10),$E$10+SQRT(T473*($G$10-$E$10)*($F$10-$E$10)),$G$10-SQRT((1-T473)*($G$10-$E$10)*($G$10-$F$10))))</f>
        <v>1.11414599873207</v>
      </c>
      <c r="G473" s="52" t="n">
        <f aca="false">IF($G$11=$E$11,$F$11,IF(U473&lt;($F$11-$E$11)/($G$11-$E$11),$E$11+SQRT(U473*($G$11-$E$11)*($F$11-$E$11)),$G$11-SQRT((1-U473)*($G$11-$E$11)*($G$11-$F$11))))</f>
        <v>0.0965011123803877</v>
      </c>
      <c r="H473" s="53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-2228291997.46415</v>
      </c>
      <c r="I473" s="53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18130612.7945725</v>
      </c>
      <c r="J473" s="53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349277337.77931</v>
      </c>
      <c r="K473" s="53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736131362.700651</v>
      </c>
      <c r="L473" s="53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884024343.792376</v>
      </c>
      <c r="M473" s="53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1090333410.65817</v>
      </c>
      <c r="N473" s="53" t="n">
        <f aca="false">IF(COUNT('Business Case'!B11:G11)=0,"",H473+NPV(G473,I473:M473))</f>
        <v>-63448920.9538507</v>
      </c>
      <c r="P473" s="54" t="n">
        <f aca="true">RAND()</f>
        <v>0.5907353522073</v>
      </c>
      <c r="Q473" s="54" t="n">
        <f aca="true">RAND()</f>
        <v>0.949793915087058</v>
      </c>
      <c r="R473" s="54" t="n">
        <f aca="true">RAND()</f>
        <v>0.308775467705694</v>
      </c>
      <c r="S473" s="54" t="n">
        <f aca="true">RAND()</f>
        <v>0.563429473430463</v>
      </c>
      <c r="T473" s="54" t="n">
        <f aca="true">RAND()</f>
        <v>0.753915871193254</v>
      </c>
      <c r="U473" s="54" t="n">
        <f aca="true">RAND()</f>
        <v>0.272286709790184</v>
      </c>
    </row>
    <row r="474" customFormat="false" ht="15" hidden="false" customHeight="false" outlineLevel="0" collapsed="false">
      <c r="A474" s="50" t="n">
        <v>394</v>
      </c>
      <c r="B474" s="51" t="n">
        <f aca="false">1+IF($G$6=$E$6,$F$6,IF(P474&lt;($F$6-$E$6)/($G$6-$E$6),$E$6+SQRT(P474*($G$6-$E$6)*($F$6-$E$6)),$G$6-SQRT((1-P474)*($G$6-$E$6)*($G$6-$F$6))))</f>
        <v>0.98346591660309</v>
      </c>
      <c r="C474" s="51" t="n">
        <f aca="false">1+IF($G$7=$E$7,$F$7,IF(Q474&lt;($F$7-$E$7)/($G$7-$E$7),$E$7+SQRT(Q474*($G$7-$E$7)*($F$7-$E$7)),$G$7-SQRT((1-Q474)*($G$7-$E$7)*($G$7-$F$7))))</f>
        <v>1.07333264562253</v>
      </c>
      <c r="D474" s="51" t="n">
        <f aca="false">1+IF($G$8=$E$8,$F$8,IF(R474&lt;($F$8-$E$8)/($G$8-$E$8),$E$8+SQRT(R474*($G$8-$E$8)*($F$8-$E$8)),$G$8-SQRT((1-R474)*($G$8-$E$8)*($G$8-$F$8))))</f>
        <v>0.989700862690966</v>
      </c>
      <c r="E474" s="51" t="n">
        <f aca="false">1+IF($G$9=$E$9,$F$9,IF(S474&lt;($F$9-$E$9)/($G$9-$E$9),$E$9+SQRT(S474*($G$9-$E$9)*($F$9-$E$9)),$G$9-SQRT((1-S474)*($G$9-$E$9)*($G$9-$F$9))))</f>
        <v>0.940546227481878</v>
      </c>
      <c r="F474" s="51" t="n">
        <f aca="false">1+IF($G$10=$E$10,$F$10,IF(T474&lt;($F$10-$E$10)/($G$10-$E$10),$E$10+SQRT(T474*($G$10-$E$10)*($F$10-$E$10)),$G$10-SQRT((1-T474)*($G$10-$E$10)*($G$10-$F$10))))</f>
        <v>1.17968311319978</v>
      </c>
      <c r="G474" s="52" t="n">
        <f aca="false">IF($G$11=$E$11,$F$11,IF(U474&lt;($F$11-$E$11)/($G$11-$E$11),$E$11+SQRT(U474*($G$11-$E$11)*($F$11-$E$11)),$G$11-SQRT((1-U474)*($G$11-$E$11)*($G$11-$F$11))))</f>
        <v>0.101141430699776</v>
      </c>
      <c r="H474" s="53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-2359366226.39957</v>
      </c>
      <c r="I474" s="53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14363950.6243921</v>
      </c>
      <c r="J474" s="53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335163468.200475</v>
      </c>
      <c r="K474" s="53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714947141.436548</v>
      </c>
      <c r="L474" s="53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858361368.684435</v>
      </c>
      <c r="M474" s="53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1059007169.65833</v>
      </c>
      <c r="N474" s="53" t="n">
        <f aca="false">IF(COUNT('Business Case'!B11:G11)=0,"",H474+NPV(G474,I474:M474))</f>
        <v>-296414953.823915</v>
      </c>
      <c r="P474" s="54" t="n">
        <f aca="true">RAND()</f>
        <v>0.464437282292932</v>
      </c>
      <c r="Q474" s="54" t="n">
        <f aca="true">RAND()</f>
        <v>0.912920248485314</v>
      </c>
      <c r="R474" s="54" t="n">
        <f aca="true">RAND()</f>
        <v>0.210154466454261</v>
      </c>
      <c r="S474" s="54" t="n">
        <f aca="true">RAND()</f>
        <v>0.0657598625204883</v>
      </c>
      <c r="T474" s="54" t="n">
        <f aca="true">RAND()</f>
        <v>0.934073805743008</v>
      </c>
      <c r="U474" s="54" t="n">
        <f aca="true">RAND()</f>
        <v>0.44478865196279</v>
      </c>
    </row>
    <row r="475" customFormat="false" ht="15" hidden="false" customHeight="false" outlineLevel="0" collapsed="false">
      <c r="A475" s="50" t="n">
        <v>395</v>
      </c>
      <c r="B475" s="51" t="n">
        <f aca="false">1+IF($G$6=$E$6,$F$6,IF(P475&lt;($F$6-$E$6)/($G$6-$E$6),$E$6+SQRT(P475*($G$6-$E$6)*($F$6-$E$6)),$G$6-SQRT((1-P475)*($G$6-$E$6)*($G$6-$F$6))))</f>
        <v>0.984561475873667</v>
      </c>
      <c r="C475" s="51" t="n">
        <f aca="false">1+IF($G$7=$E$7,$F$7,IF(Q475&lt;($F$7-$E$7)/($G$7-$E$7),$E$7+SQRT(Q475*($G$7-$E$7)*($F$7-$E$7)),$G$7-SQRT((1-Q475)*($G$7-$E$7)*($G$7-$F$7))))</f>
        <v>1.07463257532483</v>
      </c>
      <c r="D475" s="51" t="n">
        <f aca="false">1+IF($G$8=$E$8,$F$8,IF(R475&lt;($F$8-$E$8)/($G$8-$E$8),$E$8+SQRT(R475*($G$8-$E$8)*($F$8-$E$8)),$G$8-SQRT((1-R475)*($G$8-$E$8)*($G$8-$F$8))))</f>
        <v>1.06458758509838</v>
      </c>
      <c r="E475" s="51" t="n">
        <f aca="false">1+IF($G$9=$E$9,$F$9,IF(S475&lt;($F$9-$E$9)/($G$9-$E$9),$E$9+SQRT(S475*($G$9-$E$9)*($F$9-$E$9)),$G$9-SQRT((1-S475)*($G$9-$E$9)*($G$9-$F$9))))</f>
        <v>1.13854718613255</v>
      </c>
      <c r="F475" s="51" t="n">
        <f aca="false">1+IF($G$10=$E$10,$F$10,IF(T475&lt;($F$10-$E$10)/($G$10-$E$10),$E$10+SQRT(T475*($G$10-$E$10)*($F$10-$E$10)),$G$10-SQRT((1-T475)*($G$10-$E$10)*($G$10-$F$10))))</f>
        <v>1.06227222808657</v>
      </c>
      <c r="G475" s="52" t="n">
        <f aca="false">IF($G$11=$E$11,$F$11,IF(U475&lt;($F$11-$E$11)/($G$11-$E$11),$E$11+SQRT(U475*($G$11-$E$11)*($F$11-$E$11)),$G$11-SQRT((1-U475)*($G$11-$E$11)*($G$11-$F$11))))</f>
        <v>0.0876494567898588</v>
      </c>
      <c r="H475" s="53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-2124544456.17314</v>
      </c>
      <c r="I475" s="53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-42022291.8543027</v>
      </c>
      <c r="J475" s="53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238932937.662552</v>
      </c>
      <c r="K475" s="53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573001778.583736</v>
      </c>
      <c r="L475" s="53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703219447.552322</v>
      </c>
      <c r="M475" s="53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904332039.431982</v>
      </c>
      <c r="N475" s="53" t="n">
        <f aca="false">IF(COUNT('Business Case'!B11:G11)=0,"",H475+NPV(G475,I475:M475))</f>
        <v>-419236551.106686</v>
      </c>
      <c r="P475" s="54" t="n">
        <f aca="true">RAND()</f>
        <v>0.476709546795512</v>
      </c>
      <c r="Q475" s="54" t="n">
        <f aca="true">RAND()</f>
        <v>0.915848167375288</v>
      </c>
      <c r="R475" s="54" t="n">
        <f aca="true">RAND()</f>
        <v>0.916397391389051</v>
      </c>
      <c r="S475" s="54" t="n">
        <f aca="true">RAND()</f>
        <v>0.996502214787132</v>
      </c>
      <c r="T475" s="54" t="n">
        <f aca="true">RAND()</f>
        <v>0.530110448698924</v>
      </c>
      <c r="U475" s="54" t="n">
        <f aca="true">RAND()</f>
        <v>0.0585141891799166</v>
      </c>
    </row>
    <row r="476" customFormat="false" ht="15" hidden="false" customHeight="false" outlineLevel="0" collapsed="false">
      <c r="A476" s="50" t="n">
        <v>396</v>
      </c>
      <c r="B476" s="51" t="n">
        <f aca="false">1+IF($G$6=$E$6,$F$6,IF(P476&lt;($F$6-$E$6)/($G$6-$E$6),$E$6+SQRT(P476*($G$6-$E$6)*($F$6-$E$6)),$G$6-SQRT((1-P476)*($G$6-$E$6)*($G$6-$F$6))))</f>
        <v>0.997100829130663</v>
      </c>
      <c r="C476" s="51" t="n">
        <f aca="false">1+IF($G$7=$E$7,$F$7,IF(Q476&lt;($F$7-$E$7)/($G$7-$E$7),$E$7+SQRT(Q476*($G$7-$E$7)*($F$7-$E$7)),$G$7-SQRT((1-Q476)*($G$7-$E$7)*($G$7-$F$7))))</f>
        <v>0.839476904972387</v>
      </c>
      <c r="D476" s="51" t="n">
        <f aca="false">1+IF($G$8=$E$8,$F$8,IF(R476&lt;($F$8-$E$8)/($G$8-$E$8),$E$8+SQRT(R476*($G$8-$E$8)*($F$8-$E$8)),$G$8-SQRT((1-R476)*($G$8-$E$8)*($G$8-$F$8))))</f>
        <v>1.01287143331767</v>
      </c>
      <c r="E476" s="51" t="n">
        <f aca="false">1+IF($G$9=$E$9,$F$9,IF(S476&lt;($F$9-$E$9)/($G$9-$E$9),$E$9+SQRT(S476*($G$9-$E$9)*($F$9-$E$9)),$G$9-SQRT((1-S476)*($G$9-$E$9)*($G$9-$F$9))))</f>
        <v>1.01488950811873</v>
      </c>
      <c r="F476" s="51" t="n">
        <f aca="false">1+IF($G$10=$E$10,$F$10,IF(T476&lt;($F$10-$E$10)/($G$10-$E$10),$E$10+SQRT(T476*($G$10-$E$10)*($F$10-$E$10)),$G$10-SQRT((1-T476)*($G$10-$E$10)*($G$10-$F$10))))</f>
        <v>0.997724145278141</v>
      </c>
      <c r="G476" s="52" t="n">
        <f aca="false">IF($G$11=$E$11,$F$11,IF(U476&lt;($F$11-$E$11)/($G$11-$E$11),$E$11+SQRT(U476*($G$11-$E$11)*($F$11-$E$11)),$G$11-SQRT((1-U476)*($G$11-$E$11)*($G$11-$F$11))))</f>
        <v>0.10357771079573</v>
      </c>
      <c r="H476" s="53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-1995448290.55628</v>
      </c>
      <c r="I476" s="53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-37159888.6110594</v>
      </c>
      <c r="J476" s="53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213162240.59647</v>
      </c>
      <c r="K476" s="53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513370577.067907</v>
      </c>
      <c r="L476" s="53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625739496.961277</v>
      </c>
      <c r="M476" s="53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784844652.827678</v>
      </c>
      <c r="N476" s="53" t="n">
        <f aca="false">IF(COUNT('Business Case'!B11:G11)=0,"",H476+NPV(G476,I476:M476))</f>
        <v>-570778318.257199</v>
      </c>
      <c r="P476" s="54" t="n">
        <f aca="true">RAND()</f>
        <v>0.62857140119082</v>
      </c>
      <c r="Q476" s="54" t="n">
        <f aca="true">RAND()</f>
        <v>0.144102274227232</v>
      </c>
      <c r="R476" s="54" t="n">
        <f aca="true">RAND()</f>
        <v>0.49390752452549</v>
      </c>
      <c r="S476" s="54" t="n">
        <f aca="true">RAND()</f>
        <v>0.51320413289604</v>
      </c>
      <c r="T476" s="54" t="n">
        <f aca="true">RAND()</f>
        <v>0.151839602835273</v>
      </c>
      <c r="U476" s="54" t="n">
        <f aca="true">RAND()</f>
        <v>0.534575088803954</v>
      </c>
    </row>
    <row r="477" customFormat="false" ht="15" hidden="false" customHeight="false" outlineLevel="0" collapsed="false">
      <c r="A477" s="50" t="n">
        <v>397</v>
      </c>
      <c r="B477" s="51" t="n">
        <f aca="false">1+IF($G$6=$E$6,$F$6,IF(P477&lt;($F$6-$E$6)/($G$6-$E$6),$E$6+SQRT(P477*($G$6-$E$6)*($F$6-$E$6)),$G$6-SQRT((1-P477)*($G$6-$E$6)*($G$6-$F$6))))</f>
        <v>0.964925793340511</v>
      </c>
      <c r="C477" s="51" t="n">
        <f aca="false">1+IF($G$7=$E$7,$F$7,IF(Q477&lt;($F$7-$E$7)/($G$7-$E$7),$E$7+SQRT(Q477*($G$7-$E$7)*($F$7-$E$7)),$G$7-SQRT((1-Q477)*($G$7-$E$7)*($G$7-$F$7))))</f>
        <v>0.988130303613496</v>
      </c>
      <c r="D477" s="51" t="n">
        <f aca="false">1+IF($G$8=$E$8,$F$8,IF(R477&lt;($F$8-$E$8)/($G$8-$E$8),$E$8+SQRT(R477*($G$8-$E$8)*($F$8-$E$8)),$G$8-SQRT((1-R477)*($G$8-$E$8)*($G$8-$F$8))))</f>
        <v>1.02238009728721</v>
      </c>
      <c r="E477" s="51" t="n">
        <f aca="false">1+IF($G$9=$E$9,$F$9,IF(S477&lt;($F$9-$E$9)/($G$9-$E$9),$E$9+SQRT(S477*($G$9-$E$9)*($F$9-$E$9)),$G$9-SQRT((1-S477)*($G$9-$E$9)*($G$9-$F$9))))</f>
        <v>1.10371008610008</v>
      </c>
      <c r="F477" s="51" t="n">
        <f aca="false">1+IF($G$10=$E$10,$F$10,IF(T477&lt;($F$10-$E$10)/($G$10-$E$10),$E$10+SQRT(T477*($G$10-$E$10)*($F$10-$E$10)),$G$10-SQRT((1-T477)*($G$10-$E$10)*($G$10-$F$10))))</f>
        <v>1.15463405703033</v>
      </c>
      <c r="G477" s="52" t="n">
        <f aca="false">IF($G$11=$E$11,$F$11,IF(U477&lt;($F$11-$E$11)/($G$11-$E$11),$E$11+SQRT(U477*($G$11-$E$11)*($F$11-$E$11)),$G$11-SQRT((1-U477)*($G$11-$E$11)*($G$11-$F$11))))</f>
        <v>0.0933294551218226</v>
      </c>
      <c r="H477" s="53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-2309268114.06067</v>
      </c>
      <c r="I477" s="53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-58040925.8620211</v>
      </c>
      <c r="J477" s="53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205757138.326859</v>
      </c>
      <c r="K477" s="53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527286905.367256</v>
      </c>
      <c r="L477" s="53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648171600.166507</v>
      </c>
      <c r="M477" s="53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829407637.216108</v>
      </c>
      <c r="N477" s="53" t="n">
        <f aca="false">IF(COUNT('Business Case'!B11:G11)=0,"",H477+NPV(G477,I477:M477))</f>
        <v>-802258772.828537</v>
      </c>
      <c r="P477" s="54" t="n">
        <f aca="true">RAND()</f>
        <v>0.281023909392984</v>
      </c>
      <c r="Q477" s="54" t="n">
        <f aca="true">RAND()</f>
        <v>0.614956087854854</v>
      </c>
      <c r="R477" s="54" t="n">
        <f aca="true">RAND()</f>
        <v>0.598343380190499</v>
      </c>
      <c r="S477" s="54" t="n">
        <f aca="true">RAND()</f>
        <v>0.942859836563672</v>
      </c>
      <c r="T477" s="54" t="n">
        <f aca="true">RAND()</f>
        <v>0.878737825620087</v>
      </c>
      <c r="U477" s="54" t="n">
        <f aca="true">RAND()</f>
        <v>0.177674373844684</v>
      </c>
    </row>
    <row r="478" customFormat="false" ht="15" hidden="false" customHeight="false" outlineLevel="0" collapsed="false">
      <c r="A478" s="50" t="n">
        <v>398</v>
      </c>
      <c r="B478" s="51" t="n">
        <f aca="false">1+IF($G$6=$E$6,$F$6,IF(P478&lt;($F$6-$E$6)/($G$6-$E$6),$E$6+SQRT(P478*($G$6-$E$6)*($F$6-$E$6)),$G$6-SQRT((1-P478)*($G$6-$E$6)*($G$6-$F$6))))</f>
        <v>0.962953116603101</v>
      </c>
      <c r="C478" s="51" t="n">
        <f aca="false">1+IF($G$7=$E$7,$F$7,IF(Q478&lt;($F$7-$E$7)/($G$7-$E$7),$E$7+SQRT(Q478*($G$7-$E$7)*($F$7-$E$7)),$G$7-SQRT((1-Q478)*($G$7-$E$7)*($G$7-$F$7))))</f>
        <v>1.05908219298484</v>
      </c>
      <c r="D478" s="51" t="n">
        <f aca="false">1+IF($G$8=$E$8,$F$8,IF(R478&lt;($F$8-$E$8)/($G$8-$E$8),$E$8+SQRT(R478*($G$8-$E$8)*($F$8-$E$8)),$G$8-SQRT((1-R478)*($G$8-$E$8)*($G$8-$F$8))))</f>
        <v>0.995319198295691</v>
      </c>
      <c r="E478" s="51" t="n">
        <f aca="false">1+IF($G$9=$E$9,$F$9,IF(S478&lt;($F$9-$E$9)/($G$9-$E$9),$E$9+SQRT(S478*($G$9-$E$9)*($F$9-$E$9)),$G$9-SQRT((1-S478)*($G$9-$E$9)*($G$9-$F$9))))</f>
        <v>1.05624780582528</v>
      </c>
      <c r="F478" s="51" t="n">
        <f aca="false">1+IF($G$10=$E$10,$F$10,IF(T478&lt;($F$10-$E$10)/($G$10-$E$10),$E$10+SQRT(T478*($G$10-$E$10)*($F$10-$E$10)),$G$10-SQRT((1-T478)*($G$10-$E$10)*($G$10-$F$10))))</f>
        <v>1.1625041651787</v>
      </c>
      <c r="G478" s="52" t="n">
        <f aca="false">IF($G$11=$E$11,$F$11,IF(U478&lt;($F$11-$E$11)/($G$11-$E$11),$E$11+SQRT(U478*($G$11-$E$11)*($F$11-$E$11)),$G$11-SQRT((1-U478)*($G$11-$E$11)*($G$11-$F$11))))</f>
        <v>0.0919249167351215</v>
      </c>
      <c r="H478" s="53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-2325008330.3574</v>
      </c>
      <c r="I478" s="53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-23617573.4986568</v>
      </c>
      <c r="J478" s="53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272082549.989782</v>
      </c>
      <c r="K478" s="53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625907881.737156</v>
      </c>
      <c r="L478" s="53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759720484.553884</v>
      </c>
      <c r="M478" s="53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953572906.983745</v>
      </c>
      <c r="N478" s="53" t="n">
        <f aca="false">IF(COUNT('Business Case'!B11:G11)=0,"",H478+NPV(G478,I478:M478))</f>
        <v>-488940246.729203</v>
      </c>
      <c r="P478" s="54" t="n">
        <f aca="true">RAND()</f>
        <v>0.264206326002911</v>
      </c>
      <c r="Q478" s="54" t="n">
        <f aca="true">RAND()</f>
        <v>0.877540035074865</v>
      </c>
      <c r="R478" s="54" t="n">
        <f aca="true">RAND()</f>
        <v>0.273843964555217</v>
      </c>
      <c r="S478" s="54" t="n">
        <f aca="true">RAND()</f>
        <v>0.765614028998007</v>
      </c>
      <c r="T478" s="54" t="n">
        <f aca="true">RAND()</f>
        <v>0.897926385185654</v>
      </c>
      <c r="U478" s="54" t="n">
        <f aca="true">RAND()</f>
        <v>0.142203639139581</v>
      </c>
    </row>
    <row r="479" customFormat="false" ht="15" hidden="false" customHeight="false" outlineLevel="0" collapsed="false">
      <c r="A479" s="50" t="n">
        <v>399</v>
      </c>
      <c r="B479" s="51" t="n">
        <f aca="false">1+IF($G$6=$E$6,$F$6,IF(P479&lt;($F$6-$E$6)/($G$6-$E$6),$E$6+SQRT(P479*($G$6-$E$6)*($F$6-$E$6)),$G$6-SQRT((1-P479)*($G$6-$E$6)*($G$6-$F$6))))</f>
        <v>0.991625245391879</v>
      </c>
      <c r="C479" s="51" t="n">
        <f aca="false">1+IF($G$7=$E$7,$F$7,IF(Q479&lt;($F$7-$E$7)/($G$7-$E$7),$E$7+SQRT(Q479*($G$7-$E$7)*($F$7-$E$7)),$G$7-SQRT((1-Q479)*($G$7-$E$7)*($G$7-$F$7))))</f>
        <v>0.922711586144522</v>
      </c>
      <c r="D479" s="51" t="n">
        <f aca="false">1+IF($G$8=$E$8,$F$8,IF(R479&lt;($F$8-$E$8)/($G$8-$E$8),$E$8+SQRT(R479*($G$8-$E$8)*($F$8-$E$8)),$G$8-SQRT((1-R479)*($G$8-$E$8)*($G$8-$F$8))))</f>
        <v>1.06338908386363</v>
      </c>
      <c r="E479" s="51" t="n">
        <f aca="false">1+IF($G$9=$E$9,$F$9,IF(S479&lt;($F$9-$E$9)/($G$9-$E$9),$E$9+SQRT(S479*($G$9-$E$9)*($F$9-$E$9)),$G$9-SQRT((1-S479)*($G$9-$E$9)*($G$9-$F$9))))</f>
        <v>1.0145430629746</v>
      </c>
      <c r="F479" s="51" t="n">
        <f aca="false">1+IF($G$10=$E$10,$F$10,IF(T479&lt;($F$10-$E$10)/($G$10-$E$10),$E$10+SQRT(T479*($G$10-$E$10)*($F$10-$E$10)),$G$10-SQRT((1-T479)*($G$10-$E$10)*($G$10-$F$10))))</f>
        <v>1.17865511405041</v>
      </c>
      <c r="G479" s="52" t="n">
        <f aca="false">IF($G$11=$E$11,$F$11,IF(U479&lt;($F$11-$E$11)/($G$11-$E$11),$E$11+SQRT(U479*($G$11-$E$11)*($F$11-$E$11)),$G$11-SQRT((1-U479)*($G$11-$E$11)*($G$11-$F$11))))</f>
        <v>0.0924045136547203</v>
      </c>
      <c r="H479" s="53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-2357310228.10082</v>
      </c>
      <c r="I479" s="53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-62425086.7742922</v>
      </c>
      <c r="J479" s="53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184716137.312856</v>
      </c>
      <c r="K479" s="53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490790117.102525</v>
      </c>
      <c r="L479" s="53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604792375.732515</v>
      </c>
      <c r="M479" s="53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778712554.037692</v>
      </c>
      <c r="N479" s="53" t="n">
        <f aca="false">IF(COUNT('Business Case'!B11:G11)=0,"",H479+NPV(G479,I479:M479))</f>
        <v>-957929224.59442</v>
      </c>
      <c r="P479" s="54" t="n">
        <f aca="true">RAND()</f>
        <v>0.55967903954147</v>
      </c>
      <c r="Q479" s="54" t="n">
        <f aca="true">RAND()</f>
        <v>0.367410745207471</v>
      </c>
      <c r="R479" s="54" t="n">
        <f aca="true">RAND()</f>
        <v>0.910642721310387</v>
      </c>
      <c r="S479" s="54" t="n">
        <f aca="true">RAND()</f>
        <v>0.510704485645222</v>
      </c>
      <c r="T479" s="54" t="n">
        <f aca="true">RAND()</f>
        <v>0.932132096651201</v>
      </c>
      <c r="U479" s="54" t="n">
        <f aca="true">RAND()</f>
        <v>0.153871959010143</v>
      </c>
    </row>
    <row r="480" customFormat="false" ht="15" hidden="false" customHeight="false" outlineLevel="0" collapsed="false">
      <c r="A480" s="50" t="n">
        <v>400</v>
      </c>
      <c r="B480" s="51" t="n">
        <f aca="false">1+IF($G$6=$E$6,$F$6,IF(P480&lt;($F$6-$E$6)/($G$6-$E$6),$E$6+SQRT(P480*($G$6-$E$6)*($F$6-$E$6)),$G$6-SQRT((1-P480)*($G$6-$E$6)*($G$6-$F$6))))</f>
        <v>1.03591096641369</v>
      </c>
      <c r="C480" s="51" t="n">
        <f aca="false">1+IF($G$7=$E$7,$F$7,IF(Q480&lt;($F$7-$E$7)/($G$7-$E$7),$E$7+SQRT(Q480*($G$7-$E$7)*($F$7-$E$7)),$G$7-SQRT((1-Q480)*($G$7-$E$7)*($G$7-$F$7))))</f>
        <v>1.08428271934959</v>
      </c>
      <c r="D480" s="51" t="n">
        <f aca="false">1+IF($G$8=$E$8,$F$8,IF(R480&lt;($F$8-$E$8)/($G$8-$E$8),$E$8+SQRT(R480*($G$8-$E$8)*($F$8-$E$8)),$G$8-SQRT((1-R480)*($G$8-$E$8)*($G$8-$F$8))))</f>
        <v>1.05899531819094</v>
      </c>
      <c r="E480" s="51" t="n">
        <f aca="false">1+IF($G$9=$E$9,$F$9,IF(S480&lt;($F$9-$E$9)/($G$9-$E$9),$E$9+SQRT(S480*($G$9-$E$9)*($F$9-$E$9)),$G$9-SQRT((1-S480)*($G$9-$E$9)*($G$9-$F$9))))</f>
        <v>0.960486161724862</v>
      </c>
      <c r="F480" s="51" t="n">
        <f aca="false">1+IF($G$10=$E$10,$F$10,IF(T480&lt;($F$10-$E$10)/($G$10-$E$10),$E$10+SQRT(T480*($G$10-$E$10)*($F$10-$E$10)),$G$10-SQRT((1-T480)*($G$10-$E$10)*($G$10-$F$10))))</f>
        <v>1.08126713959383</v>
      </c>
      <c r="G480" s="52" t="n">
        <f aca="false">IF($G$11=$E$11,$F$11,IF(U480&lt;($F$11-$E$11)/($G$11-$E$11),$E$11+SQRT(U480*($G$11-$E$11)*($F$11-$E$11)),$G$11-SQRT((1-U480)*($G$11-$E$11)*($G$11-$F$11))))</f>
        <v>0.113816161644554</v>
      </c>
      <c r="H480" s="53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-2162534279.18766</v>
      </c>
      <c r="I480" s="53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29250451.2834038</v>
      </c>
      <c r="J480" s="53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361436492.168608</v>
      </c>
      <c r="K480" s="53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747685890.033504</v>
      </c>
      <c r="L480" s="53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897233065.958667</v>
      </c>
      <c r="M480" s="53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1110734791.92419</v>
      </c>
      <c r="N480" s="53" t="n">
        <f aca="false">IF(COUNT('Business Case'!B11:G11)=0,"",H480+NPV(G480,I480:M480))</f>
        <v>-72899512.9781938</v>
      </c>
      <c r="P480" s="54" t="n">
        <f aca="true">RAND()</f>
        <v>0.973533217680525</v>
      </c>
      <c r="Q480" s="54" t="n">
        <f aca="true">RAND()</f>
        <v>0.936018355909846</v>
      </c>
      <c r="R480" s="54" t="n">
        <f aca="true">RAND()</f>
        <v>0.887907737982519</v>
      </c>
      <c r="S480" s="54" t="n">
        <f aca="true">RAND()</f>
        <v>0.146343030408247</v>
      </c>
      <c r="T480" s="54" t="n">
        <f aca="true">RAND()</f>
        <v>0.62038962425536</v>
      </c>
      <c r="U480" s="54" t="n">
        <f aca="true">RAND()</f>
        <v>0.82538891738986</v>
      </c>
    </row>
    <row r="481" customFormat="false" ht="15" hidden="false" customHeight="false" outlineLevel="0" collapsed="false">
      <c r="A481" s="50" t="n">
        <v>401</v>
      </c>
      <c r="B481" s="51" t="n">
        <f aca="false">1+IF($G$6=$E$6,$F$6,IF(P481&lt;($F$6-$E$6)/($G$6-$E$6),$E$6+SQRT(P481*($G$6-$E$6)*($F$6-$E$6)),$G$6-SQRT((1-P481)*($G$6-$E$6)*($G$6-$F$6))))</f>
        <v>0.988796530888729</v>
      </c>
      <c r="C481" s="51" t="n">
        <f aca="false">1+IF($G$7=$E$7,$F$7,IF(Q481&lt;($F$7-$E$7)/($G$7-$E$7),$E$7+SQRT(Q481*($G$7-$E$7)*($F$7-$E$7)),$G$7-SQRT((1-Q481)*($G$7-$E$7)*($G$7-$F$7))))</f>
        <v>0.792916473652636</v>
      </c>
      <c r="D481" s="51" t="n">
        <f aca="false">1+IF($G$8=$E$8,$F$8,IF(R481&lt;($F$8-$E$8)/($G$8-$E$8),$E$8+SQRT(R481*($G$8-$E$8)*($F$8-$E$8)),$G$8-SQRT((1-R481)*($G$8-$E$8)*($G$8-$F$8))))</f>
        <v>1.00231141571828</v>
      </c>
      <c r="E481" s="51" t="n">
        <f aca="false">1+IF($G$9=$E$9,$F$9,IF(S481&lt;($F$9-$E$9)/($G$9-$E$9),$E$9+SQRT(S481*($G$9-$E$9)*($F$9-$E$9)),$G$9-SQRT((1-S481)*($G$9-$E$9)*($G$9-$F$9))))</f>
        <v>1.02552450973414</v>
      </c>
      <c r="F481" s="51" t="n">
        <f aca="false">1+IF($G$10=$E$10,$F$10,IF(T481&lt;($F$10-$E$10)/($G$10-$E$10),$E$10+SQRT(T481*($G$10-$E$10)*($F$10-$E$10)),$G$10-SQRT((1-T481)*($G$10-$E$10)*($G$10-$F$10))))</f>
        <v>1.16768359506989</v>
      </c>
      <c r="G481" s="52" t="n">
        <f aca="false">IF($G$11=$E$11,$F$11,IF(U481&lt;($F$11-$E$11)/($G$11-$E$11),$E$11+SQRT(U481*($G$11-$E$11)*($F$11-$E$11)),$G$11-SQRT((1-U481)*($G$11-$E$11)*($G$11-$F$11))))</f>
        <v>0.112148458326683</v>
      </c>
      <c r="H481" s="53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-2335367190.13979</v>
      </c>
      <c r="I481" s="53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-67910720.791027</v>
      </c>
      <c r="J481" s="53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167420776.958258</v>
      </c>
      <c r="K481" s="53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461136454.461037</v>
      </c>
      <c r="L481" s="53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566676469.543551</v>
      </c>
      <c r="M481" s="53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715705473.290353</v>
      </c>
      <c r="N481" s="53" t="n">
        <f aca="false">IF(COUNT('Business Case'!B11:G11)=0,"",H481+NPV(G481,I481:M481))</f>
        <v>-1134782337.68825</v>
      </c>
      <c r="P481" s="54" t="n">
        <f aca="true">RAND()</f>
        <v>0.525654926524862</v>
      </c>
      <c r="Q481" s="54" t="n">
        <f aca="true">RAND()</f>
        <v>0.0639516376003029</v>
      </c>
      <c r="R481" s="54" t="n">
        <f aca="true">RAND()</f>
        <v>0.363796033402164</v>
      </c>
      <c r="S481" s="54" t="n">
        <f aca="true">RAND()</f>
        <v>0.58682272861529</v>
      </c>
      <c r="T481" s="54" t="n">
        <f aca="true">RAND()</f>
        <v>0.909653459725102</v>
      </c>
      <c r="U481" s="54" t="n">
        <f aca="true">RAND()</f>
        <v>0.787548306590551</v>
      </c>
    </row>
    <row r="482" customFormat="false" ht="15" hidden="false" customHeight="false" outlineLevel="0" collapsed="false">
      <c r="A482" s="50" t="n">
        <v>402</v>
      </c>
      <c r="B482" s="51" t="n">
        <f aca="false">1+IF($G$6=$E$6,$F$6,IF(P482&lt;($F$6-$E$6)/($G$6-$E$6),$E$6+SQRT(P482*($G$6-$E$6)*($F$6-$E$6)),$G$6-SQRT((1-P482)*($G$6-$E$6)*($G$6-$F$6))))</f>
        <v>0.96867885754778</v>
      </c>
      <c r="C482" s="51" t="n">
        <f aca="false">1+IF($G$7=$E$7,$F$7,IF(Q482&lt;($F$7-$E$7)/($G$7-$E$7),$E$7+SQRT(Q482*($G$7-$E$7)*($F$7-$E$7)),$G$7-SQRT((1-Q482)*($G$7-$E$7)*($G$7-$F$7))))</f>
        <v>0.978696821529232</v>
      </c>
      <c r="D482" s="51" t="n">
        <f aca="false">1+IF($G$8=$E$8,$F$8,IF(R482&lt;($F$8-$E$8)/($G$8-$E$8),$E$8+SQRT(R482*($G$8-$E$8)*($F$8-$E$8)),$G$8-SQRT((1-R482)*($G$8-$E$8)*($G$8-$F$8))))</f>
        <v>1.05755719762339</v>
      </c>
      <c r="E482" s="51" t="n">
        <f aca="false">1+IF($G$9=$E$9,$F$9,IF(S482&lt;($F$9-$E$9)/($G$9-$E$9),$E$9+SQRT(S482*($G$9-$E$9)*($F$9-$E$9)),$G$9-SQRT((1-S482)*($G$9-$E$9)*($G$9-$F$9))))</f>
        <v>1.04426476451344</v>
      </c>
      <c r="F482" s="51" t="n">
        <f aca="false">1+IF($G$10=$E$10,$F$10,IF(T482&lt;($F$10-$E$10)/($G$10-$E$10),$E$10+SQRT(T482*($G$10-$E$10)*($F$10-$E$10)),$G$10-SQRT((1-T482)*($G$10-$E$10)*($G$10-$F$10))))</f>
        <v>1.00780094249087</v>
      </c>
      <c r="G482" s="52" t="n">
        <f aca="false">IF($G$11=$E$11,$F$11,IF(U482&lt;($F$11-$E$11)/($G$11-$E$11),$E$11+SQRT(U482*($G$11-$E$11)*($F$11-$E$11)),$G$11-SQRT((1-U482)*($G$11-$E$11)*($G$11-$F$11))))</f>
        <v>0.10149843801285</v>
      </c>
      <c r="H482" s="53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-2015601884.98174</v>
      </c>
      <c r="I482" s="53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-51757145.0949135</v>
      </c>
      <c r="J482" s="53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194906798.492194</v>
      </c>
      <c r="K482" s="53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491960789.203846</v>
      </c>
      <c r="L482" s="53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606946467.012298</v>
      </c>
      <c r="M482" s="53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787150465.049085</v>
      </c>
      <c r="N482" s="53" t="n">
        <f aca="false">IF(COUNT('Business Case'!B11:G11)=0,"",H482+NPV(G482,I482:M482))</f>
        <v>-636092224.347591</v>
      </c>
      <c r="P482" s="54" t="n">
        <f aca="true">RAND()</f>
        <v>0.314452364937887</v>
      </c>
      <c r="Q482" s="54" t="n">
        <f aca="true">RAND()</f>
        <v>0.575347543188863</v>
      </c>
      <c r="R482" s="54" t="n">
        <f aca="true">RAND()</f>
        <v>0.879907235094684</v>
      </c>
      <c r="S482" s="54" t="n">
        <f aca="true">RAND()</f>
        <v>0.701868266042691</v>
      </c>
      <c r="T482" s="54" t="n">
        <f aca="true">RAND()</f>
        <v>0.217861553889189</v>
      </c>
      <c r="U482" s="54" t="n">
        <f aca="true">RAND()</f>
        <v>0.458440642861746</v>
      </c>
    </row>
    <row r="483" customFormat="false" ht="15" hidden="false" customHeight="false" outlineLevel="0" collapsed="false">
      <c r="A483" s="50" t="n">
        <v>403</v>
      </c>
      <c r="B483" s="51" t="n">
        <f aca="false">1+IF($G$6=$E$6,$F$6,IF(P483&lt;($F$6-$E$6)/($G$6-$E$6),$E$6+SQRT(P483*($G$6-$E$6)*($F$6-$E$6)),$G$6-SQRT((1-P483)*($G$6-$E$6)*($G$6-$F$6))))</f>
        <v>0.934168675819592</v>
      </c>
      <c r="C483" s="51" t="n">
        <f aca="false">1+IF($G$7=$E$7,$F$7,IF(Q483&lt;($F$7-$E$7)/($G$7-$E$7),$E$7+SQRT(Q483*($G$7-$E$7)*($F$7-$E$7)),$G$7-SQRT((1-Q483)*($G$7-$E$7)*($G$7-$F$7))))</f>
        <v>0.814170606150935</v>
      </c>
      <c r="D483" s="51" t="n">
        <f aca="false">1+IF($G$8=$E$8,$F$8,IF(R483&lt;($F$8-$E$8)/($G$8-$E$8),$E$8+SQRT(R483*($G$8-$E$8)*($F$8-$E$8)),$G$8-SQRT((1-R483)*($G$8-$E$8)*($G$8-$F$8))))</f>
        <v>1.01236154456449</v>
      </c>
      <c r="E483" s="51" t="n">
        <f aca="false">1+IF($G$9=$E$9,$F$9,IF(S483&lt;($F$9-$E$9)/($G$9-$E$9),$E$9+SQRT(S483*($G$9-$E$9)*($F$9-$E$9)),$G$9-SQRT((1-S483)*($G$9-$E$9)*($G$9-$F$9))))</f>
        <v>0.957821292543959</v>
      </c>
      <c r="F483" s="51" t="n">
        <f aca="false">1+IF($G$10=$E$10,$F$10,IF(T483&lt;($F$10-$E$10)/($G$10-$E$10),$E$10+SQRT(T483*($G$10-$E$10)*($F$10-$E$10)),$G$10-SQRT((1-T483)*($G$10-$E$10)*($G$10-$F$10))))</f>
        <v>0.957343789801309</v>
      </c>
      <c r="G483" s="52" t="n">
        <f aca="false">IF($G$11=$E$11,$F$11,IF(U483&lt;($F$11-$E$11)/($G$11-$E$11),$E$11+SQRT(U483*($G$11-$E$11)*($F$11-$E$11)),$G$11-SQRT((1-U483)*($G$11-$E$11)*($G$11-$F$11))))</f>
        <v>0.100805984383362</v>
      </c>
      <c r="H483" s="53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-1914687579.60262</v>
      </c>
      <c r="I483" s="53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-70343258.1682787</v>
      </c>
      <c r="J483" s="53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130678138.021039</v>
      </c>
      <c r="K483" s="53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379566723.700423</v>
      </c>
      <c r="L483" s="53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472859247.482006</v>
      </c>
      <c r="M483" s="53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617428901.933627</v>
      </c>
      <c r="N483" s="53" t="n">
        <f aca="false">IF(COUNT('Business Case'!B11:G11)=0,"",H483+NPV(G483,I483:M483))</f>
        <v>-882202921.843648</v>
      </c>
      <c r="P483" s="54" t="n">
        <f aca="true">RAND()</f>
        <v>0.0778332271509593</v>
      </c>
      <c r="Q483" s="54" t="n">
        <f aca="true">RAND()</f>
        <v>0.0965550171027554</v>
      </c>
      <c r="R483" s="54" t="n">
        <f aca="true">RAND()</f>
        <v>0.487966741925228</v>
      </c>
      <c r="S483" s="54" t="n">
        <f aca="true">RAND()</f>
        <v>0.133732074858164</v>
      </c>
      <c r="T483" s="54" t="n">
        <f aca="true">RAND()</f>
        <v>0.00359541657638704</v>
      </c>
      <c r="U483" s="54" t="n">
        <f aca="true">RAND()</f>
        <v>0.431806301450335</v>
      </c>
    </row>
    <row r="484" customFormat="false" ht="15" hidden="false" customHeight="false" outlineLevel="0" collapsed="false">
      <c r="A484" s="50" t="n">
        <v>404</v>
      </c>
      <c r="B484" s="51" t="n">
        <f aca="false">1+IF($G$6=$E$6,$F$6,IF(P484&lt;($F$6-$E$6)/($G$6-$E$6),$E$6+SQRT(P484*($G$6-$E$6)*($F$6-$E$6)),$G$6-SQRT((1-P484)*($G$6-$E$6)*($G$6-$F$6))))</f>
        <v>0.937264919091001</v>
      </c>
      <c r="C484" s="51" t="n">
        <f aca="false">1+IF($G$7=$E$7,$F$7,IF(Q484&lt;($F$7-$E$7)/($G$7-$E$7),$E$7+SQRT(Q484*($G$7-$E$7)*($F$7-$E$7)),$G$7-SQRT((1-Q484)*($G$7-$E$7)*($G$7-$F$7))))</f>
        <v>1.03022864628083</v>
      </c>
      <c r="D484" s="51" t="n">
        <f aca="false">1+IF($G$8=$E$8,$F$8,IF(R484&lt;($F$8-$E$8)/($G$8-$E$8),$E$8+SQRT(R484*($G$8-$E$8)*($F$8-$E$8)),$G$8-SQRT((1-R484)*($G$8-$E$8)*($G$8-$F$8))))</f>
        <v>0.990105391057731</v>
      </c>
      <c r="E484" s="51" t="n">
        <f aca="false">1+IF($G$9=$E$9,$F$9,IF(S484&lt;($F$9-$E$9)/($G$9-$E$9),$E$9+SQRT(S484*($G$9-$E$9)*($F$9-$E$9)),$G$9-SQRT((1-S484)*($G$9-$E$9)*($G$9-$F$9))))</f>
        <v>0.993896904395258</v>
      </c>
      <c r="F484" s="51" t="n">
        <f aca="false">1+IF($G$10=$E$10,$F$10,IF(T484&lt;($F$10-$E$10)/($G$10-$E$10),$E$10+SQRT(T484*($G$10-$E$10)*($F$10-$E$10)),$G$10-SQRT((1-T484)*($G$10-$E$10)*($G$10-$F$10))))</f>
        <v>1.08119925505709</v>
      </c>
      <c r="G484" s="52" t="n">
        <f aca="false">IF($G$11=$E$11,$F$11,IF(U484&lt;($F$11-$E$11)/($G$11-$E$11),$E$11+SQRT(U484*($G$11-$E$11)*($F$11-$E$11)),$G$11-SQRT((1-U484)*($G$11-$E$11)*($G$11-$F$11))))</f>
        <v>0.0952791425280588</v>
      </c>
      <c r="H484" s="53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-2162398510.11419</v>
      </c>
      <c r="I484" s="53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-30791303.0945993</v>
      </c>
      <c r="J484" s="53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237926016.352193</v>
      </c>
      <c r="K484" s="53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560703298.551841</v>
      </c>
      <c r="L484" s="53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683646776.521222</v>
      </c>
      <c r="M484" s="53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867187486.367037</v>
      </c>
      <c r="N484" s="53" t="n">
        <f aca="false">IF(COUNT('Business Case'!B11:G11)=0,"",H484+NPV(G484,I484:M484))</f>
        <v>-540241676.630937</v>
      </c>
      <c r="P484" s="54" t="n">
        <f aca="true">RAND()</f>
        <v>0.0925782796572586</v>
      </c>
      <c r="Q484" s="54" t="n">
        <f aca="true">RAND()</f>
        <v>0.787478856715227</v>
      </c>
      <c r="R484" s="54" t="n">
        <f aca="true">RAND()</f>
        <v>0.214458985585805</v>
      </c>
      <c r="S484" s="54" t="n">
        <f aca="true">RAND()</f>
        <v>0.352665146200489</v>
      </c>
      <c r="T484" s="54" t="n">
        <f aca="true">RAND()</f>
        <v>0.620084113422936</v>
      </c>
      <c r="U484" s="54" t="n">
        <f aca="true">RAND()</f>
        <v>0.233452196392736</v>
      </c>
    </row>
    <row r="485" customFormat="false" ht="15" hidden="false" customHeight="false" outlineLevel="0" collapsed="false">
      <c r="A485" s="50" t="n">
        <v>405</v>
      </c>
      <c r="B485" s="51" t="n">
        <f aca="false">1+IF($G$6=$E$6,$F$6,IF(P485&lt;($F$6-$E$6)/($G$6-$E$6),$E$6+SQRT(P485*($G$6-$E$6)*($F$6-$E$6)),$G$6-SQRT((1-P485)*($G$6-$E$6)*($G$6-$F$6))))</f>
        <v>0.985468082588203</v>
      </c>
      <c r="C485" s="51" t="n">
        <f aca="false">1+IF($G$7=$E$7,$F$7,IF(Q485&lt;($F$7-$E$7)/($G$7-$E$7),$E$7+SQRT(Q485*($G$7-$E$7)*($F$7-$E$7)),$G$7-SQRT((1-Q485)*($G$7-$E$7)*($G$7-$F$7))))</f>
        <v>0.761159316902354</v>
      </c>
      <c r="D485" s="51" t="n">
        <f aca="false">1+IF($G$8=$E$8,$F$8,IF(R485&lt;($F$8-$E$8)/($G$8-$E$8),$E$8+SQRT(R485*($G$8-$E$8)*($F$8-$E$8)),$G$8-SQRT((1-R485)*($G$8-$E$8)*($G$8-$F$8))))</f>
        <v>1.00923643353778</v>
      </c>
      <c r="E485" s="51" t="n">
        <f aca="false">1+IF($G$9=$E$9,$F$9,IF(S485&lt;($F$9-$E$9)/($G$9-$E$9),$E$9+SQRT(S485*($G$9-$E$9)*($F$9-$E$9)),$G$9-SQRT((1-S485)*($G$9-$E$9)*($G$9-$F$9))))</f>
        <v>1.00794139602187</v>
      </c>
      <c r="F485" s="51" t="n">
        <f aca="false">1+IF($G$10=$E$10,$F$10,IF(T485&lt;($F$10-$E$10)/($G$10-$E$10),$E$10+SQRT(T485*($G$10-$E$10)*($F$10-$E$10)),$G$10-SQRT((1-T485)*($G$10-$E$10)*($G$10-$F$10))))</f>
        <v>0.994154674099468</v>
      </c>
      <c r="G485" s="52" t="n">
        <f aca="false">IF($G$11=$E$11,$F$11,IF(U485&lt;($F$11-$E$11)/($G$11-$E$11),$E$11+SQRT(U485*($G$11-$E$11)*($F$11-$E$11)),$G$11-SQRT((1-U485)*($G$11-$E$11)*($G$11-$F$11))))</f>
        <v>0.106302433688252</v>
      </c>
      <c r="H485" s="53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-1988309348.19894</v>
      </c>
      <c r="I485" s="53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-60497060.6635647</v>
      </c>
      <c r="J485" s="53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160635703.936855</v>
      </c>
      <c r="K485" s="53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431476202.242248</v>
      </c>
      <c r="L485" s="53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531110518.002206</v>
      </c>
      <c r="M485" s="53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673689186.247875</v>
      </c>
      <c r="N485" s="53" t="n">
        <f aca="false">IF(COUNT('Business Case'!B11:G11)=0,"",H485+NPV(G485,I485:M485))</f>
        <v>-831991684.203958</v>
      </c>
      <c r="P485" s="54" t="n">
        <f aca="true">RAND()</f>
        <v>0.486986209420256</v>
      </c>
      <c r="Q485" s="54" t="n">
        <f aca="true">RAND()</f>
        <v>0.0277071262515747</v>
      </c>
      <c r="R485" s="54" t="n">
        <f aca="true">RAND()</f>
        <v>0.450798333537192</v>
      </c>
      <c r="S485" s="54" t="n">
        <f aca="true">RAND()</f>
        <v>0.461849414287578</v>
      </c>
      <c r="T485" s="54" t="n">
        <f aca="true">RAND()</f>
        <v>0.129975682988685</v>
      </c>
      <c r="U485" s="54" t="n">
        <f aca="true">RAND()</f>
        <v>0.625616900600208</v>
      </c>
    </row>
    <row r="486" customFormat="false" ht="15" hidden="false" customHeight="false" outlineLevel="0" collapsed="false">
      <c r="A486" s="50" t="n">
        <v>406</v>
      </c>
      <c r="B486" s="51" t="n">
        <f aca="false">1+IF($G$6=$E$6,$F$6,IF(P486&lt;($F$6-$E$6)/($G$6-$E$6),$E$6+SQRT(P486*($G$6-$E$6)*($F$6-$E$6)),$G$6-SQRT((1-P486)*($G$6-$E$6)*($G$6-$F$6))))</f>
        <v>0.976353970529909</v>
      </c>
      <c r="C486" s="51" t="n">
        <f aca="false">1+IF($G$7=$E$7,$F$7,IF(Q486&lt;($F$7-$E$7)/($G$7-$E$7),$E$7+SQRT(Q486*($G$7-$E$7)*($F$7-$E$7)),$G$7-SQRT((1-Q486)*($G$7-$E$7)*($G$7-$F$7))))</f>
        <v>0.97450978227281</v>
      </c>
      <c r="D486" s="51" t="n">
        <f aca="false">1+IF($G$8=$E$8,$F$8,IF(R486&lt;($F$8-$E$8)/($G$8-$E$8),$E$8+SQRT(R486*($G$8-$E$8)*($F$8-$E$8)),$G$8-SQRT((1-R486)*($G$8-$E$8)*($G$8-$F$8))))</f>
        <v>1.05512761679511</v>
      </c>
      <c r="E486" s="51" t="n">
        <f aca="false">1+IF($G$9=$E$9,$F$9,IF(S486&lt;($F$9-$E$9)/($G$9-$E$9),$E$9+SQRT(S486*($G$9-$E$9)*($F$9-$E$9)),$G$9-SQRT((1-S486)*($G$9-$E$9)*($G$9-$F$9))))</f>
        <v>1.00723025528886</v>
      </c>
      <c r="F486" s="51" t="n">
        <f aca="false">1+IF($G$10=$E$10,$F$10,IF(T486&lt;($F$10-$E$10)/($G$10-$E$10),$E$10+SQRT(T486*($G$10-$E$10)*($F$10-$E$10)),$G$10-SQRT((1-T486)*($G$10-$E$10)*($G$10-$F$10))))</f>
        <v>1.06144408502593</v>
      </c>
      <c r="G486" s="52" t="n">
        <f aca="false">IF($G$11=$E$11,$F$11,IF(U486&lt;($F$11-$E$11)/($G$11-$E$11),$E$11+SQRT(U486*($G$11-$E$11)*($F$11-$E$11)),$G$11-SQRT((1-U486)*($G$11-$E$11)*($G$11-$F$11))))</f>
        <v>0.0911912734016046</v>
      </c>
      <c r="H486" s="53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-2122888170.05186</v>
      </c>
      <c r="I486" s="53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-45749628.4180768</v>
      </c>
      <c r="J486" s="53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207197317.081876</v>
      </c>
      <c r="K486" s="53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513216466.833125</v>
      </c>
      <c r="L486" s="53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630414797.408683</v>
      </c>
      <c r="M486" s="53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811269548.824339</v>
      </c>
      <c r="N486" s="53" t="n">
        <f aca="false">IF(COUNT('Business Case'!B11:G11)=0,"",H486+NPV(G486,I486:M486))</f>
        <v>-626748113.728807</v>
      </c>
      <c r="P486" s="54" t="n">
        <f aca="true">RAND()</f>
        <v>0.388661921045477</v>
      </c>
      <c r="Q486" s="54" t="n">
        <f aca="true">RAND()</f>
        <v>0.558189781951596</v>
      </c>
      <c r="R486" s="54" t="n">
        <f aca="true">RAND()</f>
        <v>0.865764615034244</v>
      </c>
      <c r="S486" s="54" t="n">
        <f aca="true">RAND()</f>
        <v>0.456447999869769</v>
      </c>
      <c r="T486" s="54" t="n">
        <f aca="true">RAND()</f>
        <v>0.525955559043878</v>
      </c>
      <c r="U486" s="54" t="n">
        <f aca="true">RAND()</f>
        <v>0.125244600349464</v>
      </c>
    </row>
    <row r="487" customFormat="false" ht="15" hidden="false" customHeight="false" outlineLevel="0" collapsed="false">
      <c r="A487" s="50" t="n">
        <v>407</v>
      </c>
      <c r="B487" s="51" t="n">
        <f aca="false">1+IF($G$6=$E$6,$F$6,IF(P487&lt;($F$6-$E$6)/($G$6-$E$6),$E$6+SQRT(P487*($G$6-$E$6)*($F$6-$E$6)),$G$6-SQRT((1-P487)*($G$6-$E$6)*($G$6-$F$6))))</f>
        <v>0.992200150212032</v>
      </c>
      <c r="C487" s="51" t="n">
        <f aca="false">1+IF($G$7=$E$7,$F$7,IF(Q487&lt;($F$7-$E$7)/($G$7-$E$7),$E$7+SQRT(Q487*($G$7-$E$7)*($F$7-$E$7)),$G$7-SQRT((1-Q487)*($G$7-$E$7)*($G$7-$F$7))))</f>
        <v>0.925653590060292</v>
      </c>
      <c r="D487" s="51" t="n">
        <f aca="false">1+IF($G$8=$E$8,$F$8,IF(R487&lt;($F$8-$E$8)/($G$8-$E$8),$E$8+SQRT(R487*($G$8-$E$8)*($F$8-$E$8)),$G$8-SQRT((1-R487)*($G$8-$E$8)*($G$8-$F$8))))</f>
        <v>0.972543439956247</v>
      </c>
      <c r="E487" s="51" t="n">
        <f aca="false">1+IF($G$9=$E$9,$F$9,IF(S487&lt;($F$9-$E$9)/($G$9-$E$9),$E$9+SQRT(S487*($G$9-$E$9)*($F$9-$E$9)),$G$9-SQRT((1-S487)*($G$9-$E$9)*($G$9-$F$9))))</f>
        <v>1.02154793852958</v>
      </c>
      <c r="F487" s="51" t="n">
        <f aca="false">1+IF($G$10=$E$10,$F$10,IF(T487&lt;($F$10-$E$10)/($G$10-$E$10),$E$10+SQRT(T487*($G$10-$E$10)*($F$10-$E$10)),$G$10-SQRT((1-T487)*($G$10-$E$10)*($G$10-$F$10))))</f>
        <v>1.15054233735023</v>
      </c>
      <c r="G487" s="52" t="n">
        <f aca="false">IF($G$11=$E$11,$F$11,IF(U487&lt;($F$11-$E$11)/($G$11-$E$11),$E$11+SQRT(U487*($G$11-$E$11)*($F$11-$E$11)),$G$11-SQRT((1-U487)*($G$11-$E$11)*($G$11-$F$11))))</f>
        <v>0.108407813466732</v>
      </c>
      <c r="H487" s="53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-2301084674.70047</v>
      </c>
      <c r="I487" s="53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-16516683.1328113</v>
      </c>
      <c r="J487" s="53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274896583.764642</v>
      </c>
      <c r="K487" s="53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623836967.529607</v>
      </c>
      <c r="L487" s="53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752715789.452981</v>
      </c>
      <c r="M487" s="53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927291654.052873</v>
      </c>
      <c r="N487" s="53" t="n">
        <f aca="false">IF(COUNT('Business Case'!B11:G11)=0,"",H487+NPV(G487,I487:M487))</f>
        <v>-581160886.405342</v>
      </c>
      <c r="P487" s="54" t="n">
        <f aca="true">RAND()</f>
        <v>0.566724513274749</v>
      </c>
      <c r="Q487" s="54" t="n">
        <f aca="true">RAND()</f>
        <v>0.377181797830356</v>
      </c>
      <c r="R487" s="54" t="n">
        <f aca="true">RAND()</f>
        <v>0.0677608913414525</v>
      </c>
      <c r="S487" s="54" t="n">
        <f aca="true">RAND()</f>
        <v>0.560001810773347</v>
      </c>
      <c r="T487" s="54" t="n">
        <f aca="true">RAND()</f>
        <v>0.868108977869935</v>
      </c>
      <c r="U487" s="54" t="n">
        <f aca="true">RAND()</f>
        <v>0.689184987141708</v>
      </c>
    </row>
    <row r="488" customFormat="false" ht="15" hidden="false" customHeight="false" outlineLevel="0" collapsed="false">
      <c r="A488" s="50" t="n">
        <v>408</v>
      </c>
      <c r="B488" s="51" t="n">
        <f aca="false">1+IF($G$6=$E$6,$F$6,IF(P488&lt;($F$6-$E$6)/($G$6-$E$6),$E$6+SQRT(P488*($G$6-$E$6)*($F$6-$E$6)),$G$6-SQRT((1-P488)*($G$6-$E$6)*($G$6-$F$6))))</f>
        <v>0.996679456884149</v>
      </c>
      <c r="C488" s="51" t="n">
        <f aca="false">1+IF($G$7=$E$7,$F$7,IF(Q488&lt;($F$7-$E$7)/($G$7-$E$7),$E$7+SQRT(Q488*($G$7-$E$7)*($F$7-$E$7)),$G$7-SQRT((1-Q488)*($G$7-$E$7)*($G$7-$F$7))))</f>
        <v>0.993379071375404</v>
      </c>
      <c r="D488" s="51" t="n">
        <f aca="false">1+IF($G$8=$E$8,$F$8,IF(R488&lt;($F$8-$E$8)/($G$8-$E$8),$E$8+SQRT(R488*($G$8-$E$8)*($F$8-$E$8)),$G$8-SQRT((1-R488)*($G$8-$E$8)*($G$8-$F$8))))</f>
        <v>1.05013629178234</v>
      </c>
      <c r="E488" s="51" t="n">
        <f aca="false">1+IF($G$9=$E$9,$F$9,IF(S488&lt;($F$9-$E$9)/($G$9-$E$9),$E$9+SQRT(S488*($G$9-$E$9)*($F$9-$E$9)),$G$9-SQRT((1-S488)*($G$9-$E$9)*($G$9-$F$9))))</f>
        <v>0.9745284792519</v>
      </c>
      <c r="F488" s="51" t="n">
        <f aca="false">1+IF($G$10=$E$10,$F$10,IF(T488&lt;($F$10-$E$10)/($G$10-$E$10),$E$10+SQRT(T488*($G$10-$E$10)*($F$10-$E$10)),$G$10-SQRT((1-T488)*($G$10-$E$10)*($G$10-$F$10))))</f>
        <v>0.967220408314166</v>
      </c>
      <c r="G488" s="52" t="n">
        <f aca="false">IF($G$11=$E$11,$F$11,IF(U488&lt;($F$11-$E$11)/($G$11-$E$11),$E$11+SQRT(U488*($G$11-$E$11)*($F$11-$E$11)),$G$11-SQRT((1-U488)*($G$11-$E$11)*($G$11-$F$11))))</f>
        <v>0.0887847764403099</v>
      </c>
      <c r="H488" s="53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-1934440816.62833</v>
      </c>
      <c r="I488" s="53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-9704991.64450796</v>
      </c>
      <c r="J488" s="53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267215781.10349</v>
      </c>
      <c r="K488" s="53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592497574.267196</v>
      </c>
      <c r="L488" s="53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719021681.057507</v>
      </c>
      <c r="M488" s="53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907216185.032892</v>
      </c>
      <c r="N488" s="53" t="n">
        <f aca="false">IF(COUNT('Business Case'!B11:G11)=0,"",H488+NPV(G488,I488:M488))</f>
        <v>-154314280.503717</v>
      </c>
      <c r="P488" s="54" t="n">
        <f aca="true">RAND()</f>
        <v>0.62312782556094</v>
      </c>
      <c r="Q488" s="54" t="n">
        <f aca="true">RAND()</f>
        <v>0.637565033489589</v>
      </c>
      <c r="R488" s="54" t="n">
        <f aca="true">RAND()</f>
        <v>0.834240706852291</v>
      </c>
      <c r="S488" s="54" t="n">
        <f aca="true">RAND()</f>
        <v>0.222179768784034</v>
      </c>
      <c r="T488" s="54" t="n">
        <f aca="true">RAND()</f>
        <v>0.019769497500439</v>
      </c>
      <c r="U488" s="54" t="n">
        <f aca="true">RAND()</f>
        <v>0.0771722971062236</v>
      </c>
    </row>
    <row r="489" customFormat="false" ht="15" hidden="false" customHeight="false" outlineLevel="0" collapsed="false">
      <c r="A489" s="50" t="n">
        <v>409</v>
      </c>
      <c r="B489" s="51" t="n">
        <f aca="false">1+IF($G$6=$E$6,$F$6,IF(P489&lt;($F$6-$E$6)/($G$6-$E$6),$E$6+SQRT(P489*($G$6-$E$6)*($F$6-$E$6)),$G$6-SQRT((1-P489)*($G$6-$E$6)*($G$6-$F$6))))</f>
        <v>1.01372075532943</v>
      </c>
      <c r="C489" s="51" t="n">
        <f aca="false">1+IF($G$7=$E$7,$F$7,IF(Q489&lt;($F$7-$E$7)/($G$7-$E$7),$E$7+SQRT(Q489*($G$7-$E$7)*($F$7-$E$7)),$G$7-SQRT((1-Q489)*($G$7-$E$7)*($G$7-$F$7))))</f>
        <v>0.970140247596787</v>
      </c>
      <c r="D489" s="51" t="n">
        <f aca="false">1+IF($G$8=$E$8,$F$8,IF(R489&lt;($F$8-$E$8)/($G$8-$E$8),$E$8+SQRT(R489*($G$8-$E$8)*($F$8-$E$8)),$G$8-SQRT((1-R489)*($G$8-$E$8)*($G$8-$F$8))))</f>
        <v>1.03421142070284</v>
      </c>
      <c r="E489" s="51" t="n">
        <f aca="false">1+IF($G$9=$E$9,$F$9,IF(S489&lt;($F$9-$E$9)/($G$9-$E$9),$E$9+SQRT(S489*($G$9-$E$9)*($F$9-$E$9)),$G$9-SQRT((1-S489)*($G$9-$E$9)*($G$9-$F$9))))</f>
        <v>1.10147194876948</v>
      </c>
      <c r="F489" s="51" t="n">
        <f aca="false">1+IF($G$10=$E$10,$F$10,IF(T489&lt;($F$10-$E$10)/($G$10-$E$10),$E$10+SQRT(T489*($G$10-$E$10)*($F$10-$E$10)),$G$10-SQRT((1-T489)*($G$10-$E$10)*($G$10-$F$10))))</f>
        <v>1.09346373945501</v>
      </c>
      <c r="G489" s="52" t="n">
        <f aca="false">IF($G$11=$E$11,$F$11,IF(U489&lt;($F$11-$E$11)/($G$11-$E$11),$E$11+SQRT(U489*($G$11-$E$11)*($F$11-$E$11)),$G$11-SQRT((1-U489)*($G$11-$E$11)*($G$11-$F$11))))</f>
        <v>0.124972535091143</v>
      </c>
      <c r="H489" s="53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-2186927478.91001</v>
      </c>
      <c r="I489" s="53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-25065130.7023262</v>
      </c>
      <c r="J489" s="53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266827539.28474</v>
      </c>
      <c r="K489" s="53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613393396.244557</v>
      </c>
      <c r="L489" s="53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744679029.992827</v>
      </c>
      <c r="M489" s="53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931613453.965359</v>
      </c>
      <c r="N489" s="53" t="n">
        <f aca="false">IF(COUNT('Business Case'!B11:G11)=0,"",H489+NPV(G489,I489:M489))</f>
        <v>-585546559.23464</v>
      </c>
      <c r="P489" s="54" t="n">
        <f aca="true">RAND()</f>
        <v>0.824508854151042</v>
      </c>
      <c r="Q489" s="54" t="n">
        <f aca="true">RAND()</f>
        <v>0.540561136086321</v>
      </c>
      <c r="R489" s="54" t="n">
        <f aca="true">RAND()</f>
        <v>0.711457522270718</v>
      </c>
      <c r="S489" s="54" t="n">
        <f aca="true">RAND()</f>
        <v>0.937200753167144</v>
      </c>
      <c r="T489" s="54" t="n">
        <f aca="true">RAND()</f>
        <v>0.673285321794527</v>
      </c>
      <c r="U489" s="54" t="n">
        <f aca="true">RAND()</f>
        <v>0.983149731060138</v>
      </c>
    </row>
    <row r="490" customFormat="false" ht="15" hidden="false" customHeight="false" outlineLevel="0" collapsed="false">
      <c r="A490" s="50" t="n">
        <v>410</v>
      </c>
      <c r="B490" s="51" t="n">
        <f aca="false">1+IF($G$6=$E$6,$F$6,IF(P490&lt;($F$6-$E$6)/($G$6-$E$6),$E$6+SQRT(P490*($G$6-$E$6)*($F$6-$E$6)),$G$6-SQRT((1-P490)*($G$6-$E$6)*($G$6-$F$6))))</f>
        <v>1.01046858776533</v>
      </c>
      <c r="C490" s="51" t="n">
        <f aca="false">1+IF($G$7=$E$7,$F$7,IF(Q490&lt;($F$7-$E$7)/($G$7-$E$7),$E$7+SQRT(Q490*($G$7-$E$7)*($F$7-$E$7)),$G$7-SQRT((1-Q490)*($G$7-$E$7)*($G$7-$F$7))))</f>
        <v>0.951288116311338</v>
      </c>
      <c r="D490" s="51" t="n">
        <f aca="false">1+IF($G$8=$E$8,$F$8,IF(R490&lt;($F$8-$E$8)/($G$8-$E$8),$E$8+SQRT(R490*($G$8-$E$8)*($F$8-$E$8)),$G$8-SQRT((1-R490)*($G$8-$E$8)*($G$8-$F$8))))</f>
        <v>1.01125813231956</v>
      </c>
      <c r="E490" s="51" t="n">
        <f aca="false">1+IF($G$9=$E$9,$F$9,IF(S490&lt;($F$9-$E$9)/($G$9-$E$9),$E$9+SQRT(S490*($G$9-$E$9)*($F$9-$E$9)),$G$9-SQRT((1-S490)*($G$9-$E$9)*($G$9-$F$9))))</f>
        <v>0.960637675823661</v>
      </c>
      <c r="F490" s="51" t="n">
        <f aca="false">1+IF($G$10=$E$10,$F$10,IF(T490&lt;($F$10-$E$10)/($G$10-$E$10),$E$10+SQRT(T490*($G$10-$E$10)*($F$10-$E$10)),$G$10-SQRT((1-T490)*($G$10-$E$10)*($G$10-$F$10))))</f>
        <v>1.17686276590426</v>
      </c>
      <c r="G490" s="52" t="n">
        <f aca="false">IF($G$11=$E$11,$F$11,IF(U490&lt;($F$11-$E$11)/($G$11-$E$11),$E$11+SQRT(U490*($G$11-$E$11)*($F$11-$E$11)),$G$11-SQRT((1-U490)*($G$11-$E$11)*($G$11-$F$11))))</f>
        <v>0.110410139589471</v>
      </c>
      <c r="H490" s="53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-2353725531.80852</v>
      </c>
      <c r="I490" s="53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-9255616.54594626</v>
      </c>
      <c r="J490" s="53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285608753.010394</v>
      </c>
      <c r="K490" s="53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639316260.861946</v>
      </c>
      <c r="L490" s="53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770825072.053883</v>
      </c>
      <c r="M490" s="53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953538856.089579</v>
      </c>
      <c r="N490" s="53" t="n">
        <f aca="false">IF(COUNT('Business Case'!B11:G11)=0,"",H490+NPV(G490,I490:M490))</f>
        <v>-591629649.360974</v>
      </c>
      <c r="P490" s="54" t="n">
        <f aca="true">RAND()</f>
        <v>0.791635659564321</v>
      </c>
      <c r="Q490" s="54" t="n">
        <f aca="true">RAND()</f>
        <v>0.467746054809632</v>
      </c>
      <c r="R490" s="54" t="n">
        <f aca="true">RAND()</f>
        <v>0.474992061372483</v>
      </c>
      <c r="S490" s="54" t="n">
        <f aca="true">RAND()</f>
        <v>0.147077109171816</v>
      </c>
      <c r="T490" s="54" t="n">
        <f aca="true">RAND()</f>
        <v>0.928679266517667</v>
      </c>
      <c r="U490" s="54" t="n">
        <f aca="true">RAND()</f>
        <v>0.744158246063992</v>
      </c>
    </row>
    <row r="491" customFormat="false" ht="15" hidden="false" customHeight="false" outlineLevel="0" collapsed="false">
      <c r="A491" s="50" t="n">
        <v>411</v>
      </c>
      <c r="B491" s="51" t="n">
        <f aca="false">1+IF($G$6=$E$6,$F$6,IF(P491&lt;($F$6-$E$6)/($G$6-$E$6),$E$6+SQRT(P491*($G$6-$E$6)*($F$6-$E$6)),$G$6-SQRT((1-P491)*($G$6-$E$6)*($G$6-$F$6))))</f>
        <v>0.96361175497264</v>
      </c>
      <c r="C491" s="51" t="n">
        <f aca="false">1+IF($G$7=$E$7,$F$7,IF(Q491&lt;($F$7-$E$7)/($G$7-$E$7),$E$7+SQRT(Q491*($G$7-$E$7)*($F$7-$E$7)),$G$7-SQRT((1-Q491)*($G$7-$E$7)*($G$7-$F$7))))</f>
        <v>0.761750658508114</v>
      </c>
      <c r="D491" s="51" t="n">
        <f aca="false">1+IF($G$8=$E$8,$F$8,IF(R491&lt;($F$8-$E$8)/($G$8-$E$8),$E$8+SQRT(R491*($G$8-$E$8)*($F$8-$E$8)),$G$8-SQRT((1-R491)*($G$8-$E$8)*($G$8-$F$8))))</f>
        <v>0.983968519666601</v>
      </c>
      <c r="E491" s="51" t="n">
        <f aca="false">1+IF($G$9=$E$9,$F$9,IF(S491&lt;($F$9-$E$9)/($G$9-$E$9),$E$9+SQRT(S491*($G$9-$E$9)*($F$9-$E$9)),$G$9-SQRT((1-S491)*($G$9-$E$9)*($G$9-$F$9))))</f>
        <v>0.949338111085131</v>
      </c>
      <c r="F491" s="51" t="n">
        <f aca="false">1+IF($G$10=$E$10,$F$10,IF(T491&lt;($F$10-$E$10)/($G$10-$E$10),$E$10+SQRT(T491*($G$10-$E$10)*($F$10-$E$10)),$G$10-SQRT((1-T491)*($G$10-$E$10)*($G$10-$F$10))))</f>
        <v>1.02267626007786</v>
      </c>
      <c r="G491" s="52" t="n">
        <f aca="false">IF($G$11=$E$11,$F$11,IF(U491&lt;($F$11-$E$11)/($G$11-$E$11),$E$11+SQRT(U491*($G$11-$E$11)*($F$11-$E$11)),$G$11-SQRT((1-U491)*($G$11-$E$11)*($G$11-$F$11))))</f>
        <v>0.100013485209653</v>
      </c>
      <c r="H491" s="53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-2045352520.15572</v>
      </c>
      <c r="I491" s="53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-57794586.0461065</v>
      </c>
      <c r="J491" s="53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159726546.432277</v>
      </c>
      <c r="K491" s="53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428381491.914553</v>
      </c>
      <c r="L491" s="53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526256678.154279</v>
      </c>
      <c r="M491" s="53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665781459.595738</v>
      </c>
      <c r="N491" s="53" t="n">
        <f aca="false">IF(COUNT('Business Case'!B11:G11)=0,"",H491+NPV(G491,I491:M491))</f>
        <v>-871257383.742681</v>
      </c>
      <c r="P491" s="54" t="n">
        <f aca="true">RAND()</f>
        <v>0.269763691379946</v>
      </c>
      <c r="Q491" s="54" t="n">
        <f aca="true">RAND()</f>
        <v>0.0282455098235975</v>
      </c>
      <c r="R491" s="54" t="n">
        <f aca="true">RAND()</f>
        <v>0.153848043778698</v>
      </c>
      <c r="S491" s="54" t="n">
        <f aca="true">RAND()</f>
        <v>0.0973699682179491</v>
      </c>
      <c r="T491" s="54" t="n">
        <f aca="true">RAND()</f>
        <v>0.31098556357081</v>
      </c>
      <c r="U491" s="54" t="n">
        <f aca="true">RAND()</f>
        <v>0.400539287152197</v>
      </c>
    </row>
    <row r="492" customFormat="false" ht="15" hidden="false" customHeight="false" outlineLevel="0" collapsed="false">
      <c r="A492" s="50" t="n">
        <v>412</v>
      </c>
      <c r="B492" s="51" t="n">
        <f aca="false">1+IF($G$6=$E$6,$F$6,IF(P492&lt;($F$6-$E$6)/($G$6-$E$6),$E$6+SQRT(P492*($G$6-$E$6)*($F$6-$E$6)),$G$6-SQRT((1-P492)*($G$6-$E$6)*($G$6-$F$6))))</f>
        <v>0.994353614191814</v>
      </c>
      <c r="C492" s="51" t="n">
        <f aca="false">1+IF($G$7=$E$7,$F$7,IF(Q492&lt;($F$7-$E$7)/($G$7-$E$7),$E$7+SQRT(Q492*($G$7-$E$7)*($F$7-$E$7)),$G$7-SQRT((1-Q492)*($G$7-$E$7)*($G$7-$F$7))))</f>
        <v>1.00018296494501</v>
      </c>
      <c r="D492" s="51" t="n">
        <f aca="false">1+IF($G$8=$E$8,$F$8,IF(R492&lt;($F$8-$E$8)/($G$8-$E$8),$E$8+SQRT(R492*($G$8-$E$8)*($F$8-$E$8)),$G$8-SQRT((1-R492)*($G$8-$E$8)*($G$8-$F$8))))</f>
        <v>1.07174123307023</v>
      </c>
      <c r="E492" s="51" t="n">
        <f aca="false">1+IF($G$9=$E$9,$F$9,IF(S492&lt;($F$9-$E$9)/($G$9-$E$9),$E$9+SQRT(S492*($G$9-$E$9)*($F$9-$E$9)),$G$9-SQRT((1-S492)*($G$9-$E$9)*($G$9-$F$9))))</f>
        <v>0.990859755857499</v>
      </c>
      <c r="F492" s="51" t="n">
        <f aca="false">1+IF($G$10=$E$10,$F$10,IF(T492&lt;($F$10-$E$10)/($G$10-$E$10),$E$10+SQRT(T492*($G$10-$E$10)*($F$10-$E$10)),$G$10-SQRT((1-T492)*($G$10-$E$10)*($G$10-$F$10))))</f>
        <v>1.03105122599165</v>
      </c>
      <c r="G492" s="52" t="n">
        <f aca="false">IF($G$11=$E$11,$F$11,IF(U492&lt;($F$11-$E$11)/($G$11-$E$11),$E$11+SQRT(U492*($G$11-$E$11)*($F$11-$E$11)),$G$11-SQRT((1-U492)*($G$11-$E$11)*($G$11-$F$11))))</f>
        <v>0.0871499682062365</v>
      </c>
      <c r="H492" s="53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-2062102451.9833</v>
      </c>
      <c r="I492" s="53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-29712038.7948397</v>
      </c>
      <c r="J492" s="53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236138024.999455</v>
      </c>
      <c r="K492" s="53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553540650.093332</v>
      </c>
      <c r="L492" s="53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676528486.496119</v>
      </c>
      <c r="M492" s="53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865569803.088572</v>
      </c>
      <c r="N492" s="53" t="n">
        <f aca="false">IF(COUNT('Business Case'!B11:G11)=0,"",H492+NPV(G492,I492:M492))</f>
        <v>-404542085.373438</v>
      </c>
      <c r="P492" s="54" t="n">
        <f aca="true">RAND()</f>
        <v>0.593506967403847</v>
      </c>
      <c r="Q492" s="54" t="n">
        <f aca="true">RAND()</f>
        <v>0.667479348256773</v>
      </c>
      <c r="R492" s="54" t="n">
        <f aca="true">RAND()</f>
        <v>0.946762806107262</v>
      </c>
      <c r="S492" s="54" t="n">
        <f aca="true">RAND()</f>
        <v>0.330219809379373</v>
      </c>
      <c r="T492" s="54" t="n">
        <f aca="true">RAND()</f>
        <v>0.360819124803208</v>
      </c>
      <c r="U492" s="54" t="n">
        <f aca="true">RAND()</f>
        <v>0.0511220453501926</v>
      </c>
    </row>
    <row r="493" customFormat="false" ht="15" hidden="false" customHeight="false" outlineLevel="0" collapsed="false">
      <c r="A493" s="50" t="n">
        <v>413</v>
      </c>
      <c r="B493" s="51" t="n">
        <f aca="false">1+IF($G$6=$E$6,$F$6,IF(P493&lt;($F$6-$E$6)/($G$6-$E$6),$E$6+SQRT(P493*($G$6-$E$6)*($F$6-$E$6)),$G$6-SQRT((1-P493)*($G$6-$E$6)*($G$6-$F$6))))</f>
        <v>1.01414328064807</v>
      </c>
      <c r="C493" s="51" t="n">
        <f aca="false">1+IF($G$7=$E$7,$F$7,IF(Q493&lt;($F$7-$E$7)/($G$7-$E$7),$E$7+SQRT(Q493*($G$7-$E$7)*($F$7-$E$7)),$G$7-SQRT((1-Q493)*($G$7-$E$7)*($G$7-$F$7))))</f>
        <v>0.842539724041936</v>
      </c>
      <c r="D493" s="51" t="n">
        <f aca="false">1+IF($G$8=$E$8,$F$8,IF(R493&lt;($F$8-$E$8)/($G$8-$E$8),$E$8+SQRT(R493*($G$8-$E$8)*($F$8-$E$8)),$G$8-SQRT((1-R493)*($G$8-$E$8)*($G$8-$F$8))))</f>
        <v>0.971032346815217</v>
      </c>
      <c r="E493" s="51" t="n">
        <f aca="false">1+IF($G$9=$E$9,$F$9,IF(S493&lt;($F$9-$E$9)/($G$9-$E$9),$E$9+SQRT(S493*($G$9-$E$9)*($F$9-$E$9)),$G$9-SQRT((1-S493)*($G$9-$E$9)*($G$9-$F$9))))</f>
        <v>1.06675561438412</v>
      </c>
      <c r="F493" s="51" t="n">
        <f aca="false">1+IF($G$10=$E$10,$F$10,IF(T493&lt;($F$10-$E$10)/($G$10-$E$10),$E$10+SQRT(T493*($G$10-$E$10)*($F$10-$E$10)),$G$10-SQRT((1-T493)*($G$10-$E$10)*($G$10-$F$10))))</f>
        <v>1.05779295908173</v>
      </c>
      <c r="G493" s="52" t="n">
        <f aca="false">IF($G$11=$E$11,$F$11,IF(U493&lt;($F$11-$E$11)/($G$11-$E$11),$E$11+SQRT(U493*($G$11-$E$11)*($F$11-$E$11)),$G$11-SQRT((1-U493)*($G$11-$E$11)*($G$11-$F$11))))</f>
        <v>0.123645234429473</v>
      </c>
      <c r="H493" s="53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-2115585918.16346</v>
      </c>
      <c r="I493" s="53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-20724770.6235634</v>
      </c>
      <c r="J493" s="53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260317402.05694</v>
      </c>
      <c r="K493" s="53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594249222.691529</v>
      </c>
      <c r="L493" s="53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717459946.272012</v>
      </c>
      <c r="M493" s="53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879874942.717077</v>
      </c>
      <c r="N493" s="53" t="n">
        <f aca="false">IF(COUNT('Business Case'!B11:G11)=0,"",H493+NPV(G493,I493:M493))</f>
        <v>-567689871.625469</v>
      </c>
      <c r="P493" s="54" t="n">
        <f aca="true">RAND()</f>
        <v>0.828572756975604</v>
      </c>
      <c r="Q493" s="54" t="n">
        <f aca="true">RAND()</f>
        <v>0.150500540221861</v>
      </c>
      <c r="R493" s="54" t="n">
        <f aca="true">RAND()</f>
        <v>0.0589812816740764</v>
      </c>
      <c r="S493" s="54" t="n">
        <f aca="true">RAND()</f>
        <v>0.81520992702491</v>
      </c>
      <c r="T493" s="54" t="n">
        <f aca="true">RAND()</f>
        <v>0.507419378952568</v>
      </c>
      <c r="U493" s="54" t="n">
        <f aca="true">RAND()</f>
        <v>0.973077969695767</v>
      </c>
    </row>
    <row r="494" customFormat="false" ht="15" hidden="false" customHeight="false" outlineLevel="0" collapsed="false">
      <c r="A494" s="50" t="n">
        <v>414</v>
      </c>
      <c r="B494" s="51" t="n">
        <f aca="false">1+IF($G$6=$E$6,$F$6,IF(P494&lt;($F$6-$E$6)/($G$6-$E$6),$E$6+SQRT(P494*($G$6-$E$6)*($F$6-$E$6)),$G$6-SQRT((1-P494)*($G$6-$E$6)*($G$6-$F$6))))</f>
        <v>0.976771698752692</v>
      </c>
      <c r="C494" s="51" t="n">
        <f aca="false">1+IF($G$7=$E$7,$F$7,IF(Q494&lt;($F$7-$E$7)/($G$7-$E$7),$E$7+SQRT(Q494*($G$7-$E$7)*($F$7-$E$7)),$G$7-SQRT((1-Q494)*($G$7-$E$7)*($G$7-$F$7))))</f>
        <v>0.839652220888236</v>
      </c>
      <c r="D494" s="51" t="n">
        <f aca="false">1+IF($G$8=$E$8,$F$8,IF(R494&lt;($F$8-$E$8)/($G$8-$E$8),$E$8+SQRT(R494*($G$8-$E$8)*($F$8-$E$8)),$G$8-SQRT((1-R494)*($G$8-$E$8)*($G$8-$F$8))))</f>
        <v>0.996086509085718</v>
      </c>
      <c r="E494" s="51" t="n">
        <f aca="false">1+IF($G$9=$E$9,$F$9,IF(S494&lt;($F$9-$E$9)/($G$9-$E$9),$E$9+SQRT(S494*($G$9-$E$9)*($F$9-$E$9)),$G$9-SQRT((1-S494)*($G$9-$E$9)*($G$9-$F$9))))</f>
        <v>1.05486458511281</v>
      </c>
      <c r="F494" s="51" t="n">
        <f aca="false">1+IF($G$10=$E$10,$F$10,IF(T494&lt;($F$10-$E$10)/($G$10-$E$10),$E$10+SQRT(T494*($G$10-$E$10)*($F$10-$E$10)),$G$10-SQRT((1-T494)*($G$10-$E$10)*($G$10-$F$10))))</f>
        <v>1.11101013849576</v>
      </c>
      <c r="G494" s="52" t="n">
        <f aca="false">IF($G$11=$E$11,$F$11,IF(U494&lt;($F$11-$E$11)/($G$11-$E$11),$E$11+SQRT(U494*($G$11-$E$11)*($F$11-$E$11)),$G$11-SQRT((1-U494)*($G$11-$E$11)*($G$11-$F$11))))</f>
        <v>0.103179873043859</v>
      </c>
      <c r="H494" s="53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-2222020276.99153</v>
      </c>
      <c r="I494" s="53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-60011174.3009602</v>
      </c>
      <c r="J494" s="53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183596908.846753</v>
      </c>
      <c r="K494" s="53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482755498.919253</v>
      </c>
      <c r="L494" s="53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592302526.365861</v>
      </c>
      <c r="M494" s="53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748196358.218064</v>
      </c>
      <c r="N494" s="53" t="n">
        <f aca="false">IF(COUNT('Business Case'!B11:G11)=0,"",H494+NPV(G494,I494:M494))</f>
        <v>-908164816.150576</v>
      </c>
      <c r="P494" s="54" t="n">
        <f aca="true">RAND()</f>
        <v>0.392926248624944</v>
      </c>
      <c r="Q494" s="54" t="n">
        <f aca="true">RAND()</f>
        <v>0.144464761474198</v>
      </c>
      <c r="R494" s="54" t="n">
        <f aca="true">RAND()</f>
        <v>0.283195509294399</v>
      </c>
      <c r="S494" s="54" t="n">
        <f aca="true">RAND()</f>
        <v>0.75864674224645</v>
      </c>
      <c r="T494" s="54" t="n">
        <f aca="true">RAND()</f>
        <v>0.742424245320446</v>
      </c>
      <c r="U494" s="54" t="n">
        <f aca="true">RAND()</f>
        <v>0.520453860037659</v>
      </c>
    </row>
    <row r="495" customFormat="false" ht="15" hidden="false" customHeight="false" outlineLevel="0" collapsed="false">
      <c r="A495" s="50" t="n">
        <v>415</v>
      </c>
      <c r="B495" s="51" t="n">
        <f aca="false">1+IF($G$6=$E$6,$F$6,IF(P495&lt;($F$6-$E$6)/($G$6-$E$6),$E$6+SQRT(P495*($G$6-$E$6)*($F$6-$E$6)),$G$6-SQRT((1-P495)*($G$6-$E$6)*($G$6-$F$6))))</f>
        <v>0.95756441479924</v>
      </c>
      <c r="C495" s="51" t="n">
        <f aca="false">1+IF($G$7=$E$7,$F$7,IF(Q495&lt;($F$7-$E$7)/($G$7-$E$7),$E$7+SQRT(Q495*($G$7-$E$7)*($F$7-$E$7)),$G$7-SQRT((1-Q495)*($G$7-$E$7)*($G$7-$F$7))))</f>
        <v>0.890005204527155</v>
      </c>
      <c r="D495" s="51" t="n">
        <f aca="false">1+IF($G$8=$E$8,$F$8,IF(R495&lt;($F$8-$E$8)/($G$8-$E$8),$E$8+SQRT(R495*($G$8-$E$8)*($F$8-$E$8)),$G$8-SQRT((1-R495)*($G$8-$E$8)*($G$8-$F$8))))</f>
        <v>1.0600305310539</v>
      </c>
      <c r="E495" s="51" t="n">
        <f aca="false">1+IF($G$9=$E$9,$F$9,IF(S495&lt;($F$9-$E$9)/($G$9-$E$9),$E$9+SQRT(S495*($G$9-$E$9)*($F$9-$E$9)),$G$9-SQRT((1-S495)*($G$9-$E$9)*($G$9-$F$9))))</f>
        <v>1.020818536979</v>
      </c>
      <c r="F495" s="51" t="n">
        <f aca="false">1+IF($G$10=$E$10,$F$10,IF(T495&lt;($F$10-$E$10)/($G$10-$E$10),$E$10+SQRT(T495*($G$10-$E$10)*($F$10-$E$10)),$G$10-SQRT((1-T495)*($G$10-$E$10)*($G$10-$F$10))))</f>
        <v>1.1014359355851</v>
      </c>
      <c r="G495" s="52" t="n">
        <f aca="false">IF($G$11=$E$11,$F$11,IF(U495&lt;($F$11-$E$11)/($G$11-$E$11),$E$11+SQRT(U495*($G$11-$E$11)*($F$11-$E$11)),$G$11-SQRT((1-U495)*($G$11-$E$11)*($G$11-$F$11))))</f>
        <v>0.114490873854224</v>
      </c>
      <c r="H495" s="53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-2202871871.17019</v>
      </c>
      <c r="I495" s="53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-84402313.9688581</v>
      </c>
      <c r="J495" s="53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130679343.876901</v>
      </c>
      <c r="K495" s="53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400832798.501915</v>
      </c>
      <c r="L495" s="53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501980005.982298</v>
      </c>
      <c r="M495" s="53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663973274.407177</v>
      </c>
      <c r="N495" s="53" t="n">
        <f aca="false">IF(COUNT('Business Case'!B11:G11)=0,"",H495+NPV(G495,I495:M495))</f>
        <v>-1172304810.38995</v>
      </c>
      <c r="P495" s="54" t="n">
        <f aca="true">RAND()</f>
        <v>0.220910790078599</v>
      </c>
      <c r="Q495" s="54" t="n">
        <f aca="true">RAND()</f>
        <v>0.267422057388193</v>
      </c>
      <c r="R495" s="54" t="n">
        <f aca="true">RAND()</f>
        <v>0.893496103477799</v>
      </c>
      <c r="S495" s="54" t="n">
        <f aca="true">RAND()</f>
        <v>0.554990656313426</v>
      </c>
      <c r="T495" s="54" t="n">
        <f aca="true">RAND()</f>
        <v>0.705716250193655</v>
      </c>
      <c r="U495" s="54" t="n">
        <f aca="true">RAND()</f>
        <v>0.839644670796281</v>
      </c>
    </row>
    <row r="496" customFormat="false" ht="15" hidden="false" customHeight="false" outlineLevel="0" collapsed="false">
      <c r="A496" s="50" t="n">
        <v>416</v>
      </c>
      <c r="B496" s="51" t="n">
        <f aca="false">1+IF($G$6=$E$6,$F$6,IF(P496&lt;($F$6-$E$6)/($G$6-$E$6),$E$6+SQRT(P496*($G$6-$E$6)*($F$6-$E$6)),$G$6-SQRT((1-P496)*($G$6-$E$6)*($G$6-$F$6))))</f>
        <v>1.00200427099866</v>
      </c>
      <c r="C496" s="51" t="n">
        <f aca="false">1+IF($G$7=$E$7,$F$7,IF(Q496&lt;($F$7-$E$7)/($G$7-$E$7),$E$7+SQRT(Q496*($G$7-$E$7)*($F$7-$E$7)),$G$7-SQRT((1-Q496)*($G$7-$E$7)*($G$7-$F$7))))</f>
        <v>1.03748228561611</v>
      </c>
      <c r="D496" s="51" t="n">
        <f aca="false">1+IF($G$8=$E$8,$F$8,IF(R496&lt;($F$8-$E$8)/($G$8-$E$8),$E$8+SQRT(R496*($G$8-$E$8)*($F$8-$E$8)),$G$8-SQRT((1-R496)*($G$8-$E$8)*($G$8-$F$8))))</f>
        <v>1.00783234897689</v>
      </c>
      <c r="E496" s="51" t="n">
        <f aca="false">1+IF($G$9=$E$9,$F$9,IF(S496&lt;($F$9-$E$9)/($G$9-$E$9),$E$9+SQRT(S496*($G$9-$E$9)*($F$9-$E$9)),$G$9-SQRT((1-S496)*($G$9-$E$9)*($G$9-$F$9))))</f>
        <v>1.03495974715155</v>
      </c>
      <c r="F496" s="51" t="n">
        <f aca="false">1+IF($G$10=$E$10,$F$10,IF(T496&lt;($F$10-$E$10)/($G$10-$E$10),$E$10+SQRT(T496*($G$10-$E$10)*($F$10-$E$10)),$G$10-SQRT((1-T496)*($G$10-$E$10)*($G$10-$F$10))))</f>
        <v>1.01938628131795</v>
      </c>
      <c r="G496" s="52" t="n">
        <f aca="false">IF($G$11=$E$11,$F$11,IF(U496&lt;($F$11-$E$11)/($G$11-$E$11),$E$11+SQRT(U496*($G$11-$E$11)*($F$11-$E$11)),$G$11-SQRT((1-U496)*($G$11-$E$11)*($G$11-$F$11))))</f>
        <v>0.0871404177090864</v>
      </c>
      <c r="H496" s="53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-2038772562.63591</v>
      </c>
      <c r="I496" s="53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13207329.3518461</v>
      </c>
      <c r="J496" s="53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329415440.43762</v>
      </c>
      <c r="K496" s="53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696592865.589292</v>
      </c>
      <c r="L496" s="53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837922820.989338</v>
      </c>
      <c r="M496" s="53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1035522705.36567</v>
      </c>
      <c r="N496" s="53" t="n">
        <f aca="false">IF(COUNT('Business Case'!B11:G11)=0,"",H496+NPV(G496,I496:M496))</f>
        <v>76045109.2801609</v>
      </c>
      <c r="P496" s="54" t="n">
        <f aca="true">RAND()</f>
        <v>0.692854666350645</v>
      </c>
      <c r="Q496" s="54" t="n">
        <f aca="true">RAND()</f>
        <v>0.812440947404831</v>
      </c>
      <c r="R496" s="54" t="n">
        <f aca="true">RAND()</f>
        <v>0.433674940325464</v>
      </c>
      <c r="S496" s="54" t="n">
        <f aca="true">RAND()</f>
        <v>0.647086405988412</v>
      </c>
      <c r="T496" s="54" t="n">
        <f aca="true">RAND()</f>
        <v>0.290897503408514</v>
      </c>
      <c r="U496" s="54" t="n">
        <f aca="true">RAND()</f>
        <v>0.0509855650602346</v>
      </c>
    </row>
    <row r="497" customFormat="false" ht="15" hidden="false" customHeight="false" outlineLevel="0" collapsed="false">
      <c r="A497" s="50" t="n">
        <v>417</v>
      </c>
      <c r="B497" s="51" t="n">
        <f aca="false">1+IF($G$6=$E$6,$F$6,IF(P497&lt;($F$6-$E$6)/($G$6-$E$6),$E$6+SQRT(P497*($G$6-$E$6)*($F$6-$E$6)),$G$6-SQRT((1-P497)*($G$6-$E$6)*($G$6-$F$6))))</f>
        <v>1.03642960896451</v>
      </c>
      <c r="C497" s="51" t="n">
        <f aca="false">1+IF($G$7=$E$7,$F$7,IF(Q497&lt;($F$7-$E$7)/($G$7-$E$7),$E$7+SQRT(Q497*($G$7-$E$7)*($F$7-$E$7)),$G$7-SQRT((1-Q497)*($G$7-$E$7)*($G$7-$F$7))))</f>
        <v>0.979628682256069</v>
      </c>
      <c r="D497" s="51" t="n">
        <f aca="false">1+IF($G$8=$E$8,$F$8,IF(R497&lt;($F$8-$E$8)/($G$8-$E$8),$E$8+SQRT(R497*($G$8-$E$8)*($F$8-$E$8)),$G$8-SQRT((1-R497)*($G$8-$E$8)*($G$8-$F$8))))</f>
        <v>0.994004535926482</v>
      </c>
      <c r="E497" s="51" t="n">
        <f aca="false">1+IF($G$9=$E$9,$F$9,IF(S497&lt;($F$9-$E$9)/($G$9-$E$9),$E$9+SQRT(S497*($G$9-$E$9)*($F$9-$E$9)),$G$9-SQRT((1-S497)*($G$9-$E$9)*($G$9-$F$9))))</f>
        <v>0.968190966042748</v>
      </c>
      <c r="F497" s="51" t="n">
        <f aca="false">1+IF($G$10=$E$10,$F$10,IF(T497&lt;($F$10-$E$10)/($G$10-$E$10),$E$10+SQRT(T497*($G$10-$E$10)*($F$10-$E$10)),$G$10-SQRT((1-T497)*($G$10-$E$10)*($G$10-$F$10))))</f>
        <v>1.23856730883272</v>
      </c>
      <c r="G497" s="52" t="n">
        <f aca="false">IF($G$11=$E$11,$F$11,IF(U497&lt;($F$11-$E$11)/($G$11-$E$11),$E$11+SQRT(U497*($G$11-$E$11)*($F$11-$E$11)),$G$11-SQRT((1-U497)*($G$11-$E$11)*($G$11-$F$11))))</f>
        <v>0.100278645067056</v>
      </c>
      <c r="H497" s="53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-2477134617.66544</v>
      </c>
      <c r="I497" s="53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18964730.4245128</v>
      </c>
      <c r="J497" s="53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352096937.46426</v>
      </c>
      <c r="K497" s="53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747157509.945642</v>
      </c>
      <c r="L497" s="53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893290905.866014</v>
      </c>
      <c r="M497" s="53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1086282203.85519</v>
      </c>
      <c r="N497" s="53" t="n">
        <f aca="false">IF(COUNT('Business Case'!B11:G11)=0,"",H497+NPV(G497,I497:M497))</f>
        <v>-324978344.189924</v>
      </c>
      <c r="P497" s="54" t="n">
        <f aca="true">RAND()</f>
        <v>0.9754459316192</v>
      </c>
      <c r="Q497" s="54" t="n">
        <f aca="true">RAND()</f>
        <v>0.579201481039004</v>
      </c>
      <c r="R497" s="54" t="n">
        <f aca="true">RAND()</f>
        <v>0.258186557614009</v>
      </c>
      <c r="S497" s="54" t="n">
        <f aca="true">RAND()</f>
        <v>0.186000313993726</v>
      </c>
      <c r="T497" s="54" t="n">
        <f aca="true">RAND()</f>
        <v>0.998257247635648</v>
      </c>
      <c r="U497" s="54" t="n">
        <f aca="true">RAND()</f>
        <v>0.411094040633306</v>
      </c>
    </row>
    <row r="498" customFormat="false" ht="15" hidden="false" customHeight="false" outlineLevel="0" collapsed="false">
      <c r="A498" s="50" t="n">
        <v>418</v>
      </c>
      <c r="B498" s="51" t="n">
        <f aca="false">1+IF($G$6=$E$6,$F$6,IF(P498&lt;($F$6-$E$6)/($G$6-$E$6),$E$6+SQRT(P498*($G$6-$E$6)*($F$6-$E$6)),$G$6-SQRT((1-P498)*($G$6-$E$6)*($G$6-$F$6))))</f>
        <v>0.994637020277211</v>
      </c>
      <c r="C498" s="51" t="n">
        <f aca="false">1+IF($G$7=$E$7,$F$7,IF(Q498&lt;($F$7-$E$7)/($G$7-$E$7),$E$7+SQRT(Q498*($G$7-$E$7)*($F$7-$E$7)),$G$7-SQRT((1-Q498)*($G$7-$E$7)*($G$7-$F$7))))</f>
        <v>0.958469184558326</v>
      </c>
      <c r="D498" s="51" t="n">
        <f aca="false">1+IF($G$8=$E$8,$F$8,IF(R498&lt;($F$8-$E$8)/($G$8-$E$8),$E$8+SQRT(R498*($G$8-$E$8)*($F$8-$E$8)),$G$8-SQRT((1-R498)*($G$8-$E$8)*($G$8-$F$8))))</f>
        <v>1.00188016417211</v>
      </c>
      <c r="E498" s="51" t="n">
        <f aca="false">1+IF($G$9=$E$9,$F$9,IF(S498&lt;($F$9-$E$9)/($G$9-$E$9),$E$9+SQRT(S498*($G$9-$E$9)*($F$9-$E$9)),$G$9-SQRT((1-S498)*($G$9-$E$9)*($G$9-$F$9))))</f>
        <v>1.04513448839176</v>
      </c>
      <c r="F498" s="51" t="n">
        <f aca="false">1+IF($G$10=$E$10,$F$10,IF(T498&lt;($F$10-$E$10)/($G$10-$E$10),$E$10+SQRT(T498*($G$10-$E$10)*($F$10-$E$10)),$G$10-SQRT((1-T498)*($G$10-$E$10)*($G$10-$F$10))))</f>
        <v>1.10734366552284</v>
      </c>
      <c r="G498" s="52" t="n">
        <f aca="false">IF($G$11=$E$11,$F$11,IF(U498&lt;($F$11-$E$11)/($G$11-$E$11),$E$11+SQRT(U498*($G$11-$E$11)*($F$11-$E$11)),$G$11-SQRT((1-U498)*($G$11-$E$11)*($G$11-$F$11))))</f>
        <v>0.0916825547676194</v>
      </c>
      <c r="H498" s="53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-2214687331.04567</v>
      </c>
      <c r="I498" s="53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-19510091.753864</v>
      </c>
      <c r="J498" s="53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269752879.219808</v>
      </c>
      <c r="K498" s="53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614383033.469621</v>
      </c>
      <c r="L498" s="53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743751071.744807</v>
      </c>
      <c r="M498" s="53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924959835.473266</v>
      </c>
      <c r="N498" s="53" t="n">
        <f aca="false">IF(COUNT('Business Case'!B11:G11)=0,"",H498+NPV(G498,I498:M498))</f>
        <v>-413793190.129779</v>
      </c>
      <c r="P498" s="54" t="n">
        <f aca="true">RAND()</f>
        <v>0.597077707129955</v>
      </c>
      <c r="Q498" s="54" t="n">
        <f aca="true">RAND()</f>
        <v>0.494861624935156</v>
      </c>
      <c r="R498" s="54" t="n">
        <f aca="true">RAND()</f>
        <v>0.358166521140475</v>
      </c>
      <c r="S498" s="54" t="n">
        <f aca="true">RAND()</f>
        <v>0.706752652670478</v>
      </c>
      <c r="T498" s="54" t="n">
        <f aca="true">RAND()</f>
        <v>0.728655603113856</v>
      </c>
      <c r="U498" s="54" t="n">
        <f aca="true">RAND()</f>
        <v>0.136482085898426</v>
      </c>
    </row>
    <row r="499" customFormat="false" ht="15" hidden="false" customHeight="false" outlineLevel="0" collapsed="false">
      <c r="A499" s="50" t="n">
        <v>419</v>
      </c>
      <c r="B499" s="51" t="n">
        <f aca="false">1+IF($G$6=$E$6,$F$6,IF(P499&lt;($F$6-$E$6)/($G$6-$E$6),$E$6+SQRT(P499*($G$6-$E$6)*($F$6-$E$6)),$G$6-SQRT((1-P499)*($G$6-$E$6)*($G$6-$F$6))))</f>
        <v>1.00592034794072</v>
      </c>
      <c r="C499" s="51" t="n">
        <f aca="false">1+IF($G$7=$E$7,$F$7,IF(Q499&lt;($F$7-$E$7)/($G$7-$E$7),$E$7+SQRT(Q499*($G$7-$E$7)*($F$7-$E$7)),$G$7-SQRT((1-Q499)*($G$7-$E$7)*($G$7-$F$7))))</f>
        <v>0.955363192558833</v>
      </c>
      <c r="D499" s="51" t="n">
        <f aca="false">1+IF($G$8=$E$8,$F$8,IF(R499&lt;($F$8-$E$8)/($G$8-$E$8),$E$8+SQRT(R499*($G$8-$E$8)*($F$8-$E$8)),$G$8-SQRT((1-R499)*($G$8-$E$8)*($G$8-$F$8))))</f>
        <v>1.03572372135102</v>
      </c>
      <c r="E499" s="51" t="n">
        <f aca="false">1+IF($G$9=$E$9,$F$9,IF(S499&lt;($F$9-$E$9)/($G$9-$E$9),$E$9+SQRT(S499*($G$9-$E$9)*($F$9-$E$9)),$G$9-SQRT((1-S499)*($G$9-$E$9)*($G$9-$F$9))))</f>
        <v>1.06649665226233</v>
      </c>
      <c r="F499" s="51" t="n">
        <f aca="false">1+IF($G$10=$E$10,$F$10,IF(T499&lt;($F$10-$E$10)/($G$10-$E$10),$E$10+SQRT(T499*($G$10-$E$10)*($F$10-$E$10)),$G$10-SQRT((1-T499)*($G$10-$E$10)*($G$10-$F$10))))</f>
        <v>1.08995650898766</v>
      </c>
      <c r="G499" s="52" t="n">
        <f aca="false">IF($G$11=$E$11,$F$11,IF(U499&lt;($F$11-$E$11)/($G$11-$E$11),$E$11+SQRT(U499*($G$11-$E$11)*($F$11-$E$11)),$G$11-SQRT((1-U499)*($G$11-$E$11)*($G$11-$F$11))))</f>
        <v>0.0971152250281191</v>
      </c>
      <c r="H499" s="53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-2179913017.97531</v>
      </c>
      <c r="I499" s="53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-29867643.3872775</v>
      </c>
      <c r="J499" s="53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250735427.295467</v>
      </c>
      <c r="K499" s="53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585836323.427595</v>
      </c>
      <c r="L499" s="53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712583506.468212</v>
      </c>
      <c r="M499" s="53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895254050.27324</v>
      </c>
      <c r="N499" s="53" t="n">
        <f aca="false">IF(COUNT('Business Case'!B11:G11)=0,"",H499+NPV(G499,I499:M499))</f>
        <v>-500125212.30011</v>
      </c>
      <c r="P499" s="54" t="n">
        <f aca="true">RAND()</f>
        <v>0.740931236577721</v>
      </c>
      <c r="Q499" s="54" t="n">
        <f aca="true">RAND()</f>
        <v>0.483039704546959</v>
      </c>
      <c r="R499" s="54" t="n">
        <f aca="true">RAND()</f>
        <v>0.724570666869213</v>
      </c>
      <c r="S499" s="54" t="n">
        <f aca="true">RAND()</f>
        <v>0.814058424442723</v>
      </c>
      <c r="T499" s="54" t="n">
        <f aca="true">RAND()</f>
        <v>0.658481079794424</v>
      </c>
      <c r="U499" s="54" t="n">
        <f aca="true">RAND()</f>
        <v>0.292930927763154</v>
      </c>
    </row>
    <row r="500" customFormat="false" ht="15" hidden="false" customHeight="false" outlineLevel="0" collapsed="false">
      <c r="A500" s="50" t="n">
        <v>420</v>
      </c>
      <c r="B500" s="51" t="n">
        <f aca="false">1+IF($G$6=$E$6,$F$6,IF(P500&lt;($F$6-$E$6)/($G$6-$E$6),$E$6+SQRT(P500*($G$6-$E$6)*($F$6-$E$6)),$G$6-SQRT((1-P500)*($G$6-$E$6)*($G$6-$F$6))))</f>
        <v>0.98128817581214</v>
      </c>
      <c r="C500" s="51" t="n">
        <f aca="false">1+IF($G$7=$E$7,$F$7,IF(Q500&lt;($F$7-$E$7)/($G$7-$E$7),$E$7+SQRT(Q500*($G$7-$E$7)*($F$7-$E$7)),$G$7-SQRT((1-Q500)*($G$7-$E$7)*($G$7-$F$7))))</f>
        <v>0.812468568749784</v>
      </c>
      <c r="D500" s="51" t="n">
        <f aca="false">1+IF($G$8=$E$8,$F$8,IF(R500&lt;($F$8-$E$8)/($G$8-$E$8),$E$8+SQRT(R500*($G$8-$E$8)*($F$8-$E$8)),$G$8-SQRT((1-R500)*($G$8-$E$8)*($G$8-$F$8))))</f>
        <v>1.0023301267488</v>
      </c>
      <c r="E500" s="51" t="n">
        <f aca="false">1+IF($G$9=$E$9,$F$9,IF(S500&lt;($F$9-$E$9)/($G$9-$E$9),$E$9+SQRT(S500*($G$9-$E$9)*($F$9-$E$9)),$G$9-SQRT((1-S500)*($G$9-$E$9)*($G$9-$F$9))))</f>
        <v>1.08217079505302</v>
      </c>
      <c r="F500" s="51" t="n">
        <f aca="false">1+IF($G$10=$E$10,$F$10,IF(T500&lt;($F$10-$E$10)/($G$10-$E$10),$E$10+SQRT(T500*($G$10-$E$10)*($F$10-$E$10)),$G$10-SQRT((1-T500)*($G$10-$E$10)*($G$10-$F$10))))</f>
        <v>1.0167016270416</v>
      </c>
      <c r="G500" s="52" t="n">
        <f aca="false">IF($G$11=$E$11,$F$11,IF(U500&lt;($F$11-$E$11)/($G$11-$E$11),$E$11+SQRT(U500*($G$11-$E$11)*($F$11-$E$11)),$G$11-SQRT((1-U500)*($G$11-$E$11)*($G$11-$F$11))))</f>
        <v>0.100448924673083</v>
      </c>
      <c r="H500" s="53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-2033403254.08319</v>
      </c>
      <c r="I500" s="53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-60755069.1910605</v>
      </c>
      <c r="J500" s="53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175374970.436746</v>
      </c>
      <c r="K500" s="53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462340091.416633</v>
      </c>
      <c r="L500" s="53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568603610.66468</v>
      </c>
      <c r="M500" s="53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720147893.877962</v>
      </c>
      <c r="N500" s="53" t="n">
        <f aca="false">IF(COUNT('Business Case'!B11:G11)=0,"",H500+NPV(G500,I500:M500))</f>
        <v>-762880404.639865</v>
      </c>
      <c r="P500" s="54" t="n">
        <f aca="true">RAND()</f>
        <v>0.44051783512436</v>
      </c>
      <c r="Q500" s="54" t="n">
        <f aca="true">RAND()</f>
        <v>0.0936976219009258</v>
      </c>
      <c r="R500" s="54" t="n">
        <f aca="true">RAND()</f>
        <v>0.364039723939586</v>
      </c>
      <c r="S500" s="54" t="n">
        <f aca="true">RAND()</f>
        <v>0.877311972166962</v>
      </c>
      <c r="T500" s="54" t="n">
        <f aca="true">RAND()</f>
        <v>0.274291588999485</v>
      </c>
      <c r="U500" s="54" t="n">
        <f aca="true">RAND()</f>
        <v>0.417822631348594</v>
      </c>
    </row>
    <row r="501" customFormat="false" ht="15" hidden="false" customHeight="false" outlineLevel="0" collapsed="false">
      <c r="A501" s="50" t="n">
        <v>421</v>
      </c>
      <c r="B501" s="51" t="n">
        <f aca="false">1+IF($G$6=$E$6,$F$6,IF(P501&lt;($F$6-$E$6)/($G$6-$E$6),$E$6+SQRT(P501*($G$6-$E$6)*($F$6-$E$6)),$G$6-SQRT((1-P501)*($G$6-$E$6)*($G$6-$F$6))))</f>
        <v>0.983496377291014</v>
      </c>
      <c r="C501" s="51" t="n">
        <f aca="false">1+IF($G$7=$E$7,$F$7,IF(Q501&lt;($F$7-$E$7)/($G$7-$E$7),$E$7+SQRT(Q501*($G$7-$E$7)*($F$7-$E$7)),$G$7-SQRT((1-Q501)*($G$7-$E$7)*($G$7-$F$7))))</f>
        <v>0.917536043276438</v>
      </c>
      <c r="D501" s="51" t="n">
        <f aca="false">1+IF($G$8=$E$8,$F$8,IF(R501&lt;($F$8-$E$8)/($G$8-$E$8),$E$8+SQRT(R501*($G$8-$E$8)*($F$8-$E$8)),$G$8-SQRT((1-R501)*($G$8-$E$8)*($G$8-$F$8))))</f>
        <v>1.05237596569083</v>
      </c>
      <c r="E501" s="51" t="n">
        <f aca="false">1+IF($G$9=$E$9,$F$9,IF(S501&lt;($F$9-$E$9)/($G$9-$E$9),$E$9+SQRT(S501*($G$9-$E$9)*($F$9-$E$9)),$G$9-SQRT((1-S501)*($G$9-$E$9)*($G$9-$F$9))))</f>
        <v>0.992239343466997</v>
      </c>
      <c r="F501" s="51" t="n">
        <f aca="false">1+IF($G$10=$E$10,$F$10,IF(T501&lt;($F$10-$E$10)/($G$10-$E$10),$E$10+SQRT(T501*($G$10-$E$10)*($F$10-$E$10)),$G$10-SQRT((1-T501)*($G$10-$E$10)*($G$10-$F$10))))</f>
        <v>1.01503953428222</v>
      </c>
      <c r="G501" s="52" t="n">
        <f aca="false">IF($G$11=$E$11,$F$11,IF(U501&lt;($F$11-$E$11)/($G$11-$E$11),$E$11+SQRT(U501*($G$11-$E$11)*($F$11-$E$11)),$G$11-SQRT((1-U501)*($G$11-$E$11)*($G$11-$F$11))))</f>
        <v>0.121965185338332</v>
      </c>
      <c r="H501" s="53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-2030079068.56445</v>
      </c>
      <c r="I501" s="53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-44561621.4153693</v>
      </c>
      <c r="J501" s="53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200257217.777563</v>
      </c>
      <c r="K501" s="53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495828033.684607</v>
      </c>
      <c r="L501" s="53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608621028.441633</v>
      </c>
      <c r="M501" s="53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780147961.084899</v>
      </c>
      <c r="N501" s="53" t="n">
        <f aca="false">IF(COUNT('Business Case'!B11:G11)=0,"",H501+NPV(G501,I501:M501))</f>
        <v>-736741671.3818</v>
      </c>
      <c r="P501" s="54" t="n">
        <f aca="true">RAND()</f>
        <v>0.464776334714892</v>
      </c>
      <c r="Q501" s="54" t="n">
        <f aca="true">RAND()</f>
        <v>0.350532815736061</v>
      </c>
      <c r="R501" s="54" t="n">
        <f aca="true">RAND()</f>
        <v>0.8487967570746</v>
      </c>
      <c r="S501" s="54" t="n">
        <f aca="true">RAND()</f>
        <v>0.340323859328903</v>
      </c>
      <c r="T501" s="54" t="n">
        <f aca="true">RAND()</f>
        <v>0.263914393995801</v>
      </c>
      <c r="U501" s="54" t="n">
        <f aca="true">RAND()</f>
        <v>0.956961168901763</v>
      </c>
    </row>
    <row r="502" customFormat="false" ht="15" hidden="false" customHeight="false" outlineLevel="0" collapsed="false">
      <c r="A502" s="50" t="n">
        <v>422</v>
      </c>
      <c r="B502" s="51" t="n">
        <f aca="false">1+IF($G$6=$E$6,$F$6,IF(P502&lt;($F$6-$E$6)/($G$6-$E$6),$E$6+SQRT(P502*($G$6-$E$6)*($F$6-$E$6)),$G$6-SQRT((1-P502)*($G$6-$E$6)*($G$6-$F$6))))</f>
        <v>0.991035135908894</v>
      </c>
      <c r="C502" s="51" t="n">
        <f aca="false">1+IF($G$7=$E$7,$F$7,IF(Q502&lt;($F$7-$E$7)/($G$7-$E$7),$E$7+SQRT(Q502*($G$7-$E$7)*($F$7-$E$7)),$G$7-SQRT((1-Q502)*($G$7-$E$7)*($G$7-$F$7))))</f>
        <v>0.871173578048155</v>
      </c>
      <c r="D502" s="51" t="n">
        <f aca="false">1+IF($G$8=$E$8,$F$8,IF(R502&lt;($F$8-$E$8)/($G$8-$E$8),$E$8+SQRT(R502*($G$8-$E$8)*($F$8-$E$8)),$G$8-SQRT((1-R502)*($G$8-$E$8)*($G$8-$F$8))))</f>
        <v>0.988820881390593</v>
      </c>
      <c r="E502" s="51" t="n">
        <f aca="false">1+IF($G$9=$E$9,$F$9,IF(S502&lt;($F$9-$E$9)/($G$9-$E$9),$E$9+SQRT(S502*($G$9-$E$9)*($F$9-$E$9)),$G$9-SQRT((1-S502)*($G$9-$E$9)*($G$9-$F$9))))</f>
        <v>0.995277120131971</v>
      </c>
      <c r="F502" s="51" t="n">
        <f aca="false">1+IF($G$10=$E$10,$F$10,IF(T502&lt;($F$10-$E$10)/($G$10-$E$10),$E$10+SQRT(T502*($G$10-$E$10)*($F$10-$E$10)),$G$10-SQRT((1-T502)*($G$10-$E$10)*($G$10-$F$10))))</f>
        <v>0.992099428810175</v>
      </c>
      <c r="G502" s="52" t="n">
        <f aca="false">IF($G$11=$E$11,$F$11,IF(U502&lt;($F$11-$E$11)/($G$11-$E$11),$E$11+SQRT(U502*($G$11-$E$11)*($F$11-$E$11)),$G$11-SQRT((1-U502)*($G$11-$E$11)*($G$11-$F$11))))</f>
        <v>0.106124419135463</v>
      </c>
      <c r="H502" s="53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-1984198857.62035</v>
      </c>
      <c r="I502" s="53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-19323761.7596964</v>
      </c>
      <c r="J502" s="53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246847596.181042</v>
      </c>
      <c r="K502" s="53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562623925.562288</v>
      </c>
      <c r="L502" s="53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681185558.433634</v>
      </c>
      <c r="M502" s="53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845293716.334686</v>
      </c>
      <c r="N502" s="53" t="n">
        <f aca="false">IF(COUNT('Business Case'!B11:G11)=0,"",H502+NPV(G502,I502:M502))</f>
        <v>-418659577.96333</v>
      </c>
      <c r="P502" s="54" t="n">
        <f aca="true">RAND()</f>
        <v>0.55249306466339</v>
      </c>
      <c r="Q502" s="54" t="n">
        <f aca="true">RAND()</f>
        <v>0.217039954235612</v>
      </c>
      <c r="R502" s="54" t="n">
        <f aca="true">RAND()</f>
        <v>0.200941444258995</v>
      </c>
      <c r="S502" s="54" t="n">
        <f aca="true">RAND()</f>
        <v>0.363109184825684</v>
      </c>
      <c r="T502" s="54" t="n">
        <f aca="true">RAND()</f>
        <v>0.118157460409535</v>
      </c>
      <c r="U502" s="54" t="n">
        <f aca="true">RAND()</f>
        <v>0.619971092253955</v>
      </c>
    </row>
    <row r="503" customFormat="false" ht="15" hidden="false" customHeight="false" outlineLevel="0" collapsed="false">
      <c r="A503" s="50" t="n">
        <v>423</v>
      </c>
      <c r="B503" s="51" t="n">
        <f aca="false">1+IF($G$6=$E$6,$F$6,IF(P503&lt;($F$6-$E$6)/($G$6-$E$6),$E$6+SQRT(P503*($G$6-$E$6)*($F$6-$E$6)),$G$6-SQRT((1-P503)*($G$6-$E$6)*($G$6-$F$6))))</f>
        <v>0.918427074993333</v>
      </c>
      <c r="C503" s="51" t="n">
        <f aca="false">1+IF($G$7=$E$7,$F$7,IF(Q503&lt;($F$7-$E$7)/($G$7-$E$7),$E$7+SQRT(Q503*($G$7-$E$7)*($F$7-$E$7)),$G$7-SQRT((1-Q503)*($G$7-$E$7)*($G$7-$F$7))))</f>
        <v>0.931407367578357</v>
      </c>
      <c r="D503" s="51" t="n">
        <f aca="false">1+IF($G$8=$E$8,$F$8,IF(R503&lt;($F$8-$E$8)/($G$8-$E$8),$E$8+SQRT(R503*($G$8-$E$8)*($F$8-$E$8)),$G$8-SQRT((1-R503)*($G$8-$E$8)*($G$8-$F$8))))</f>
        <v>1.01140841912601</v>
      </c>
      <c r="E503" s="51" t="n">
        <f aca="false">1+IF($G$9=$E$9,$F$9,IF(S503&lt;($F$9-$E$9)/($G$9-$E$9),$E$9+SQRT(S503*($G$9-$E$9)*($F$9-$E$9)),$G$9-SQRT((1-S503)*($G$9-$E$9)*($G$9-$F$9))))</f>
        <v>0.999190395306759</v>
      </c>
      <c r="F503" s="51" t="n">
        <f aca="false">1+IF($G$10=$E$10,$F$10,IF(T503&lt;($F$10-$E$10)/($G$10-$E$10),$E$10+SQRT(T503*($G$10-$E$10)*($F$10-$E$10)),$G$10-SQRT((1-T503)*($G$10-$E$10)*($G$10-$F$10))))</f>
        <v>1.09124166817571</v>
      </c>
      <c r="G503" s="52" t="n">
        <f aca="false">IF($G$11=$E$11,$F$11,IF(U503&lt;($F$11-$E$11)/($G$11-$E$11),$E$11+SQRT(U503*($G$11-$E$11)*($F$11-$E$11)),$G$11-SQRT((1-U503)*($G$11-$E$11)*($G$11-$F$11))))</f>
        <v>0.105132907035121</v>
      </c>
      <c r="H503" s="53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-2182483336.35142</v>
      </c>
      <c r="I503" s="53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-77141630.4839828</v>
      </c>
      <c r="J503" s="53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141271258.003225</v>
      </c>
      <c r="K503" s="53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414246229.899219</v>
      </c>
      <c r="L503" s="53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516614178.022288</v>
      </c>
      <c r="M503" s="53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679214263.805951</v>
      </c>
      <c r="N503" s="53" t="n">
        <f aca="false">IF(COUNT('Business Case'!B11:G11)=0,"",H503+NPV(G503,I503:M503))</f>
        <v>-1071322855.76835</v>
      </c>
      <c r="P503" s="54" t="n">
        <f aca="true">RAND()</f>
        <v>0.02263713952066</v>
      </c>
      <c r="Q503" s="54" t="n">
        <f aca="true">RAND()</f>
        <v>0.396661998292925</v>
      </c>
      <c r="R503" s="54" t="n">
        <f aca="true">RAND()</f>
        <v>0.476768786549821</v>
      </c>
      <c r="S503" s="54" t="n">
        <f aca="true">RAND()</f>
        <v>0.393549380844446</v>
      </c>
      <c r="T503" s="54" t="n">
        <f aca="true">RAND()</f>
        <v>0.663943894351588</v>
      </c>
      <c r="U503" s="54" t="n">
        <f aca="true">RAND()</f>
        <v>0.587751791650717</v>
      </c>
    </row>
    <row r="504" customFormat="false" ht="15" hidden="false" customHeight="false" outlineLevel="0" collapsed="false">
      <c r="A504" s="50" t="n">
        <v>424</v>
      </c>
      <c r="B504" s="51" t="n">
        <f aca="false">1+IF($G$6=$E$6,$F$6,IF(P504&lt;($F$6-$E$6)/($G$6-$E$6),$E$6+SQRT(P504*($G$6-$E$6)*($F$6-$E$6)),$G$6-SQRT((1-P504)*($G$6-$E$6)*($G$6-$F$6))))</f>
        <v>1.01153464735333</v>
      </c>
      <c r="C504" s="51" t="n">
        <f aca="false">1+IF($G$7=$E$7,$F$7,IF(Q504&lt;($F$7-$E$7)/($G$7-$E$7),$E$7+SQRT(Q504*($G$7-$E$7)*($F$7-$E$7)),$G$7-SQRT((1-Q504)*($G$7-$E$7)*($G$7-$F$7))))</f>
        <v>0.75047635696058</v>
      </c>
      <c r="D504" s="51" t="n">
        <f aca="false">1+IF($G$8=$E$8,$F$8,IF(R504&lt;($F$8-$E$8)/($G$8-$E$8),$E$8+SQRT(R504*($G$8-$E$8)*($F$8-$E$8)),$G$8-SQRT((1-R504)*($G$8-$E$8)*($G$8-$F$8))))</f>
        <v>1.03053863482951</v>
      </c>
      <c r="E504" s="51" t="n">
        <f aca="false">1+IF($G$9=$E$9,$F$9,IF(S504&lt;($F$9-$E$9)/($G$9-$E$9),$E$9+SQRT(S504*($G$9-$E$9)*($F$9-$E$9)),$G$9-SQRT((1-S504)*($G$9-$E$9)*($G$9-$F$9))))</f>
        <v>0.981545639910897</v>
      </c>
      <c r="F504" s="51" t="n">
        <f aca="false">1+IF($G$10=$E$10,$F$10,IF(T504&lt;($F$10-$E$10)/($G$10-$E$10),$E$10+SQRT(T504*($G$10-$E$10)*($F$10-$E$10)),$G$10-SQRT((1-T504)*($G$10-$E$10)*($G$10-$F$10))))</f>
        <v>1.05680941842748</v>
      </c>
      <c r="G504" s="52" t="n">
        <f aca="false">IF($G$11=$E$11,$F$11,IF(U504&lt;($F$11-$E$11)/($G$11-$E$11),$E$11+SQRT(U504*($G$11-$E$11)*($F$11-$E$11)),$G$11-SQRT((1-U504)*($G$11-$E$11)*($G$11-$F$11))))</f>
        <v>0.110295617594502</v>
      </c>
      <c r="H504" s="53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-2113618836.85497</v>
      </c>
      <c r="I504" s="53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-58742034.1366274</v>
      </c>
      <c r="J504" s="53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167126109.839316</v>
      </c>
      <c r="K504" s="53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445834724.736634</v>
      </c>
      <c r="L504" s="53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547359736.911611</v>
      </c>
      <c r="M504" s="53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691655706.584752</v>
      </c>
      <c r="N504" s="53" t="n">
        <f aca="false">IF(COUNT('Business Case'!B11:G11)=0,"",H504+NPV(G504,I504:M504))</f>
        <v>-935127406.959356</v>
      </c>
      <c r="P504" s="54" t="n">
        <f aca="true">RAND()</f>
        <v>0.802722219435634</v>
      </c>
      <c r="Q504" s="54" t="n">
        <f aca="true">RAND()</f>
        <v>0.018873056385273</v>
      </c>
      <c r="R504" s="54" t="n">
        <f aca="true">RAND()</f>
        <v>0.67834124991015</v>
      </c>
      <c r="S504" s="54" t="n">
        <f aca="true">RAND()</f>
        <v>0.265987655539106</v>
      </c>
      <c r="T504" s="54" t="n">
        <f aca="true">RAND()</f>
        <v>0.502365322555633</v>
      </c>
      <c r="U504" s="54" t="n">
        <f aca="true">RAND()</f>
        <v>0.741158209345263</v>
      </c>
    </row>
    <row r="505" customFormat="false" ht="15" hidden="false" customHeight="false" outlineLevel="0" collapsed="false">
      <c r="A505" s="50" t="n">
        <v>425</v>
      </c>
      <c r="B505" s="51" t="n">
        <f aca="false">1+IF($G$6=$E$6,$F$6,IF(P505&lt;($F$6-$E$6)/($G$6-$E$6),$E$6+SQRT(P505*($G$6-$E$6)*($F$6-$E$6)),$G$6-SQRT((1-P505)*($G$6-$E$6)*($G$6-$F$6))))</f>
        <v>0.964342293024715</v>
      </c>
      <c r="C505" s="51" t="n">
        <f aca="false">1+IF($G$7=$E$7,$F$7,IF(Q505&lt;($F$7-$E$7)/($G$7-$E$7),$E$7+SQRT(Q505*($G$7-$E$7)*($F$7-$E$7)),$G$7-SQRT((1-Q505)*($G$7-$E$7)*($G$7-$F$7))))</f>
        <v>1.05163876747738</v>
      </c>
      <c r="D505" s="51" t="n">
        <f aca="false">1+IF($G$8=$E$8,$F$8,IF(R505&lt;($F$8-$E$8)/($G$8-$E$8),$E$8+SQRT(R505*($G$8-$E$8)*($F$8-$E$8)),$G$8-SQRT((1-R505)*($G$8-$E$8)*($G$8-$F$8))))</f>
        <v>0.991730122036898</v>
      </c>
      <c r="E505" s="51" t="n">
        <f aca="false">1+IF($G$9=$E$9,$F$9,IF(S505&lt;($F$9-$E$9)/($G$9-$E$9),$E$9+SQRT(S505*($G$9-$E$9)*($F$9-$E$9)),$G$9-SQRT((1-S505)*($G$9-$E$9)*($G$9-$F$9))))</f>
        <v>1.05604942285692</v>
      </c>
      <c r="F505" s="51" t="n">
        <f aca="false">1+IF($G$10=$E$10,$F$10,IF(T505&lt;($F$10-$E$10)/($G$10-$E$10),$E$10+SQRT(T505*($G$10-$E$10)*($F$10-$E$10)),$G$10-SQRT((1-T505)*($G$10-$E$10)*($G$10-$F$10))))</f>
        <v>1.18241953220525</v>
      </c>
      <c r="G505" s="52" t="n">
        <f aca="false">IF($G$11=$E$11,$F$11,IF(U505&lt;($F$11-$E$11)/($G$11-$E$11),$E$11+SQRT(U505*($G$11-$E$11)*($F$11-$E$11)),$G$11-SQRT((1-U505)*($G$11-$E$11)*($G$11-$F$11))))</f>
        <v>0.102234401277391</v>
      </c>
      <c r="H505" s="53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-2364839064.41051</v>
      </c>
      <c r="I505" s="53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-24234508.1715972</v>
      </c>
      <c r="J505" s="53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272516168.953178</v>
      </c>
      <c r="K505" s="53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628387822.688216</v>
      </c>
      <c r="L505" s="53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762353384.493536</v>
      </c>
      <c r="M505" s="53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955121066.360709</v>
      </c>
      <c r="N505" s="53" t="n">
        <f aca="false">IF(COUNT('Business Case'!B11:G11)=0,"",H505+NPV(G505,I505:M505))</f>
        <v>-589709683.01693</v>
      </c>
      <c r="P505" s="54" t="n">
        <f aca="true">RAND()</f>
        <v>0.275995378111887</v>
      </c>
      <c r="Q505" s="54" t="n">
        <f aca="true">RAND()</f>
        <v>0.856667673135279</v>
      </c>
      <c r="R505" s="54" t="n">
        <f aca="true">RAND()</f>
        <v>0.232187078028587</v>
      </c>
      <c r="S505" s="54" t="n">
        <f aca="true">RAND()</f>
        <v>0.764621041452865</v>
      </c>
      <c r="T505" s="54" t="n">
        <f aca="true">RAND()</f>
        <v>0.939105071635244</v>
      </c>
      <c r="U505" s="54" t="n">
        <f aca="true">RAND()</f>
        <v>0.48604768505004</v>
      </c>
    </row>
    <row r="506" customFormat="false" ht="15" hidden="false" customHeight="false" outlineLevel="0" collapsed="false">
      <c r="A506" s="50" t="n">
        <v>426</v>
      </c>
      <c r="B506" s="51" t="n">
        <f aca="false">1+IF($G$6=$E$6,$F$6,IF(P506&lt;($F$6-$E$6)/($G$6-$E$6),$E$6+SQRT(P506*($G$6-$E$6)*($F$6-$E$6)),$G$6-SQRT((1-P506)*($G$6-$E$6)*($G$6-$F$6))))</f>
        <v>0.983118464771281</v>
      </c>
      <c r="C506" s="51" t="n">
        <f aca="false">1+IF($G$7=$E$7,$F$7,IF(Q506&lt;($F$7-$E$7)/($G$7-$E$7),$E$7+SQRT(Q506*($G$7-$E$7)*($F$7-$E$7)),$G$7-SQRT((1-Q506)*($G$7-$E$7)*($G$7-$F$7))))</f>
        <v>0.872827810202765</v>
      </c>
      <c r="D506" s="51" t="n">
        <f aca="false">1+IF($G$8=$E$8,$F$8,IF(R506&lt;($F$8-$E$8)/($G$8-$E$8),$E$8+SQRT(R506*($G$8-$E$8)*($F$8-$E$8)),$G$8-SQRT((1-R506)*($G$8-$E$8)*($G$8-$F$8))))</f>
        <v>1.08546615151184</v>
      </c>
      <c r="E506" s="51" t="n">
        <f aca="false">1+IF($G$9=$E$9,$F$9,IF(S506&lt;($F$9-$E$9)/($G$9-$E$9),$E$9+SQRT(S506*($G$9-$E$9)*($F$9-$E$9)),$G$9-SQRT((1-S506)*($G$9-$E$9)*($G$9-$F$9))))</f>
        <v>1.0047043121423</v>
      </c>
      <c r="F506" s="51" t="n">
        <f aca="false">1+IF($G$10=$E$10,$F$10,IF(T506&lt;($F$10-$E$10)/($G$10-$E$10),$E$10+SQRT(T506*($G$10-$E$10)*($F$10-$E$10)),$G$10-SQRT((1-T506)*($G$10-$E$10)*($G$10-$F$10))))</f>
        <v>1.04219726657658</v>
      </c>
      <c r="G506" s="52" t="n">
        <f aca="false">IF($G$11=$E$11,$F$11,IF(U506&lt;($F$11-$E$11)/($G$11-$E$11),$E$11+SQRT(U506*($G$11-$E$11)*($F$11-$E$11)),$G$11-SQRT((1-U506)*($G$11-$E$11)*($G$11-$F$11))))</f>
        <v>0.105348738321618</v>
      </c>
      <c r="H506" s="53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-2084394533.15316</v>
      </c>
      <c r="I506" s="53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-73737994.8912045</v>
      </c>
      <c r="J506" s="53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144096238.272364</v>
      </c>
      <c r="K506" s="53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414040334.76476</v>
      </c>
      <c r="L506" s="53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516307444.626269</v>
      </c>
      <c r="M506" s="53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679413788.064693</v>
      </c>
      <c r="N506" s="53" t="n">
        <f aca="false">IF(COUNT('Business Case'!B11:G11)=0,"",H506+NPV(G506,I506:M506))</f>
        <v>-968963503.488196</v>
      </c>
      <c r="P506" s="54" t="n">
        <f aca="true">RAND()</f>
        <v>0.46057861239565</v>
      </c>
      <c r="Q506" s="54" t="n">
        <f aca="true">RAND()</f>
        <v>0.221255199848021</v>
      </c>
      <c r="R506" s="54" t="n">
        <f aca="true">RAND()</f>
        <v>0.98591781654155</v>
      </c>
      <c r="S506" s="54" t="n">
        <f aca="true">RAND()</f>
        <v>0.437044349065564</v>
      </c>
      <c r="T506" s="54" t="n">
        <f aca="true">RAND()</f>
        <v>0.42424031975672</v>
      </c>
      <c r="U506" s="54" t="n">
        <f aca="true">RAND()</f>
        <v>0.594876865109303</v>
      </c>
    </row>
    <row r="507" customFormat="false" ht="15" hidden="false" customHeight="false" outlineLevel="0" collapsed="false">
      <c r="A507" s="50" t="n">
        <v>427</v>
      </c>
      <c r="B507" s="51" t="n">
        <f aca="false">1+IF($G$6=$E$6,$F$6,IF(P507&lt;($F$6-$E$6)/($G$6-$E$6),$E$6+SQRT(P507*($G$6-$E$6)*($F$6-$E$6)),$G$6-SQRT((1-P507)*($G$6-$E$6)*($G$6-$F$6))))</f>
        <v>1.02972347188967</v>
      </c>
      <c r="C507" s="51" t="n">
        <f aca="false">1+IF($G$7=$E$7,$F$7,IF(Q507&lt;($F$7-$E$7)/($G$7-$E$7),$E$7+SQRT(Q507*($G$7-$E$7)*($F$7-$E$7)),$G$7-SQRT((1-Q507)*($G$7-$E$7)*($G$7-$F$7))))</f>
        <v>0.918384783184405</v>
      </c>
      <c r="D507" s="51" t="n">
        <f aca="false">1+IF($G$8=$E$8,$F$8,IF(R507&lt;($F$8-$E$8)/($G$8-$E$8),$E$8+SQRT(R507*($G$8-$E$8)*($F$8-$E$8)),$G$8-SQRT((1-R507)*($G$8-$E$8)*($G$8-$F$8))))</f>
        <v>0.952310159084155</v>
      </c>
      <c r="E507" s="51" t="n">
        <f aca="false">1+IF($G$9=$E$9,$F$9,IF(S507&lt;($F$9-$E$9)/($G$9-$E$9),$E$9+SQRT(S507*($G$9-$E$9)*($F$9-$E$9)),$G$9-SQRT((1-S507)*($G$9-$E$9)*($G$9-$F$9))))</f>
        <v>1.00069538836766</v>
      </c>
      <c r="F507" s="51" t="n">
        <f aca="false">1+IF($G$10=$E$10,$F$10,IF(T507&lt;($F$10-$E$10)/($G$10-$E$10),$E$10+SQRT(T507*($G$10-$E$10)*($F$10-$E$10)),$G$10-SQRT((1-T507)*($G$10-$E$10)*($G$10-$F$10))))</f>
        <v>0.954736230909653</v>
      </c>
      <c r="G507" s="52" t="n">
        <f aca="false">IF($G$11=$E$11,$F$11,IF(U507&lt;($F$11-$E$11)/($G$11-$E$11),$E$11+SQRT(U507*($G$11-$E$11)*($F$11-$E$11)),$G$11-SQRT((1-U507)*($G$11-$E$11)*($G$11-$F$11))))</f>
        <v>0.094086754110891</v>
      </c>
      <c r="H507" s="53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-1909472461.81931</v>
      </c>
      <c r="I507" s="53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40066608.4204985</v>
      </c>
      <c r="J507" s="53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366929898.087555</v>
      </c>
      <c r="K507" s="53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741529999.300095</v>
      </c>
      <c r="L507" s="53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883167211.808922</v>
      </c>
      <c r="M507" s="53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1062922516.21786</v>
      </c>
      <c r="N507" s="53" t="n">
        <f aca="false">IF(COUNT('Business Case'!B11:G11)=0,"",H507+NPV(G507,I507:M507))</f>
        <v>294270441.439942</v>
      </c>
      <c r="P507" s="54" t="n">
        <f aca="true">RAND()</f>
        <v>0.945181654372119</v>
      </c>
      <c r="Q507" s="54" t="n">
        <f aca="true">RAND()</f>
        <v>0.353273433529628</v>
      </c>
      <c r="R507" s="54" t="n">
        <f aca="true">RAND()</f>
        <v>0.000711577999213601</v>
      </c>
      <c r="S507" s="54" t="n">
        <f aca="true">RAND()</f>
        <v>0.405550211875124</v>
      </c>
      <c r="T507" s="54" t="n">
        <f aca="true">RAND()</f>
        <v>0.00149545888196987</v>
      </c>
      <c r="U507" s="54" t="n">
        <f aca="true">RAND()</f>
        <v>0.198436641380703</v>
      </c>
    </row>
    <row r="508" customFormat="false" ht="15" hidden="false" customHeight="false" outlineLevel="0" collapsed="false">
      <c r="A508" s="50" t="n">
        <v>428</v>
      </c>
      <c r="B508" s="51" t="n">
        <f aca="false">1+IF($G$6=$E$6,$F$6,IF(P508&lt;($F$6-$E$6)/($G$6-$E$6),$E$6+SQRT(P508*($G$6-$E$6)*($F$6-$E$6)),$G$6-SQRT((1-P508)*($G$6-$E$6)*($G$6-$F$6))))</f>
        <v>1.00604182620053</v>
      </c>
      <c r="C508" s="51" t="n">
        <f aca="false">1+IF($G$7=$E$7,$F$7,IF(Q508&lt;($F$7-$E$7)/($G$7-$E$7),$E$7+SQRT(Q508*($G$7-$E$7)*($F$7-$E$7)),$G$7-SQRT((1-Q508)*($G$7-$E$7)*($G$7-$F$7))))</f>
        <v>0.941996902966023</v>
      </c>
      <c r="D508" s="51" t="n">
        <f aca="false">1+IF($G$8=$E$8,$F$8,IF(R508&lt;($F$8-$E$8)/($G$8-$E$8),$E$8+SQRT(R508*($G$8-$E$8)*($F$8-$E$8)),$G$8-SQRT((1-R508)*($G$8-$E$8)*($G$8-$F$8))))</f>
        <v>1.01258900359381</v>
      </c>
      <c r="E508" s="51" t="n">
        <f aca="false">1+IF($G$9=$E$9,$F$9,IF(S508&lt;($F$9-$E$9)/($G$9-$E$9),$E$9+SQRT(S508*($G$9-$E$9)*($F$9-$E$9)),$G$9-SQRT((1-S508)*($G$9-$E$9)*($G$9-$F$9))))</f>
        <v>1.00632102749118</v>
      </c>
      <c r="F508" s="51" t="n">
        <f aca="false">1+IF($G$10=$E$10,$F$10,IF(T508&lt;($F$10-$E$10)/($G$10-$E$10),$E$10+SQRT(T508*($G$10-$E$10)*($F$10-$E$10)),$G$10-SQRT((1-T508)*($G$10-$E$10)*($G$10-$F$10))))</f>
        <v>1.00908342203959</v>
      </c>
      <c r="G508" s="52" t="n">
        <f aca="false">IF($G$11=$E$11,$F$11,IF(U508&lt;($F$11-$E$11)/($G$11-$E$11),$E$11+SQRT(U508*($G$11-$E$11)*($F$11-$E$11)),$G$11-SQRT((1-U508)*($G$11-$E$11)*($G$11-$F$11))))</f>
        <v>0.12402049654939</v>
      </c>
      <c r="H508" s="53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-2018166844.07918</v>
      </c>
      <c r="I508" s="53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-5208227.08204489</v>
      </c>
      <c r="J508" s="53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282718898.819418</v>
      </c>
      <c r="K508" s="53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621100195.822861</v>
      </c>
      <c r="L508" s="53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749828011.570218</v>
      </c>
      <c r="M508" s="53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929964600.694664</v>
      </c>
      <c r="N508" s="53" t="n">
        <f aca="false">IF(COUNT('Business Case'!B11:G11)=0,"",H508+NPV(G508,I508:M508))</f>
        <v>-373603617.731512</v>
      </c>
      <c r="P508" s="54" t="n">
        <f aca="true">RAND()</f>
        <v>0.742357194162032</v>
      </c>
      <c r="Q508" s="54" t="n">
        <f aca="true">RAND()</f>
        <v>0.433796304038125</v>
      </c>
      <c r="R508" s="54" t="n">
        <f aca="true">RAND()</f>
        <v>0.49062118048511</v>
      </c>
      <c r="S508" s="54" t="n">
        <f aca="true">RAND()</f>
        <v>0.449502742901585</v>
      </c>
      <c r="T508" s="54" t="n">
        <f aca="true">RAND()</f>
        <v>0.226122699517927</v>
      </c>
      <c r="U508" s="54" t="n">
        <f aca="true">RAND()</f>
        <v>0.976163692322759</v>
      </c>
    </row>
    <row r="509" customFormat="false" ht="15" hidden="false" customHeight="false" outlineLevel="0" collapsed="false">
      <c r="A509" s="50" t="n">
        <v>429</v>
      </c>
      <c r="B509" s="51" t="n">
        <f aca="false">1+IF($G$6=$E$6,$F$6,IF(P509&lt;($F$6-$E$6)/($G$6-$E$6),$E$6+SQRT(P509*($G$6-$E$6)*($F$6-$E$6)),$G$6-SQRT((1-P509)*($G$6-$E$6)*($G$6-$F$6))))</f>
        <v>0.967612866766088</v>
      </c>
      <c r="C509" s="51" t="n">
        <f aca="false">1+IF($G$7=$E$7,$F$7,IF(Q509&lt;($F$7-$E$7)/($G$7-$E$7),$E$7+SQRT(Q509*($G$7-$E$7)*($F$7-$E$7)),$G$7-SQRT((1-Q509)*($G$7-$E$7)*($G$7-$F$7))))</f>
        <v>1.0194516307449</v>
      </c>
      <c r="D509" s="51" t="n">
        <f aca="false">1+IF($G$8=$E$8,$F$8,IF(R509&lt;($F$8-$E$8)/($G$8-$E$8),$E$8+SQRT(R509*($G$8-$E$8)*($F$8-$E$8)),$G$8-SQRT((1-R509)*($G$8-$E$8)*($G$8-$F$8))))</f>
        <v>0.956567944107931</v>
      </c>
      <c r="E509" s="51" t="n">
        <f aca="false">1+IF($G$9=$E$9,$F$9,IF(S509&lt;($F$9-$E$9)/($G$9-$E$9),$E$9+SQRT(S509*($G$9-$E$9)*($F$9-$E$9)),$G$9-SQRT((1-S509)*($G$9-$E$9)*($G$9-$F$9))))</f>
        <v>0.953062271512148</v>
      </c>
      <c r="F509" s="51" t="n">
        <f aca="false">1+IF($G$10=$E$10,$F$10,IF(T509&lt;($F$10-$E$10)/($G$10-$E$10),$E$10+SQRT(T509*($G$10-$E$10)*($F$10-$E$10)),$G$10-SQRT((1-T509)*($G$10-$E$10)*($G$10-$F$10))))</f>
        <v>1.16077459353717</v>
      </c>
      <c r="G509" s="52" t="n">
        <f aca="false">IF($G$11=$E$11,$F$11,IF(U509&lt;($F$11-$E$11)/($G$11-$E$11),$E$11+SQRT(U509*($G$11-$E$11)*($F$11-$E$11)),$G$11-SQRT((1-U509)*($G$11-$E$11)*($G$11-$F$11))))</f>
        <v>0.115030059266569</v>
      </c>
      <c r="H509" s="53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-2321549187.07433</v>
      </c>
      <c r="I509" s="53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6009753.11878789</v>
      </c>
      <c r="J509" s="53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314759185.855558</v>
      </c>
      <c r="K509" s="53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681547348.269186</v>
      </c>
      <c r="L509" s="53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818555002.684934</v>
      </c>
      <c r="M509" s="53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1006056475.28747</v>
      </c>
      <c r="N509" s="53" t="n">
        <f aca="false">IF(COUNT('Business Case'!B11:G11)=0,"",H509+NPV(G509,I509:M509))</f>
        <v>-458122705.035865</v>
      </c>
      <c r="P509" s="54" t="n">
        <f aca="true">RAND()</f>
        <v>0.304766650155249</v>
      </c>
      <c r="Q509" s="54" t="n">
        <f aca="true">RAND()</f>
        <v>0.747512937553092</v>
      </c>
      <c r="R509" s="54" t="n">
        <f aca="true">RAND()</f>
        <v>0.00575171864065335</v>
      </c>
      <c r="S509" s="54" t="n">
        <f aca="true">RAND()</f>
        <v>0.112624186321155</v>
      </c>
      <c r="T509" s="54" t="n">
        <f aca="true">RAND()</f>
        <v>0.893851024553895</v>
      </c>
      <c r="U509" s="54" t="n">
        <f aca="true">RAND()</f>
        <v>0.850600582958368</v>
      </c>
    </row>
    <row r="510" customFormat="false" ht="15" hidden="false" customHeight="false" outlineLevel="0" collapsed="false">
      <c r="A510" s="50" t="n">
        <v>430</v>
      </c>
      <c r="B510" s="51" t="n">
        <f aca="false">1+IF($G$6=$E$6,$F$6,IF(P510&lt;($F$6-$E$6)/($G$6-$E$6),$E$6+SQRT(P510*($G$6-$E$6)*($F$6-$E$6)),$G$6-SQRT((1-P510)*($G$6-$E$6)*($G$6-$F$6))))</f>
        <v>0.986616435796165</v>
      </c>
      <c r="C510" s="51" t="n">
        <f aca="false">1+IF($G$7=$E$7,$F$7,IF(Q510&lt;($F$7-$E$7)/($G$7-$E$7),$E$7+SQRT(Q510*($G$7-$E$7)*($F$7-$E$7)),$G$7-SQRT((1-Q510)*($G$7-$E$7)*($G$7-$F$7))))</f>
        <v>1.05793513097287</v>
      </c>
      <c r="D510" s="51" t="n">
        <f aca="false">1+IF($G$8=$E$8,$F$8,IF(R510&lt;($F$8-$E$8)/($G$8-$E$8),$E$8+SQRT(R510*($G$8-$E$8)*($F$8-$E$8)),$G$8-SQRT((1-R510)*($G$8-$E$8)*($G$8-$F$8))))</f>
        <v>0.977652005169502</v>
      </c>
      <c r="E510" s="51" t="n">
        <f aca="false">1+IF($G$9=$E$9,$F$9,IF(S510&lt;($F$9-$E$9)/($G$9-$E$9),$E$9+SQRT(S510*($G$9-$E$9)*($F$9-$E$9)),$G$9-SQRT((1-S510)*($G$9-$E$9)*($G$9-$F$9))))</f>
        <v>1.11184281517793</v>
      </c>
      <c r="F510" s="51" t="n">
        <f aca="false">1+IF($G$10=$E$10,$F$10,IF(T510&lt;($F$10-$E$10)/($G$10-$E$10),$E$10+SQRT(T510*($G$10-$E$10)*($F$10-$E$10)),$G$10-SQRT((1-T510)*($G$10-$E$10)*($G$10-$F$10))))</f>
        <v>1.05071874990961</v>
      </c>
      <c r="G510" s="52" t="n">
        <f aca="false">IF($G$11=$E$11,$F$11,IF(U510&lt;($F$11-$E$11)/($G$11-$E$11),$E$11+SQRT(U510*($G$11-$E$11)*($F$11-$E$11)),$G$11-SQRT((1-U510)*($G$11-$E$11)*($G$11-$F$11))))</f>
        <v>0.105019816623632</v>
      </c>
      <c r="H510" s="53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-2101437499.81922</v>
      </c>
      <c r="I510" s="53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8167602.63332491</v>
      </c>
      <c r="J510" s="53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333620486.173445</v>
      </c>
      <c r="K510" s="53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711609307.209045</v>
      </c>
      <c r="L510" s="53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856166506.78744</v>
      </c>
      <c r="M510" s="53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1054567484.64506</v>
      </c>
      <c r="N510" s="53" t="n">
        <f aca="false">IF(COUNT('Business Case'!B11:G11)=0,"",H510+NPV(G510,I510:M510))</f>
        <v>-79152160.3324077</v>
      </c>
      <c r="P510" s="54" t="n">
        <f aca="true">RAND()</f>
        <v>0.500160463335411</v>
      </c>
      <c r="Q510" s="54" t="n">
        <f aca="true">RAND()</f>
        <v>0.87443051690397</v>
      </c>
      <c r="R510" s="54" t="n">
        <f aca="true">RAND()</f>
        <v>0.101951118652551</v>
      </c>
      <c r="S510" s="54" t="n">
        <f aca="true">RAND()</f>
        <v>0.961174113238785</v>
      </c>
      <c r="T510" s="54" t="n">
        <f aca="true">RAND()</f>
        <v>0.470493111498816</v>
      </c>
      <c r="U510" s="54" t="n">
        <f aca="true">RAND()</f>
        <v>0.583993625655366</v>
      </c>
    </row>
    <row r="511" customFormat="false" ht="15" hidden="false" customHeight="false" outlineLevel="0" collapsed="false">
      <c r="A511" s="50" t="n">
        <v>431</v>
      </c>
      <c r="B511" s="51" t="n">
        <f aca="false">1+IF($G$6=$E$6,$F$6,IF(P511&lt;($F$6-$E$6)/($G$6-$E$6),$E$6+SQRT(P511*($G$6-$E$6)*($F$6-$E$6)),$G$6-SQRT((1-P511)*($G$6-$E$6)*($G$6-$F$6))))</f>
        <v>0.97260221195192</v>
      </c>
      <c r="C511" s="51" t="n">
        <f aca="false">1+IF($G$7=$E$7,$F$7,IF(Q511&lt;($F$7-$E$7)/($G$7-$E$7),$E$7+SQRT(Q511*($G$7-$E$7)*($F$7-$E$7)),$G$7-SQRT((1-Q511)*($G$7-$E$7)*($G$7-$F$7))))</f>
        <v>1.06467139438305</v>
      </c>
      <c r="D511" s="51" t="n">
        <f aca="false">1+IF($G$8=$E$8,$F$8,IF(R511&lt;($F$8-$E$8)/($G$8-$E$8),$E$8+SQRT(R511*($G$8-$E$8)*($F$8-$E$8)),$G$8-SQRT((1-R511)*($G$8-$E$8)*($G$8-$F$8))))</f>
        <v>0.996482773712562</v>
      </c>
      <c r="E511" s="51" t="n">
        <f aca="false">1+IF($G$9=$E$9,$F$9,IF(S511&lt;($F$9-$E$9)/($G$9-$E$9),$E$9+SQRT(S511*($G$9-$E$9)*($F$9-$E$9)),$G$9-SQRT((1-S511)*($G$9-$E$9)*($G$9-$F$9))))</f>
        <v>1.10434885401306</v>
      </c>
      <c r="F511" s="51" t="n">
        <f aca="false">1+IF($G$10=$E$10,$F$10,IF(T511&lt;($F$10-$E$10)/($G$10-$E$10),$E$10+SQRT(T511*($G$10-$E$10)*($F$10-$E$10)),$G$10-SQRT((1-T511)*($G$10-$E$10)*($G$10-$F$10))))</f>
        <v>1.09087187295464</v>
      </c>
      <c r="G511" s="52" t="n">
        <f aca="false">IF($G$11=$E$11,$F$11,IF(U511&lt;($F$11-$E$11)/($G$11-$E$11),$E$11+SQRT(U511*($G$11-$E$11)*($F$11-$E$11)),$G$11-SQRT((1-U511)*($G$11-$E$11)*($G$11-$F$11))))</f>
        <v>0.108428562550929</v>
      </c>
      <c r="H511" s="53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-2181743745.90927</v>
      </c>
      <c r="I511" s="53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-14765111.6384702</v>
      </c>
      <c r="J511" s="53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290275781.943975</v>
      </c>
      <c r="K511" s="53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649860269.174151</v>
      </c>
      <c r="L511" s="53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787327507.624829</v>
      </c>
      <c r="M511" s="53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984155680.869072</v>
      </c>
      <c r="N511" s="53" t="n">
        <f aca="false">IF(COUNT('Business Case'!B11:G11)=0,"",H511+NPV(G511,I511:M511))</f>
        <v>-371820886.983532</v>
      </c>
      <c r="P511" s="54" t="n">
        <f aca="true">RAND()</f>
        <v>0.351405412020763</v>
      </c>
      <c r="Q511" s="54" t="n">
        <f aca="true">RAND()</f>
        <v>0.892133763903219</v>
      </c>
      <c r="R511" s="54" t="n">
        <f aca="true">RAND()</f>
        <v>0.28808643360176</v>
      </c>
      <c r="S511" s="54" t="n">
        <f aca="true">RAND()</f>
        <v>0.944425943202117</v>
      </c>
      <c r="T511" s="54" t="n">
        <f aca="true">RAND()</f>
        <v>0.662376522440464</v>
      </c>
      <c r="U511" s="54" t="n">
        <f aca="true">RAND()</f>
        <v>0.689782057587219</v>
      </c>
    </row>
    <row r="512" customFormat="false" ht="15" hidden="false" customHeight="false" outlineLevel="0" collapsed="false">
      <c r="A512" s="50" t="n">
        <v>432</v>
      </c>
      <c r="B512" s="51" t="n">
        <f aca="false">1+IF($G$6=$E$6,$F$6,IF(P512&lt;($F$6-$E$6)/($G$6-$E$6),$E$6+SQRT(P512*($G$6-$E$6)*($F$6-$E$6)),$G$6-SQRT((1-P512)*($G$6-$E$6)*($G$6-$F$6))))</f>
        <v>1.00127330636819</v>
      </c>
      <c r="C512" s="51" t="n">
        <f aca="false">1+IF($G$7=$E$7,$F$7,IF(Q512&lt;($F$7-$E$7)/($G$7-$E$7),$E$7+SQRT(Q512*($G$7-$E$7)*($F$7-$E$7)),$G$7-SQRT((1-Q512)*($G$7-$E$7)*($G$7-$F$7))))</f>
        <v>0.997464400846956</v>
      </c>
      <c r="D512" s="51" t="n">
        <f aca="false">1+IF($G$8=$E$8,$F$8,IF(R512&lt;($F$8-$E$8)/($G$8-$E$8),$E$8+SQRT(R512*($G$8-$E$8)*($F$8-$E$8)),$G$8-SQRT((1-R512)*($G$8-$E$8)*($G$8-$F$8))))</f>
        <v>1.06728288739152</v>
      </c>
      <c r="E512" s="51" t="n">
        <f aca="false">1+IF($G$9=$E$9,$F$9,IF(S512&lt;($F$9-$E$9)/($G$9-$E$9),$E$9+SQRT(S512*($G$9-$E$9)*($F$9-$E$9)),$G$9-SQRT((1-S512)*($G$9-$E$9)*($G$9-$F$9))))</f>
        <v>0.978104357435874</v>
      </c>
      <c r="F512" s="51" t="n">
        <f aca="false">1+IF($G$10=$E$10,$F$10,IF(T512&lt;($F$10-$E$10)/($G$10-$E$10),$E$10+SQRT(T512*($G$10-$E$10)*($F$10-$E$10)),$G$10-SQRT((1-T512)*($G$10-$E$10)*($G$10-$F$10))))</f>
        <v>1.07825787896871</v>
      </c>
      <c r="G512" s="52" t="n">
        <f aca="false">IF($G$11=$E$11,$F$11,IF(U512&lt;($F$11-$E$11)/($G$11-$E$11),$E$11+SQRT(U512*($G$11-$E$11)*($F$11-$E$11)),$G$11-SQRT((1-U512)*($G$11-$E$11)*($G$11-$F$11))))</f>
        <v>0.10506434175562</v>
      </c>
      <c r="H512" s="53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-2156515757.93741</v>
      </c>
      <c r="I512" s="53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-25629273.0211172</v>
      </c>
      <c r="J512" s="53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247428076.853709</v>
      </c>
      <c r="K512" s="53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574398320.676971</v>
      </c>
      <c r="L512" s="53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699933700.883042</v>
      </c>
      <c r="M512" s="53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889773150.579246</v>
      </c>
      <c r="N512" s="53" t="n">
        <f aca="false">IF(COUNT('Business Case'!B11:G11)=0,"",H512+NPV(G512,I512:M512))</f>
        <v>-542148795.49148</v>
      </c>
      <c r="P512" s="54" t="n">
        <f aca="true">RAND()</f>
        <v>0.683427910361588</v>
      </c>
      <c r="Q512" s="54" t="n">
        <f aca="true">RAND()</f>
        <v>0.655444961268436</v>
      </c>
      <c r="R512" s="54" t="n">
        <f aca="true">RAND()</f>
        <v>0.928639369504263</v>
      </c>
      <c r="S512" s="54" t="n">
        <f aca="true">RAND()</f>
        <v>0.244011626018828</v>
      </c>
      <c r="T512" s="54" t="n">
        <f aca="true">RAND()</f>
        <v>0.606728584848971</v>
      </c>
      <c r="U512" s="54" t="n">
        <f aca="true">RAND()</f>
        <v>0.58547529861299</v>
      </c>
    </row>
    <row r="513" customFormat="false" ht="15" hidden="false" customHeight="false" outlineLevel="0" collapsed="false">
      <c r="A513" s="50" t="n">
        <v>433</v>
      </c>
      <c r="B513" s="51" t="n">
        <f aca="false">1+IF($G$6=$E$6,$F$6,IF(P513&lt;($F$6-$E$6)/($G$6-$E$6),$E$6+SQRT(P513*($G$6-$E$6)*($F$6-$E$6)),$G$6-SQRT((1-P513)*($G$6-$E$6)*($G$6-$F$6))))</f>
        <v>0.99630897868718</v>
      </c>
      <c r="C513" s="51" t="n">
        <f aca="false">1+IF($G$7=$E$7,$F$7,IF(Q513&lt;($F$7-$E$7)/($G$7-$E$7),$E$7+SQRT(Q513*($G$7-$E$7)*($F$7-$E$7)),$G$7-SQRT((1-Q513)*($G$7-$E$7)*($G$7-$F$7))))</f>
        <v>0.817046068583808</v>
      </c>
      <c r="D513" s="51" t="n">
        <f aca="false">1+IF($G$8=$E$8,$F$8,IF(R513&lt;($F$8-$E$8)/($G$8-$E$8),$E$8+SQRT(R513*($G$8-$E$8)*($F$8-$E$8)),$G$8-SQRT((1-R513)*($G$8-$E$8)*($G$8-$F$8))))</f>
        <v>0.987044023386536</v>
      </c>
      <c r="E513" s="51" t="n">
        <f aca="false">1+IF($G$9=$E$9,$F$9,IF(S513&lt;($F$9-$E$9)/($G$9-$E$9),$E$9+SQRT(S513*($G$9-$E$9)*($F$9-$E$9)),$G$9-SQRT((1-S513)*($G$9-$E$9)*($G$9-$F$9))))</f>
        <v>1.00847378560615</v>
      </c>
      <c r="F513" s="51" t="n">
        <f aca="false">1+IF($G$10=$E$10,$F$10,IF(T513&lt;($F$10-$E$10)/($G$10-$E$10),$E$10+SQRT(T513*($G$10-$E$10)*($F$10-$E$10)),$G$10-SQRT((1-T513)*($G$10-$E$10)*($G$10-$F$10))))</f>
        <v>1.07234152766627</v>
      </c>
      <c r="G513" s="52" t="n">
        <f aca="false">IF($G$11=$E$11,$F$11,IF(U513&lt;($F$11-$E$11)/($G$11-$E$11),$E$11+SQRT(U513*($G$11-$E$11)*($F$11-$E$11)),$G$11-SQRT((1-U513)*($G$11-$E$11)*($G$11-$F$11))))</f>
        <v>0.0926599484813594</v>
      </c>
      <c r="H513" s="53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-2144683055.33253</v>
      </c>
      <c r="I513" s="53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-38932231.608118</v>
      </c>
      <c r="J513" s="53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214973994.384942</v>
      </c>
      <c r="K513" s="53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522497296.761315</v>
      </c>
      <c r="L513" s="53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635265593.773239</v>
      </c>
      <c r="M513" s="53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789996479.684881</v>
      </c>
      <c r="N513" s="53" t="n">
        <f aca="false">IF(COUNT('Business Case'!B11:G11)=0,"",H513+NPV(G513,I513:M513))</f>
        <v>-646833754.24558</v>
      </c>
      <c r="P513" s="54" t="n">
        <f aca="true">RAND()</f>
        <v>0.618361291717847</v>
      </c>
      <c r="Q513" s="54" t="n">
        <f aca="true">RAND()</f>
        <v>0.101479867932782</v>
      </c>
      <c r="R513" s="54" t="n">
        <f aca="true">RAND()</f>
        <v>0.182967955821632</v>
      </c>
      <c r="S513" s="54" t="n">
        <f aca="true">RAND()</f>
        <v>0.465875483715911</v>
      </c>
      <c r="T513" s="54" t="n">
        <f aca="true">RAND()</f>
        <v>0.579166229440582</v>
      </c>
      <c r="U513" s="54" t="n">
        <f aca="true">RAND()</f>
        <v>0.160274295550674</v>
      </c>
    </row>
    <row r="514" customFormat="false" ht="15" hidden="false" customHeight="false" outlineLevel="0" collapsed="false">
      <c r="A514" s="50" t="n">
        <v>434</v>
      </c>
      <c r="B514" s="51" t="n">
        <f aca="false">1+IF($G$6=$E$6,$F$6,IF(P514&lt;($F$6-$E$6)/($G$6-$E$6),$E$6+SQRT(P514*($G$6-$E$6)*($F$6-$E$6)),$G$6-SQRT((1-P514)*($G$6-$E$6)*($G$6-$F$6))))</f>
        <v>1.03093045405789</v>
      </c>
      <c r="C514" s="51" t="n">
        <f aca="false">1+IF($G$7=$E$7,$F$7,IF(Q514&lt;($F$7-$E$7)/($G$7-$E$7),$E$7+SQRT(Q514*($G$7-$E$7)*($F$7-$E$7)),$G$7-SQRT((1-Q514)*($G$7-$E$7)*($G$7-$F$7))))</f>
        <v>1.00426084435231</v>
      </c>
      <c r="D514" s="51" t="n">
        <f aca="false">1+IF($G$8=$E$8,$F$8,IF(R514&lt;($F$8-$E$8)/($G$8-$E$8),$E$8+SQRT(R514*($G$8-$E$8)*($F$8-$E$8)),$G$8-SQRT((1-R514)*($G$8-$E$8)*($G$8-$F$8))))</f>
        <v>1.06031326347534</v>
      </c>
      <c r="E514" s="51" t="n">
        <f aca="false">1+IF($G$9=$E$9,$F$9,IF(S514&lt;($F$9-$E$9)/($G$9-$E$9),$E$9+SQRT(S514*($G$9-$E$9)*($F$9-$E$9)),$G$9-SQRT((1-S514)*($G$9-$E$9)*($G$9-$F$9))))</f>
        <v>1.05072540004992</v>
      </c>
      <c r="F514" s="51" t="n">
        <f aca="false">1+IF($G$10=$E$10,$F$10,IF(T514&lt;($F$10-$E$10)/($G$10-$E$10),$E$10+SQRT(T514*($G$10-$E$10)*($F$10-$E$10)),$G$10-SQRT((1-T514)*($G$10-$E$10)*($G$10-$F$10))))</f>
        <v>1.19210143577354</v>
      </c>
      <c r="G514" s="52" t="n">
        <f aca="false">IF($G$11=$E$11,$F$11,IF(U514&lt;($F$11-$E$11)/($G$11-$E$11),$E$11+SQRT(U514*($G$11-$E$11)*($F$11-$E$11)),$G$11-SQRT((1-U514)*($G$11-$E$11)*($G$11-$F$11))))</f>
        <v>0.0861790882009141</v>
      </c>
      <c r="H514" s="53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-2384202871.54709</v>
      </c>
      <c r="I514" s="53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-19398625.0714903</v>
      </c>
      <c r="J514" s="53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283497194.216906</v>
      </c>
      <c r="K514" s="53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645998085.293979</v>
      </c>
      <c r="L514" s="53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782744124.3204</v>
      </c>
      <c r="M514" s="53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979538336.93699</v>
      </c>
      <c r="N514" s="53" t="n">
        <f aca="false">IF(COUNT('Business Case'!B11:G11)=0,"",H514+NPV(G514,I514:M514))</f>
        <v>-447385978.675822</v>
      </c>
      <c r="P514" s="54" t="n">
        <f aca="true">RAND()</f>
        <v>0.951513655674892</v>
      </c>
      <c r="Q514" s="54" t="n">
        <f aca="true">RAND()</f>
        <v>0.685334792756996</v>
      </c>
      <c r="R514" s="54" t="n">
        <f aca="true">RAND()</f>
        <v>0.894997529601498</v>
      </c>
      <c r="S514" s="54" t="n">
        <f aca="true">RAND()</f>
        <v>0.737188101460028</v>
      </c>
      <c r="T514" s="54" t="n">
        <f aca="true">RAND()</f>
        <v>0.955303416806867</v>
      </c>
      <c r="U514" s="54" t="n">
        <f aca="true">RAND()</f>
        <v>0.0381811309946755</v>
      </c>
    </row>
    <row r="515" customFormat="false" ht="15" hidden="false" customHeight="false" outlineLevel="0" collapsed="false">
      <c r="A515" s="50" t="n">
        <v>435</v>
      </c>
      <c r="B515" s="51" t="n">
        <f aca="false">1+IF($G$6=$E$6,$F$6,IF(P515&lt;($F$6-$E$6)/($G$6-$E$6),$E$6+SQRT(P515*($G$6-$E$6)*($F$6-$E$6)),$G$6-SQRT((1-P515)*($G$6-$E$6)*($G$6-$F$6))))</f>
        <v>0.950997928705178</v>
      </c>
      <c r="C515" s="51" t="n">
        <f aca="false">1+IF($G$7=$E$7,$F$7,IF(Q515&lt;($F$7-$E$7)/($G$7-$E$7),$E$7+SQRT(Q515*($G$7-$E$7)*($F$7-$E$7)),$G$7-SQRT((1-Q515)*($G$7-$E$7)*($G$7-$F$7))))</f>
        <v>0.943670228826389</v>
      </c>
      <c r="D515" s="51" t="n">
        <f aca="false">1+IF($G$8=$E$8,$F$8,IF(R515&lt;($F$8-$E$8)/($G$8-$E$8),$E$8+SQRT(R515*($G$8-$E$8)*($F$8-$E$8)),$G$8-SQRT((1-R515)*($G$8-$E$8)*($G$8-$F$8))))</f>
        <v>0.985674377378731</v>
      </c>
      <c r="E515" s="51" t="n">
        <f aca="false">1+IF($G$9=$E$9,$F$9,IF(S515&lt;($F$9-$E$9)/($G$9-$E$9),$E$9+SQRT(S515*($G$9-$E$9)*($F$9-$E$9)),$G$9-SQRT((1-S515)*($G$9-$E$9)*($G$9-$F$9))))</f>
        <v>0.980016652118787</v>
      </c>
      <c r="F515" s="51" t="n">
        <f aca="false">1+IF($G$10=$E$10,$F$10,IF(T515&lt;($F$10-$E$10)/($G$10-$E$10),$E$10+SQRT(T515*($G$10-$E$10)*($F$10-$E$10)),$G$10-SQRT((1-T515)*($G$10-$E$10)*($G$10-$F$10))))</f>
        <v>1.15589889625637</v>
      </c>
      <c r="G515" s="52" t="n">
        <f aca="false">IF($G$11=$E$11,$F$11,IF(U515&lt;($F$11-$E$11)/($G$11-$E$11),$E$11+SQRT(U515*($G$11-$E$11)*($F$11-$E$11)),$G$11-SQRT((1-U515)*($G$11-$E$11)*($G$11-$F$11))))</f>
        <v>0.0864738703037291</v>
      </c>
      <c r="H515" s="53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-2311797792.51274</v>
      </c>
      <c r="I515" s="53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-42575635.3360067</v>
      </c>
      <c r="J515" s="53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216319676.851357</v>
      </c>
      <c r="K515" s="53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533009933.851539</v>
      </c>
      <c r="L515" s="53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650323497.891622</v>
      </c>
      <c r="M515" s="53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820906694.435243</v>
      </c>
      <c r="N515" s="53" t="n">
        <f aca="false">IF(COUNT('Business Case'!B11:G11)=0,"",H515+NPV(G515,I515:M515))</f>
        <v>-743164424.198409</v>
      </c>
      <c r="P515" s="54" t="n">
        <f aca="true">RAND()</f>
        <v>0.173385915481224</v>
      </c>
      <c r="Q515" s="54" t="n">
        <f aca="true">RAND()</f>
        <v>0.439816151231888</v>
      </c>
      <c r="R515" s="54" t="n">
        <f aca="true">RAND()</f>
        <v>0.169688160181346</v>
      </c>
      <c r="S515" s="54" t="n">
        <f aca="true">RAND()</f>
        <v>0.256106584651959</v>
      </c>
      <c r="T515" s="54" t="n">
        <f aca="true">RAND()</f>
        <v>0.881933096989746</v>
      </c>
      <c r="U515" s="54" t="n">
        <f aca="true">RAND()</f>
        <v>0.0419109967095056</v>
      </c>
    </row>
    <row r="516" customFormat="false" ht="15" hidden="false" customHeight="false" outlineLevel="0" collapsed="false">
      <c r="A516" s="50" t="n">
        <v>436</v>
      </c>
      <c r="B516" s="51" t="n">
        <f aca="false">1+IF($G$6=$E$6,$F$6,IF(P516&lt;($F$6-$E$6)/($G$6-$E$6),$E$6+SQRT(P516*($G$6-$E$6)*($F$6-$E$6)),$G$6-SQRT((1-P516)*($G$6-$E$6)*($G$6-$F$6))))</f>
        <v>1.01241788789975</v>
      </c>
      <c r="C516" s="51" t="n">
        <f aca="false">1+IF($G$7=$E$7,$F$7,IF(Q516&lt;($F$7-$E$7)/($G$7-$E$7),$E$7+SQRT(Q516*($G$7-$E$7)*($F$7-$E$7)),$G$7-SQRT((1-Q516)*($G$7-$E$7)*($G$7-$F$7))))</f>
        <v>0.881762140532066</v>
      </c>
      <c r="D516" s="51" t="n">
        <f aca="false">1+IF($G$8=$E$8,$F$8,IF(R516&lt;($F$8-$E$8)/($G$8-$E$8),$E$8+SQRT(R516*($G$8-$E$8)*($F$8-$E$8)),$G$8-SQRT((1-R516)*($G$8-$E$8)*($G$8-$F$8))))</f>
        <v>1.01510309493906</v>
      </c>
      <c r="E516" s="51" t="n">
        <f aca="false">1+IF($G$9=$E$9,$F$9,IF(S516&lt;($F$9-$E$9)/($G$9-$E$9),$E$9+SQRT(S516*($G$9-$E$9)*($F$9-$E$9)),$G$9-SQRT((1-S516)*($G$9-$E$9)*($G$9-$F$9))))</f>
        <v>1.06877374968079</v>
      </c>
      <c r="F516" s="51" t="n">
        <f aca="false">1+IF($G$10=$E$10,$F$10,IF(T516&lt;($F$10-$E$10)/($G$10-$E$10),$E$10+SQRT(T516*($G$10-$E$10)*($F$10-$E$10)),$G$10-SQRT((1-T516)*($G$10-$E$10)*($G$10-$F$10))))</f>
        <v>1.05259157031591</v>
      </c>
      <c r="G516" s="52" t="n">
        <f aca="false">IF($G$11=$E$11,$F$11,IF(U516&lt;($F$11-$E$11)/($G$11-$E$11),$E$11+SQRT(U516*($G$11-$E$11)*($F$11-$E$11)),$G$11-SQRT((1-U516)*($G$11-$E$11)*($G$11-$F$11))))</f>
        <v>0.0966506328633501</v>
      </c>
      <c r="H516" s="53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-2105183140.63182</v>
      </c>
      <c r="I516" s="53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-30530838.462396</v>
      </c>
      <c r="J516" s="53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242455285.154442</v>
      </c>
      <c r="K516" s="53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568070987.287077</v>
      </c>
      <c r="L516" s="53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689918480.388046</v>
      </c>
      <c r="M516" s="53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859605132.479176</v>
      </c>
      <c r="N516" s="53" t="n">
        <f aca="false">IF(COUNT('Business Case'!B11:G11)=0,"",H516+NPV(G516,I516:M516))</f>
        <v>-481743712.167318</v>
      </c>
      <c r="P516" s="54" t="n">
        <f aca="true">RAND()</f>
        <v>0.811677980011268</v>
      </c>
      <c r="Q516" s="54" t="n">
        <f aca="true">RAND()</f>
        <v>0.24472204245036</v>
      </c>
      <c r="R516" s="54" t="n">
        <f aca="true">RAND()</f>
        <v>0.51950103407163</v>
      </c>
      <c r="S516" s="54" t="n">
        <f aca="true">RAND()</f>
        <v>0.824061233575492</v>
      </c>
      <c r="T516" s="54" t="n">
        <f aca="true">RAND()</f>
        <v>0.480398825195486</v>
      </c>
      <c r="U516" s="54" t="n">
        <f aca="true">RAND()</f>
        <v>0.277243574750074</v>
      </c>
    </row>
    <row r="517" customFormat="false" ht="15" hidden="false" customHeight="false" outlineLevel="0" collapsed="false">
      <c r="A517" s="50" t="n">
        <v>437</v>
      </c>
      <c r="B517" s="51" t="n">
        <f aca="false">1+IF($G$6=$E$6,$F$6,IF(P517&lt;($F$6-$E$6)/($G$6-$E$6),$E$6+SQRT(P517*($G$6-$E$6)*($F$6-$E$6)),$G$6-SQRT((1-P517)*($G$6-$E$6)*($G$6-$F$6))))</f>
        <v>0.993633342560932</v>
      </c>
      <c r="C517" s="51" t="n">
        <f aca="false">1+IF($G$7=$E$7,$F$7,IF(Q517&lt;($F$7-$E$7)/($G$7-$E$7),$E$7+SQRT(Q517*($G$7-$E$7)*($F$7-$E$7)),$G$7-SQRT((1-Q517)*($G$7-$E$7)*($G$7-$F$7))))</f>
        <v>0.980862250901946</v>
      </c>
      <c r="D517" s="51" t="n">
        <f aca="false">1+IF($G$8=$E$8,$F$8,IF(R517&lt;($F$8-$E$8)/($G$8-$E$8),$E$8+SQRT(R517*($G$8-$E$8)*($F$8-$E$8)),$G$8-SQRT((1-R517)*($G$8-$E$8)*($G$8-$F$8))))</f>
        <v>1.04134603710885</v>
      </c>
      <c r="E517" s="51" t="n">
        <f aca="false">1+IF($G$9=$E$9,$F$9,IF(S517&lt;($F$9-$E$9)/($G$9-$E$9),$E$9+SQRT(S517*($G$9-$E$9)*($F$9-$E$9)),$G$9-SQRT((1-S517)*($G$9-$E$9)*($G$9-$F$9))))</f>
        <v>1.01416244155298</v>
      </c>
      <c r="F517" s="51" t="n">
        <f aca="false">1+IF($G$10=$E$10,$F$10,IF(T517&lt;($F$10-$E$10)/($G$10-$E$10),$E$10+SQRT(T517*($G$10-$E$10)*($F$10-$E$10)),$G$10-SQRT((1-T517)*($G$10-$E$10)*($G$10-$F$10))))</f>
        <v>1.01750193427444</v>
      </c>
      <c r="G517" s="52" t="n">
        <f aca="false">IF($G$11=$E$11,$F$11,IF(U517&lt;($F$11-$E$11)/($G$11-$E$11),$E$11+SQRT(U517*($G$11-$E$11)*($F$11-$E$11)),$G$11-SQRT((1-U517)*($G$11-$E$11)*($G$11-$F$11))))</f>
        <v>0.124014403429036</v>
      </c>
      <c r="H517" s="53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-2035003868.54889</v>
      </c>
      <c r="I517" s="53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-21090207.0428924</v>
      </c>
      <c r="J517" s="53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254307846.462269</v>
      </c>
      <c r="K517" s="53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580580996.681152</v>
      </c>
      <c r="L517" s="53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706063126.470723</v>
      </c>
      <c r="M517" s="53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891318408.887232</v>
      </c>
      <c r="N517" s="53" t="n">
        <f aca="false">IF(COUNT('Business Case'!B11:G11)=0,"",H517+NPV(G517,I517:M517))</f>
        <v>-504515306.116363</v>
      </c>
      <c r="P517" s="54" t="n">
        <f aca="true">RAND()</f>
        <v>0.584480189275517</v>
      </c>
      <c r="Q517" s="54" t="n">
        <f aca="true">RAND()</f>
        <v>0.584322992457094</v>
      </c>
      <c r="R517" s="54" t="n">
        <f aca="true">RAND()</f>
        <v>0.770647509144237</v>
      </c>
      <c r="S517" s="54" t="n">
        <f aca="true">RAND()</f>
        <v>0.507950872404081</v>
      </c>
      <c r="T517" s="54" t="n">
        <f aca="true">RAND()</f>
        <v>0.279261992451669</v>
      </c>
      <c r="U517" s="54" t="n">
        <f aca="true">RAND()</f>
        <v>0.976115089126444</v>
      </c>
    </row>
    <row r="518" customFormat="false" ht="15" hidden="false" customHeight="false" outlineLevel="0" collapsed="false">
      <c r="A518" s="50" t="n">
        <v>438</v>
      </c>
      <c r="B518" s="51" t="n">
        <f aca="false">1+IF($G$6=$E$6,$F$6,IF(P518&lt;($F$6-$E$6)/($G$6-$E$6),$E$6+SQRT(P518*($G$6-$E$6)*($F$6-$E$6)),$G$6-SQRT((1-P518)*($G$6-$E$6)*($G$6-$F$6))))</f>
        <v>1.01045263817928</v>
      </c>
      <c r="C518" s="51" t="n">
        <f aca="false">1+IF($G$7=$E$7,$F$7,IF(Q518&lt;($F$7-$E$7)/($G$7-$E$7),$E$7+SQRT(Q518*($G$7-$E$7)*($F$7-$E$7)),$G$7-SQRT((1-Q518)*($G$7-$E$7)*($G$7-$F$7))))</f>
        <v>0.993671193651609</v>
      </c>
      <c r="D518" s="51" t="n">
        <f aca="false">1+IF($G$8=$E$8,$F$8,IF(R518&lt;($F$8-$E$8)/($G$8-$E$8),$E$8+SQRT(R518*($G$8-$E$8)*($F$8-$E$8)),$G$8-SQRT((1-R518)*($G$8-$E$8)*($G$8-$F$8))))</f>
        <v>0.974456823555812</v>
      </c>
      <c r="E518" s="51" t="n">
        <f aca="false">1+IF($G$9=$E$9,$F$9,IF(S518&lt;($F$9-$E$9)/($G$9-$E$9),$E$9+SQRT(S518*($G$9-$E$9)*($F$9-$E$9)),$G$9-SQRT((1-S518)*($G$9-$E$9)*($G$9-$F$9))))</f>
        <v>0.954037316403894</v>
      </c>
      <c r="F518" s="51" t="n">
        <f aca="false">1+IF($G$10=$E$10,$F$10,IF(T518&lt;($F$10-$E$10)/($G$10-$E$10),$E$10+SQRT(T518*($G$10-$E$10)*($F$10-$E$10)),$G$10-SQRT((1-T518)*($G$10-$E$10)*($G$10-$F$10))))</f>
        <v>1.00443411392575</v>
      </c>
      <c r="G518" s="52" t="n">
        <f aca="false">IF($G$11=$E$11,$F$11,IF(U518&lt;($F$11-$E$11)/($G$11-$E$11),$E$11+SQRT(U518*($G$11-$E$11)*($F$11-$E$11)),$G$11-SQRT((1-U518)*($G$11-$E$11)*($G$11-$F$11))))</f>
        <v>0.0970872934927232</v>
      </c>
      <c r="H518" s="53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-2008868227.8515</v>
      </c>
      <c r="I518" s="53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38550813.0335723</v>
      </c>
      <c r="J518" s="53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365259493.937313</v>
      </c>
      <c r="K518" s="53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742189880.537341</v>
      </c>
      <c r="L518" s="53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885793007.561895</v>
      </c>
      <c r="M518" s="53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1076644291.20675</v>
      </c>
      <c r="N518" s="53" t="n">
        <f aca="false">IF(COUNT('Business Case'!B11:G11)=0,"",H518+NPV(G518,I518:M518))</f>
        <v>180706936.893176</v>
      </c>
      <c r="P518" s="54" t="n">
        <f aca="true">RAND()</f>
        <v>0.791467489736119</v>
      </c>
      <c r="Q518" s="54" t="n">
        <f aca="true">RAND()</f>
        <v>0.638835333190819</v>
      </c>
      <c r="R518" s="54" t="n">
        <f aca="true">RAND()</f>
        <v>0.0797514957920164</v>
      </c>
      <c r="S518" s="54" t="n">
        <f aca="true">RAND()</f>
        <v>0.116801262565381</v>
      </c>
      <c r="T518" s="54" t="n">
        <f aca="true">RAND()</f>
        <v>0.195965274620914</v>
      </c>
      <c r="U518" s="54" t="n">
        <f aca="true">RAND()</f>
        <v>0.291975598906462</v>
      </c>
    </row>
    <row r="519" customFormat="false" ht="15" hidden="false" customHeight="false" outlineLevel="0" collapsed="false">
      <c r="A519" s="50" t="n">
        <v>439</v>
      </c>
      <c r="B519" s="51" t="n">
        <f aca="false">1+IF($G$6=$E$6,$F$6,IF(P519&lt;($F$6-$E$6)/($G$6-$E$6),$E$6+SQRT(P519*($G$6-$E$6)*($F$6-$E$6)),$G$6-SQRT((1-P519)*($G$6-$E$6)*($G$6-$F$6))))</f>
        <v>0.976229905743681</v>
      </c>
      <c r="C519" s="51" t="n">
        <f aca="false">1+IF($G$7=$E$7,$F$7,IF(Q519&lt;($F$7-$E$7)/($G$7-$E$7),$E$7+SQRT(Q519*($G$7-$E$7)*($F$7-$E$7)),$G$7-SQRT((1-Q519)*($G$7-$E$7)*($G$7-$F$7))))</f>
        <v>1.04267529117178</v>
      </c>
      <c r="D519" s="51" t="n">
        <f aca="false">1+IF($G$8=$E$8,$F$8,IF(R519&lt;($F$8-$E$8)/($G$8-$E$8),$E$8+SQRT(R519*($G$8-$E$8)*($F$8-$E$8)),$G$8-SQRT((1-R519)*($G$8-$E$8)*($G$8-$F$8))))</f>
        <v>1.00023080122296</v>
      </c>
      <c r="E519" s="51" t="n">
        <f aca="false">1+IF($G$9=$E$9,$F$9,IF(S519&lt;($F$9-$E$9)/($G$9-$E$9),$E$9+SQRT(S519*($G$9-$E$9)*($F$9-$E$9)),$G$9-SQRT((1-S519)*($G$9-$E$9)*($G$9-$F$9))))</f>
        <v>1.12072684018002</v>
      </c>
      <c r="F519" s="51" t="n">
        <f aca="false">1+IF($G$10=$E$10,$F$10,IF(T519&lt;($F$10-$E$10)/($G$10-$E$10),$E$10+SQRT(T519*($G$10-$E$10)*($F$10-$E$10)),$G$10-SQRT((1-T519)*($G$10-$E$10)*($G$10-$F$10))))</f>
        <v>1.10023547600435</v>
      </c>
      <c r="G519" s="52" t="n">
        <f aca="false">IF($G$11=$E$11,$F$11,IF(U519&lt;($F$11-$E$11)/($G$11-$E$11),$E$11+SQRT(U519*($G$11-$E$11)*($F$11-$E$11)),$G$11-SQRT((1-U519)*($G$11-$E$11)*($G$11-$F$11))))</f>
        <v>0.105555966447301</v>
      </c>
      <c r="H519" s="53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-2200470952.0087</v>
      </c>
      <c r="I519" s="53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-22322038.0505218</v>
      </c>
      <c r="J519" s="53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277514287.308334</v>
      </c>
      <c r="K519" s="53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632362386.467407</v>
      </c>
      <c r="L519" s="53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767486134.343921</v>
      </c>
      <c r="M519" s="53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960966817.840178</v>
      </c>
      <c r="N519" s="53" t="n">
        <f aca="false">IF(COUNT('Business Case'!B11:G11)=0,"",H519+NPV(G519,I519:M519))</f>
        <v>-430047676.404378</v>
      </c>
      <c r="P519" s="54" t="n">
        <f aca="true">RAND()</f>
        <v>0.387399901979367</v>
      </c>
      <c r="Q519" s="54" t="n">
        <f aca="true">RAND()</f>
        <v>0.829354175925013</v>
      </c>
      <c r="R519" s="54" t="n">
        <f aca="true">RAND()</f>
        <v>0.336407131692477</v>
      </c>
      <c r="S519" s="54" t="n">
        <f aca="true">RAND()</f>
        <v>0.977148856377445</v>
      </c>
      <c r="T519" s="54" t="n">
        <f aca="true">RAND()</f>
        <v>0.700941164698083</v>
      </c>
      <c r="U519" s="54" t="n">
        <f aca="true">RAND()</f>
        <v>0.601659482449697</v>
      </c>
    </row>
    <row r="520" customFormat="false" ht="15" hidden="false" customHeight="false" outlineLevel="0" collapsed="false">
      <c r="A520" s="50" t="n">
        <v>440</v>
      </c>
      <c r="B520" s="51" t="n">
        <f aca="false">1+IF($G$6=$E$6,$F$6,IF(P520&lt;($F$6-$E$6)/($G$6-$E$6),$E$6+SQRT(P520*($G$6-$E$6)*($F$6-$E$6)),$G$6-SQRT((1-P520)*($G$6-$E$6)*($G$6-$F$6))))</f>
        <v>1.01897518565951</v>
      </c>
      <c r="C520" s="51" t="n">
        <f aca="false">1+IF($G$7=$E$7,$F$7,IF(Q520&lt;($F$7-$E$7)/($G$7-$E$7),$E$7+SQRT(Q520*($G$7-$E$7)*($F$7-$E$7)),$G$7-SQRT((1-Q520)*($G$7-$E$7)*($G$7-$F$7))))</f>
        <v>0.865215225081596</v>
      </c>
      <c r="D520" s="51" t="n">
        <f aca="false">1+IF($G$8=$E$8,$F$8,IF(R520&lt;($F$8-$E$8)/($G$8-$E$8),$E$8+SQRT(R520*($G$8-$E$8)*($F$8-$E$8)),$G$8-SQRT((1-R520)*($G$8-$E$8)*($G$8-$F$8))))</f>
        <v>1.01521577120918</v>
      </c>
      <c r="E520" s="51" t="n">
        <f aca="false">1+IF($G$9=$E$9,$F$9,IF(S520&lt;($F$9-$E$9)/($G$9-$E$9),$E$9+SQRT(S520*($G$9-$E$9)*($F$9-$E$9)),$G$9-SQRT((1-S520)*($G$9-$E$9)*($G$9-$F$9))))</f>
        <v>0.956300669643385</v>
      </c>
      <c r="F520" s="51" t="n">
        <f aca="false">1+IF($G$10=$E$10,$F$10,IF(T520&lt;($F$10-$E$10)/($G$10-$E$10),$E$10+SQRT(T520*($G$10-$E$10)*($F$10-$E$10)),$G$10-SQRT((1-T520)*($G$10-$E$10)*($G$10-$F$10))))</f>
        <v>0.980107505791191</v>
      </c>
      <c r="G520" s="52" t="n">
        <f aca="false">IF($G$11=$E$11,$F$11,IF(U520&lt;($F$11-$E$11)/($G$11-$E$11),$E$11+SQRT(U520*($G$11-$E$11)*($F$11-$E$11)),$G$11-SQRT((1-U520)*($G$11-$E$11)*($G$11-$F$11))))</f>
        <v>0.0987926908463012</v>
      </c>
      <c r="H520" s="53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-1960215011.58238</v>
      </c>
      <c r="I520" s="53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-7240137.45345016</v>
      </c>
      <c r="J520" s="53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265220277.560244</v>
      </c>
      <c r="K520" s="53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586686067.863497</v>
      </c>
      <c r="L520" s="53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707975437.311219</v>
      </c>
      <c r="M520" s="53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875556208.415249</v>
      </c>
      <c r="N520" s="53" t="n">
        <f aca="false">IF(COUNT('Business Case'!B11:G11)=0,"",H520+NPV(G520,I520:M520))</f>
        <v>-272561150.665517</v>
      </c>
      <c r="P520" s="54" t="n">
        <f aca="true">RAND()</f>
        <v>0.871661452685083</v>
      </c>
      <c r="Q520" s="54" t="n">
        <f aca="true">RAND()</f>
        <v>0.202193115546389</v>
      </c>
      <c r="R520" s="54" t="n">
        <f aca="true">RAND()</f>
        <v>0.520775636556418</v>
      </c>
      <c r="S520" s="54" t="n">
        <f aca="true">RAND()</f>
        <v>0.126790616091744</v>
      </c>
      <c r="T520" s="54" t="n">
        <f aca="true">RAND()</f>
        <v>0.0604307936644412</v>
      </c>
      <c r="U520" s="54" t="n">
        <f aca="true">RAND()</f>
        <v>0.353165229244652</v>
      </c>
    </row>
    <row r="521" customFormat="false" ht="15" hidden="false" customHeight="false" outlineLevel="0" collapsed="false">
      <c r="A521" s="50" t="n">
        <v>441</v>
      </c>
      <c r="B521" s="51" t="n">
        <f aca="false">1+IF($G$6=$E$6,$F$6,IF(P521&lt;($F$6-$E$6)/($G$6-$E$6),$E$6+SQRT(P521*($G$6-$E$6)*($F$6-$E$6)),$G$6-SQRT((1-P521)*($G$6-$E$6)*($G$6-$F$6))))</f>
        <v>0.971554529766569</v>
      </c>
      <c r="C521" s="51" t="n">
        <f aca="false">1+IF($G$7=$E$7,$F$7,IF(Q521&lt;($F$7-$E$7)/($G$7-$E$7),$E$7+SQRT(Q521*($G$7-$E$7)*($F$7-$E$7)),$G$7-SQRT((1-Q521)*($G$7-$E$7)*($G$7-$F$7))))</f>
        <v>0.787475694328679</v>
      </c>
      <c r="D521" s="51" t="n">
        <f aca="false">1+IF($G$8=$E$8,$F$8,IF(R521&lt;($F$8-$E$8)/($G$8-$E$8),$E$8+SQRT(R521*($G$8-$E$8)*($F$8-$E$8)),$G$8-SQRT((1-R521)*($G$8-$E$8)*($G$8-$F$8))))</f>
        <v>0.968443997024769</v>
      </c>
      <c r="E521" s="51" t="n">
        <f aca="false">1+IF($G$9=$E$9,$F$9,IF(S521&lt;($F$9-$E$9)/($G$9-$E$9),$E$9+SQRT(S521*($G$9-$E$9)*($F$9-$E$9)),$G$9-SQRT((1-S521)*($G$9-$E$9)*($G$9-$F$9))))</f>
        <v>1.02554931833487</v>
      </c>
      <c r="F521" s="51" t="n">
        <f aca="false">1+IF($G$10=$E$10,$F$10,IF(T521&lt;($F$10-$E$10)/($G$10-$E$10),$E$10+SQRT(T521*($G$10-$E$10)*($F$10-$E$10)),$G$10-SQRT((1-T521)*($G$10-$E$10)*($G$10-$F$10))))</f>
        <v>1.15371750807344</v>
      </c>
      <c r="G521" s="52" t="n">
        <f aca="false">IF($G$11=$E$11,$F$11,IF(U521&lt;($F$11-$E$11)/($G$11-$E$11),$E$11+SQRT(U521*($G$11-$E$11)*($F$11-$E$11)),$G$11-SQRT((1-U521)*($G$11-$E$11)*($G$11-$F$11))))</f>
        <v>0.0998145620690639</v>
      </c>
      <c r="H521" s="53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-2307435016.14689</v>
      </c>
      <c r="I521" s="53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-64617955.793257</v>
      </c>
      <c r="J521" s="53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171630470.246701</v>
      </c>
      <c r="K521" s="53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465564771.690332</v>
      </c>
      <c r="L521" s="53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570755259.009419</v>
      </c>
      <c r="M521" s="53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716180824.857811</v>
      </c>
      <c r="N521" s="53" t="n">
        <f aca="false">IF(COUNT('Business Case'!B11:G11)=0,"",H521+NPV(G521,I521:M521))</f>
        <v>-1039171182.63742</v>
      </c>
      <c r="P521" s="54" t="n">
        <f aca="true">RAND()</f>
        <v>0.341336715340987</v>
      </c>
      <c r="Q521" s="54" t="n">
        <f aca="true">RAND()</f>
        <v>0.0566814599872918</v>
      </c>
      <c r="R521" s="54" t="n">
        <f aca="true">RAND()</f>
        <v>0.0453574701666234</v>
      </c>
      <c r="S521" s="54" t="n">
        <f aca="true">RAND()</f>
        <v>0.586987408882249</v>
      </c>
      <c r="T521" s="54" t="n">
        <f aca="true">RAND()</f>
        <v>0.876395756645503</v>
      </c>
      <c r="U521" s="54" t="n">
        <f aca="true">RAND()</f>
        <v>0.392616869988786</v>
      </c>
    </row>
    <row r="522" customFormat="false" ht="15" hidden="false" customHeight="false" outlineLevel="0" collapsed="false">
      <c r="A522" s="50" t="n">
        <v>442</v>
      </c>
      <c r="B522" s="51" t="n">
        <f aca="false">1+IF($G$6=$E$6,$F$6,IF(P522&lt;($F$6-$E$6)/($G$6-$E$6),$E$6+SQRT(P522*($G$6-$E$6)*($F$6-$E$6)),$G$6-SQRT((1-P522)*($G$6-$E$6)*($G$6-$F$6))))</f>
        <v>0.996396170772978</v>
      </c>
      <c r="C522" s="51" t="n">
        <f aca="false">1+IF($G$7=$E$7,$F$7,IF(Q522&lt;($F$7-$E$7)/($G$7-$E$7),$E$7+SQRT(Q522*($G$7-$E$7)*($F$7-$E$7)),$G$7-SQRT((1-Q522)*($G$7-$E$7)*($G$7-$F$7))))</f>
        <v>0.821080937220556</v>
      </c>
      <c r="D522" s="51" t="n">
        <f aca="false">1+IF($G$8=$E$8,$F$8,IF(R522&lt;($F$8-$E$8)/($G$8-$E$8),$E$8+SQRT(R522*($G$8-$E$8)*($F$8-$E$8)),$G$8-SQRT((1-R522)*($G$8-$E$8)*($G$8-$F$8))))</f>
        <v>0.991740373846506</v>
      </c>
      <c r="E522" s="51" t="n">
        <f aca="false">1+IF($G$9=$E$9,$F$9,IF(S522&lt;($F$9-$E$9)/($G$9-$E$9),$E$9+SQRT(S522*($G$9-$E$9)*($F$9-$E$9)),$G$9-SQRT((1-S522)*($G$9-$E$9)*($G$9-$F$9))))</f>
        <v>1.04373170496123</v>
      </c>
      <c r="F522" s="51" t="n">
        <f aca="false">1+IF($G$10=$E$10,$F$10,IF(T522&lt;($F$10-$E$10)/($G$10-$E$10),$E$10+SQRT(T522*($G$10-$E$10)*($F$10-$E$10)),$G$10-SQRT((1-T522)*($G$10-$E$10)*($G$10-$F$10))))</f>
        <v>1.00539321322955</v>
      </c>
      <c r="G522" s="52" t="n">
        <f aca="false">IF($G$11=$E$11,$F$11,IF(U522&lt;($F$11-$E$11)/($G$11-$E$11),$E$11+SQRT(U522*($G$11-$E$11)*($F$11-$E$11)),$G$11-SQRT((1-U522)*($G$11-$E$11)*($G$11-$F$11))))</f>
        <v>0.0983684574948941</v>
      </c>
      <c r="H522" s="53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-2010786426.45911</v>
      </c>
      <c r="I522" s="53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-38124670.1287738</v>
      </c>
      <c r="J522" s="53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215120068.897161</v>
      </c>
      <c r="K522" s="53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518634468.584573</v>
      </c>
      <c r="L522" s="53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631323674.517396</v>
      </c>
      <c r="M522" s="53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786832285.600372</v>
      </c>
      <c r="N522" s="53" t="n">
        <f aca="false">IF(COUNT('Business Case'!B11:G11)=0,"",H522+NPV(G522,I522:M522))</f>
        <v>-549815508.541766</v>
      </c>
      <c r="P522" s="54" t="n">
        <f aca="true">RAND()</f>
        <v>0.619481449312869</v>
      </c>
      <c r="Q522" s="54" t="n">
        <f aca="true">RAND()</f>
        <v>0.108596987838579</v>
      </c>
      <c r="R522" s="54" t="n">
        <f aca="true">RAND()</f>
        <v>0.23230117451281</v>
      </c>
      <c r="S522" s="54" t="n">
        <f aca="true">RAND()</f>
        <v>0.698854652521397</v>
      </c>
      <c r="T522" s="54" t="n">
        <f aca="true">RAND()</f>
        <v>0.202233598211168</v>
      </c>
      <c r="U522" s="54" t="n">
        <f aca="true">RAND()</f>
        <v>0.33740023074173</v>
      </c>
    </row>
    <row r="523" customFormat="false" ht="15" hidden="false" customHeight="false" outlineLevel="0" collapsed="false">
      <c r="A523" s="50" t="n">
        <v>443</v>
      </c>
      <c r="B523" s="51" t="n">
        <f aca="false">1+IF($G$6=$E$6,$F$6,IF(P523&lt;($F$6-$E$6)/($G$6-$E$6),$E$6+SQRT(P523*($G$6-$E$6)*($F$6-$E$6)),$G$6-SQRT((1-P523)*($G$6-$E$6)*($G$6-$F$6))))</f>
        <v>1.04523997152703</v>
      </c>
      <c r="C523" s="51" t="n">
        <f aca="false">1+IF($G$7=$E$7,$F$7,IF(Q523&lt;($F$7-$E$7)/($G$7-$E$7),$E$7+SQRT(Q523*($G$7-$E$7)*($F$7-$E$7)),$G$7-SQRT((1-Q523)*($G$7-$E$7)*($G$7-$F$7))))</f>
        <v>1.01206210333308</v>
      </c>
      <c r="D523" s="51" t="n">
        <f aca="false">1+IF($G$8=$E$8,$F$8,IF(R523&lt;($F$8-$E$8)/($G$8-$E$8),$E$8+SQRT(R523*($G$8-$E$8)*($F$8-$E$8)),$G$8-SQRT((1-R523)*($G$8-$E$8)*($G$8-$F$8))))</f>
        <v>0.99353030861488</v>
      </c>
      <c r="E523" s="51" t="n">
        <f aca="false">1+IF($G$9=$E$9,$F$9,IF(S523&lt;($F$9-$E$9)/($G$9-$E$9),$E$9+SQRT(S523*($G$9-$E$9)*($F$9-$E$9)),$G$9-SQRT((1-S523)*($G$9-$E$9)*($G$9-$F$9))))</f>
        <v>0.998312745581364</v>
      </c>
      <c r="F523" s="51" t="n">
        <f aca="false">1+IF($G$10=$E$10,$F$10,IF(T523&lt;($F$10-$E$10)/($G$10-$E$10),$E$10+SQRT(T523*($G$10-$E$10)*($F$10-$E$10)),$G$10-SQRT((1-T523)*($G$10-$E$10)*($G$10-$F$10))))</f>
        <v>1.11540784525686</v>
      </c>
      <c r="G523" s="52" t="n">
        <f aca="false">IF($G$11=$E$11,$F$11,IF(U523&lt;($F$11-$E$11)/($G$11-$E$11),$E$11+SQRT(U523*($G$11-$E$11)*($F$11-$E$11)),$G$11-SQRT((1-U523)*($G$11-$E$11)*($G$11-$F$11))))</f>
        <v>0.0924260676487012</v>
      </c>
      <c r="H523" s="53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-2230815690.51372</v>
      </c>
      <c r="I523" s="53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43370880.5093126</v>
      </c>
      <c r="J523" s="53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395081446.055445</v>
      </c>
      <c r="K523" s="53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802562403.864421</v>
      </c>
      <c r="L523" s="53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956358477.772775</v>
      </c>
      <c r="M523" s="53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1157434180.76748</v>
      </c>
      <c r="N523" s="53" t="n">
        <f aca="false">IF(COUNT('Business Case'!B11:G11)=0,"",H523+NPV(G523,I523:M523))</f>
        <v>170995063.819567</v>
      </c>
      <c r="P523" s="54" t="n">
        <f aca="true">RAND()</f>
        <v>0.996978950524871</v>
      </c>
      <c r="Q523" s="54" t="n">
        <f aca="true">RAND()</f>
        <v>0.718120543157136</v>
      </c>
      <c r="R523" s="54" t="n">
        <f aca="true">RAND()</f>
        <v>0.252651702414221</v>
      </c>
      <c r="S523" s="54" t="n">
        <f aca="true">RAND()</f>
        <v>0.386615837749838</v>
      </c>
      <c r="T523" s="54" t="n">
        <f aca="true">RAND()</f>
        <v>0.758466025087975</v>
      </c>
      <c r="U523" s="54" t="n">
        <f aca="true">RAND()</f>
        <v>0.154407157210098</v>
      </c>
    </row>
    <row r="524" customFormat="false" ht="15" hidden="false" customHeight="false" outlineLevel="0" collapsed="false">
      <c r="A524" s="50" t="n">
        <v>444</v>
      </c>
      <c r="B524" s="51" t="n">
        <f aca="false">1+IF($G$6=$E$6,$F$6,IF(P524&lt;($F$6-$E$6)/($G$6-$E$6),$E$6+SQRT(P524*($G$6-$E$6)*($F$6-$E$6)),$G$6-SQRT((1-P524)*($G$6-$E$6)*($G$6-$F$6))))</f>
        <v>1.02098730183688</v>
      </c>
      <c r="C524" s="51" t="n">
        <f aca="false">1+IF($G$7=$E$7,$F$7,IF(Q524&lt;($F$7-$E$7)/($G$7-$E$7),$E$7+SQRT(Q524*($G$7-$E$7)*($F$7-$E$7)),$G$7-SQRT((1-Q524)*($G$7-$E$7)*($G$7-$F$7))))</f>
        <v>1.00668590302806</v>
      </c>
      <c r="D524" s="51" t="n">
        <f aca="false">1+IF($G$8=$E$8,$F$8,IF(R524&lt;($F$8-$E$8)/($G$8-$E$8),$E$8+SQRT(R524*($G$8-$E$8)*($F$8-$E$8)),$G$8-SQRT((1-R524)*($G$8-$E$8)*($G$8-$F$8))))</f>
        <v>1.02087888742554</v>
      </c>
      <c r="E524" s="51" t="n">
        <f aca="false">1+IF($G$9=$E$9,$F$9,IF(S524&lt;($F$9-$E$9)/($G$9-$E$9),$E$9+SQRT(S524*($G$9-$E$9)*($F$9-$E$9)),$G$9-SQRT((1-S524)*($G$9-$E$9)*($G$9-$F$9))))</f>
        <v>1.05930064707829</v>
      </c>
      <c r="F524" s="51" t="n">
        <f aca="false">1+IF($G$10=$E$10,$F$10,IF(T524&lt;($F$10-$E$10)/($G$10-$E$10),$E$10+SQRT(T524*($G$10-$E$10)*($F$10-$E$10)),$G$10-SQRT((1-T524)*($G$10-$E$10)*($G$10-$F$10))))</f>
        <v>1.11407055396384</v>
      </c>
      <c r="G524" s="52" t="n">
        <f aca="false">IF($G$11=$E$11,$F$11,IF(U524&lt;($F$11-$E$11)/($G$11-$E$11),$E$11+SQRT(U524*($G$11-$E$11)*($F$11-$E$11)),$G$11-SQRT((1-U524)*($G$11-$E$11)*($G$11-$F$11))))</f>
        <v>0.0925678780953925</v>
      </c>
      <c r="H524" s="53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-2228141107.92769</v>
      </c>
      <c r="I524" s="53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429389.580424011</v>
      </c>
      <c r="J524" s="53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316180239.652289</v>
      </c>
      <c r="K524" s="53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687634617.422345</v>
      </c>
      <c r="L524" s="53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828406136.166649</v>
      </c>
      <c r="M524" s="53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1023772930.79523</v>
      </c>
      <c r="N524" s="53" t="n">
        <f aca="false">IF(COUNT('Business Case'!B11:G11)=0,"",H524+NPV(G524,I524:M524))</f>
        <v>-196664518.766586</v>
      </c>
      <c r="P524" s="54" t="n">
        <f aca="true">RAND()</f>
        <v>0.887768446039425</v>
      </c>
      <c r="Q524" s="54" t="n">
        <f aca="true">RAND()</f>
        <v>0.695719549764697</v>
      </c>
      <c r="R524" s="54" t="n">
        <f aca="true">RAND()</f>
        <v>0.582656636331948</v>
      </c>
      <c r="S524" s="54" t="n">
        <f aca="true">RAND()</f>
        <v>0.780630063455565</v>
      </c>
      <c r="T524" s="54" t="n">
        <f aca="true">RAND()</f>
        <v>0.753642476004045</v>
      </c>
      <c r="U524" s="54" t="n">
        <f aca="true">RAND()</f>
        <v>0.157951559820647</v>
      </c>
    </row>
    <row r="525" customFormat="false" ht="15" hidden="false" customHeight="false" outlineLevel="0" collapsed="false">
      <c r="A525" s="50" t="n">
        <v>445</v>
      </c>
      <c r="B525" s="51" t="n">
        <f aca="false">1+IF($G$6=$E$6,$F$6,IF(P525&lt;($F$6-$E$6)/($G$6-$E$6),$E$6+SQRT(P525*($G$6-$E$6)*($F$6-$E$6)),$G$6-SQRT((1-P525)*($G$6-$E$6)*($G$6-$F$6))))</f>
        <v>0.993863181486758</v>
      </c>
      <c r="C525" s="51" t="n">
        <f aca="false">1+IF($G$7=$E$7,$F$7,IF(Q525&lt;($F$7-$E$7)/($G$7-$E$7),$E$7+SQRT(Q525*($G$7-$E$7)*($F$7-$E$7)),$G$7-SQRT((1-Q525)*($G$7-$E$7)*($G$7-$F$7))))</f>
        <v>0.9068090162443</v>
      </c>
      <c r="D525" s="51" t="n">
        <f aca="false">1+IF($G$8=$E$8,$F$8,IF(R525&lt;($F$8-$E$8)/($G$8-$E$8),$E$8+SQRT(R525*($G$8-$E$8)*($F$8-$E$8)),$G$8-SQRT((1-R525)*($G$8-$E$8)*($G$8-$F$8))))</f>
        <v>1.04982193866159</v>
      </c>
      <c r="E525" s="51" t="n">
        <f aca="false">1+IF($G$9=$E$9,$F$9,IF(S525&lt;($F$9-$E$9)/($G$9-$E$9),$E$9+SQRT(S525*($G$9-$E$9)*($F$9-$E$9)),$G$9-SQRT((1-S525)*($G$9-$E$9)*($G$9-$F$9))))</f>
        <v>0.92672022103936</v>
      </c>
      <c r="F525" s="51" t="n">
        <f aca="false">1+IF($G$10=$E$10,$F$10,IF(T525&lt;($F$10-$E$10)/($G$10-$E$10),$E$10+SQRT(T525*($G$10-$E$10)*($F$10-$E$10)),$G$10-SQRT((1-T525)*($G$10-$E$10)*($G$10-$F$10))))</f>
        <v>1.05404124860812</v>
      </c>
      <c r="G525" s="52" t="n">
        <f aca="false">IF($G$11=$E$11,$F$11,IF(U525&lt;($F$11-$E$11)/($G$11-$E$11),$E$11+SQRT(U525*($G$11-$E$11)*($F$11-$E$11)),$G$11-SQRT((1-U525)*($G$11-$E$11)*($G$11-$F$11))))</f>
        <v>0.0980979682332337</v>
      </c>
      <c r="H525" s="53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-2108082497.21623</v>
      </c>
      <c r="I525" s="53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-33062128.3205936</v>
      </c>
      <c r="J525" s="53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217779977.478443</v>
      </c>
      <c r="K525" s="53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521324145.707885</v>
      </c>
      <c r="L525" s="53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636085176.85891</v>
      </c>
      <c r="M525" s="53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807393654.224654</v>
      </c>
      <c r="N525" s="53" t="n">
        <f aca="false">IF(COUNT('Business Case'!B11:G11)=0,"",H525+NPV(G525,I525:M525))</f>
        <v>-620708714.459211</v>
      </c>
      <c r="P525" s="54" t="n">
        <f aca="true">RAND()</f>
        <v>0.587353122587738</v>
      </c>
      <c r="Q525" s="54" t="n">
        <f aca="true">RAND()</f>
        <v>0.316814586666186</v>
      </c>
      <c r="R525" s="54" t="n">
        <f aca="true">RAND()</f>
        <v>0.832144144021224</v>
      </c>
      <c r="S525" s="54" t="n">
        <f aca="true">RAND()</f>
        <v>0.0285588084956903</v>
      </c>
      <c r="T525" s="54" t="n">
        <f aca="true">RAND()</f>
        <v>0.488002236705788</v>
      </c>
      <c r="U525" s="54" t="n">
        <f aca="true">RAND()</f>
        <v>0.327536454171135</v>
      </c>
    </row>
    <row r="526" customFormat="false" ht="15" hidden="false" customHeight="false" outlineLevel="0" collapsed="false">
      <c r="A526" s="50" t="n">
        <v>446</v>
      </c>
      <c r="B526" s="51" t="n">
        <f aca="false">1+IF($G$6=$E$6,$F$6,IF(P526&lt;($F$6-$E$6)/($G$6-$E$6),$E$6+SQRT(P526*($G$6-$E$6)*($F$6-$E$6)),$G$6-SQRT((1-P526)*($G$6-$E$6)*($G$6-$F$6))))</f>
        <v>1.02573130423475</v>
      </c>
      <c r="C526" s="51" t="n">
        <f aca="false">1+IF($G$7=$E$7,$F$7,IF(Q526&lt;($F$7-$E$7)/($G$7-$E$7),$E$7+SQRT(Q526*($G$7-$E$7)*($F$7-$E$7)),$G$7-SQRT((1-Q526)*($G$7-$E$7)*($G$7-$F$7))))</f>
        <v>0.958012522507955</v>
      </c>
      <c r="D526" s="51" t="n">
        <f aca="false">1+IF($G$8=$E$8,$F$8,IF(R526&lt;($F$8-$E$8)/($G$8-$E$8),$E$8+SQRT(R526*($G$8-$E$8)*($F$8-$E$8)),$G$8-SQRT((1-R526)*($G$8-$E$8)*($G$8-$F$8))))</f>
        <v>0.974063390433551</v>
      </c>
      <c r="E526" s="51" t="n">
        <f aca="false">1+IF($G$9=$E$9,$F$9,IF(S526&lt;($F$9-$E$9)/($G$9-$E$9),$E$9+SQRT(S526*($G$9-$E$9)*($F$9-$E$9)),$G$9-SQRT((1-S526)*($G$9-$E$9)*($G$9-$F$9))))</f>
        <v>1.0624833520238</v>
      </c>
      <c r="F526" s="51" t="n">
        <f aca="false">1+IF($G$10=$E$10,$F$10,IF(T526&lt;($F$10-$E$10)/($G$10-$E$10),$E$10+SQRT(T526*($G$10-$E$10)*($F$10-$E$10)),$G$10-SQRT((1-T526)*($G$10-$E$10)*($G$10-$F$10))))</f>
        <v>1.00363150260359</v>
      </c>
      <c r="G526" s="52" t="n">
        <f aca="false">IF($G$11=$E$11,$F$11,IF(U526&lt;($F$11-$E$11)/($G$11-$E$11),$E$11+SQRT(U526*($G$11-$E$11)*($F$11-$E$11)),$G$11-SQRT((1-U526)*($G$11-$E$11)*($G$11-$F$11))))</f>
        <v>0.118305934815801</v>
      </c>
      <c r="H526" s="53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-2007263005.20719</v>
      </c>
      <c r="I526" s="53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24776760.2278056</v>
      </c>
      <c r="J526" s="53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351943075.801921</v>
      </c>
      <c r="K526" s="53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729290966.506217</v>
      </c>
      <c r="L526" s="53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872307253.316366</v>
      </c>
      <c r="M526" s="53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1059091918.88631</v>
      </c>
      <c r="N526" s="53" t="n">
        <f aca="false">IF(COUNT('Business Case'!B11:G11)=0,"",H526+NPV(G526,I526:M526))</f>
        <v>-18975703.7560048</v>
      </c>
      <c r="P526" s="54" t="n">
        <f aca="true">RAND()</f>
        <v>0.921470720780487</v>
      </c>
      <c r="Q526" s="54" t="n">
        <f aca="true">RAND()</f>
        <v>0.493114531636431</v>
      </c>
      <c r="R526" s="54" t="n">
        <f aca="true">RAND()</f>
        <v>0.0772062345543358</v>
      </c>
      <c r="S526" s="54" t="n">
        <f aca="true">RAND()</f>
        <v>0.795755635386937</v>
      </c>
      <c r="T526" s="54" t="n">
        <f aca="true">RAND()</f>
        <v>0.190700846541819</v>
      </c>
      <c r="U526" s="54" t="n">
        <f aca="true">RAND()</f>
        <v>0.908832559645135</v>
      </c>
    </row>
    <row r="527" customFormat="false" ht="15" hidden="false" customHeight="false" outlineLevel="0" collapsed="false">
      <c r="A527" s="50" t="n">
        <v>447</v>
      </c>
      <c r="B527" s="51" t="n">
        <f aca="false">1+IF($G$6=$E$6,$F$6,IF(P527&lt;($F$6-$E$6)/($G$6-$E$6),$E$6+SQRT(P527*($G$6-$E$6)*($F$6-$E$6)),$G$6-SQRT((1-P527)*($G$6-$E$6)*($G$6-$F$6))))</f>
        <v>0.996385719665586</v>
      </c>
      <c r="C527" s="51" t="n">
        <f aca="false">1+IF($G$7=$E$7,$F$7,IF(Q527&lt;($F$7-$E$7)/($G$7-$E$7),$E$7+SQRT(Q527*($G$7-$E$7)*($F$7-$E$7)),$G$7-SQRT((1-Q527)*($G$7-$E$7)*($G$7-$F$7))))</f>
        <v>0.82972883306015</v>
      </c>
      <c r="D527" s="51" t="n">
        <f aca="false">1+IF($G$8=$E$8,$F$8,IF(R527&lt;($F$8-$E$8)/($G$8-$E$8),$E$8+SQRT(R527*($G$8-$E$8)*($F$8-$E$8)),$G$8-SQRT((1-R527)*($G$8-$E$8)*($G$8-$F$8))))</f>
        <v>1.09356870107867</v>
      </c>
      <c r="E527" s="51" t="n">
        <f aca="false">1+IF($G$9=$E$9,$F$9,IF(S527&lt;($F$9-$E$9)/($G$9-$E$9),$E$9+SQRT(S527*($G$9-$E$9)*($F$9-$E$9)),$G$9-SQRT((1-S527)*($G$9-$E$9)*($G$9-$F$9))))</f>
        <v>1.05022914365976</v>
      </c>
      <c r="F527" s="51" t="n">
        <f aca="false">1+IF($G$10=$E$10,$F$10,IF(T527&lt;($F$10-$E$10)/($G$10-$E$10),$E$10+SQRT(T527*($G$10-$E$10)*($F$10-$E$10)),$G$10-SQRT((1-T527)*($G$10-$E$10)*($G$10-$F$10))))</f>
        <v>1.02513698893377</v>
      </c>
      <c r="G527" s="52" t="n">
        <f aca="false">IF($G$11=$E$11,$F$11,IF(U527&lt;($F$11-$E$11)/($G$11-$E$11),$E$11+SQRT(U527*($G$11-$E$11)*($F$11-$E$11)),$G$11-SQRT((1-U527)*($G$11-$E$11)*($G$11-$F$11))))</f>
        <v>0.102836563833706</v>
      </c>
      <c r="H527" s="53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-2050273977.86754</v>
      </c>
      <c r="I527" s="53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-82061139.7578572</v>
      </c>
      <c r="J527" s="53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130591684.756116</v>
      </c>
      <c r="K527" s="53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394501358.716779</v>
      </c>
      <c r="L527" s="53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493957420.988126</v>
      </c>
      <c r="M527" s="53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651102251.871589</v>
      </c>
      <c r="N527" s="53" t="n">
        <f aca="false">IF(COUNT('Business Case'!B11:G11)=0,"",H527+NPV(G527,I527:M527))</f>
        <v>-990164419.021631</v>
      </c>
      <c r="P527" s="54" t="n">
        <f aca="true">RAND()</f>
        <v>0.619347130363532</v>
      </c>
      <c r="Q527" s="54" t="n">
        <f aca="true">RAND()</f>
        <v>0.124663482423321</v>
      </c>
      <c r="R527" s="54" t="n">
        <f aca="true">RAND()</f>
        <v>0.997242559612299</v>
      </c>
      <c r="S527" s="54" t="n">
        <f aca="true">RAND()</f>
        <v>0.734554032670296</v>
      </c>
      <c r="T527" s="54" t="n">
        <f aca="true">RAND()</f>
        <v>0.325821683389716</v>
      </c>
      <c r="U527" s="54" t="n">
        <f aca="true">RAND()</f>
        <v>0.508098490426446</v>
      </c>
    </row>
    <row r="528" customFormat="false" ht="15" hidden="false" customHeight="false" outlineLevel="0" collapsed="false">
      <c r="A528" s="50" t="n">
        <v>448</v>
      </c>
      <c r="B528" s="51" t="n">
        <f aca="false">1+IF($G$6=$E$6,$F$6,IF(P528&lt;($F$6-$E$6)/($G$6-$E$6),$E$6+SQRT(P528*($G$6-$E$6)*($F$6-$E$6)),$G$6-SQRT((1-P528)*($G$6-$E$6)*($G$6-$F$6))))</f>
        <v>1.02507437698993</v>
      </c>
      <c r="C528" s="51" t="n">
        <f aca="false">1+IF($G$7=$E$7,$F$7,IF(Q528&lt;($F$7-$E$7)/($G$7-$E$7),$E$7+SQRT(Q528*($G$7-$E$7)*($F$7-$E$7)),$G$7-SQRT((1-Q528)*($G$7-$E$7)*($G$7-$F$7))))</f>
        <v>0.976120597233856</v>
      </c>
      <c r="D528" s="51" t="n">
        <f aca="false">1+IF($G$8=$E$8,$F$8,IF(R528&lt;($F$8-$E$8)/($G$8-$E$8),$E$8+SQRT(R528*($G$8-$E$8)*($F$8-$E$8)),$G$8-SQRT((1-R528)*($G$8-$E$8)*($G$8-$F$8))))</f>
        <v>0.992429678589323</v>
      </c>
      <c r="E528" s="51" t="n">
        <f aca="false">1+IF($G$9=$E$9,$F$9,IF(S528&lt;($F$9-$E$9)/($G$9-$E$9),$E$9+SQRT(S528*($G$9-$E$9)*($F$9-$E$9)),$G$9-SQRT((1-S528)*($G$9-$E$9)*($G$9-$F$9))))</f>
        <v>1.01567540212112</v>
      </c>
      <c r="F528" s="51" t="n">
        <f aca="false">1+IF($G$10=$E$10,$F$10,IF(T528&lt;($F$10-$E$10)/($G$10-$E$10),$E$10+SQRT(T528*($G$10-$E$10)*($F$10-$E$10)),$G$10-SQRT((1-T528)*($G$10-$E$10)*($G$10-$F$10))))</f>
        <v>1.07635342868575</v>
      </c>
      <c r="G528" s="52" t="n">
        <f aca="false">IF($G$11=$E$11,$F$11,IF(U528&lt;($F$11-$E$11)/($G$11-$E$11),$E$11+SQRT(U528*($G$11-$E$11)*($F$11-$E$11)),$G$11-SQRT((1-U528)*($G$11-$E$11)*($G$11-$F$11))))</f>
        <v>0.112556973249463</v>
      </c>
      <c r="H528" s="53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-2152706857.3715</v>
      </c>
      <c r="I528" s="53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19712249.2894493</v>
      </c>
      <c r="J528" s="53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343359791.314985</v>
      </c>
      <c r="K528" s="53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720825004.774807</v>
      </c>
      <c r="L528" s="53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863288123.907244</v>
      </c>
      <c r="M528" s="53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1053481452.08883</v>
      </c>
      <c r="N528" s="53" t="n">
        <f aca="false">IF(COUNT('Business Case'!B11:G11)=0,"",H528+NPV(G528,I528:M528))</f>
        <v>-152651200.221693</v>
      </c>
      <c r="P528" s="54" t="n">
        <f aca="true">RAND()</f>
        <v>0.917161775674652</v>
      </c>
      <c r="Q528" s="54" t="n">
        <f aca="true">RAND()</f>
        <v>0.564759883087268</v>
      </c>
      <c r="R528" s="54" t="n">
        <f aca="true">RAND()</f>
        <v>0.240037016692438</v>
      </c>
      <c r="S528" s="54" t="n">
        <f aca="true">RAND()</f>
        <v>0.518850730791404</v>
      </c>
      <c r="T528" s="54" t="n">
        <f aca="true">RAND()</f>
        <v>0.597958243610726</v>
      </c>
      <c r="U528" s="54" t="n">
        <f aca="true">RAND()</f>
        <v>0.79716054518669</v>
      </c>
    </row>
    <row r="529" customFormat="false" ht="15" hidden="false" customHeight="false" outlineLevel="0" collapsed="false">
      <c r="A529" s="50" t="n">
        <v>449</v>
      </c>
      <c r="B529" s="51" t="n">
        <f aca="false">1+IF($G$6=$E$6,$F$6,IF(P529&lt;($F$6-$E$6)/($G$6-$E$6),$E$6+SQRT(P529*($G$6-$E$6)*($F$6-$E$6)),$G$6-SQRT((1-P529)*($G$6-$E$6)*($G$6-$F$6))))</f>
        <v>0.947877379184036</v>
      </c>
      <c r="C529" s="51" t="n">
        <f aca="false">1+IF($G$7=$E$7,$F$7,IF(Q529&lt;($F$7-$E$7)/($G$7-$E$7),$E$7+SQRT(Q529*($G$7-$E$7)*($F$7-$E$7)),$G$7-SQRT((1-Q529)*($G$7-$E$7)*($G$7-$F$7))))</f>
        <v>0.976879365914762</v>
      </c>
      <c r="D529" s="51" t="n">
        <f aca="false">1+IF($G$8=$E$8,$F$8,IF(R529&lt;($F$8-$E$8)/($G$8-$E$8),$E$8+SQRT(R529*($G$8-$E$8)*($F$8-$E$8)),$G$8-SQRT((1-R529)*($G$8-$E$8)*($G$8-$F$8))))</f>
        <v>0.997462549115813</v>
      </c>
      <c r="E529" s="51" t="n">
        <f aca="false">1+IF($G$9=$E$9,$F$9,IF(S529&lt;($F$9-$E$9)/($G$9-$E$9),$E$9+SQRT(S529*($G$9-$E$9)*($F$9-$E$9)),$G$9-SQRT((1-S529)*($G$9-$E$9)*($G$9-$F$9))))</f>
        <v>0.981051060014135</v>
      </c>
      <c r="F529" s="51" t="n">
        <f aca="false">1+IF($G$10=$E$10,$F$10,IF(T529&lt;($F$10-$E$10)/($G$10-$E$10),$E$10+SQRT(T529*($G$10-$E$10)*($F$10-$E$10)),$G$10-SQRT((1-T529)*($G$10-$E$10)*($G$10-$F$10))))</f>
        <v>1.14688455848458</v>
      </c>
      <c r="G529" s="52" t="n">
        <f aca="false">IF($G$11=$E$11,$F$11,IF(U529&lt;($F$11-$E$11)/($G$11-$E$11),$E$11+SQRT(U529*($G$11-$E$11)*($F$11-$E$11)),$G$11-SQRT((1-U529)*($G$11-$E$11)*($G$11-$F$11))))</f>
        <v>0.124925366218189</v>
      </c>
      <c r="H529" s="53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-2293769116.96916</v>
      </c>
      <c r="I529" s="53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-42581498.2678713</v>
      </c>
      <c r="J529" s="53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217032782.51362</v>
      </c>
      <c r="K529" s="53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533991291.219339</v>
      </c>
      <c r="L529" s="53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652530626.457766</v>
      </c>
      <c r="M529" s="53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828537455.503044</v>
      </c>
      <c r="N529" s="53" t="n">
        <f aca="false">IF(COUNT('Business Case'!B11:G11)=0,"",H529+NPV(G529,I529:M529))</f>
        <v>-917590853.310982</v>
      </c>
      <c r="P529" s="54" t="n">
        <f aca="true">RAND()</f>
        <v>0.1528162291688</v>
      </c>
      <c r="Q529" s="54" t="n">
        <f aca="true">RAND()</f>
        <v>0.567868024217485</v>
      </c>
      <c r="R529" s="54" t="n">
        <f aca="true">RAND()</f>
        <v>0.300359142476131</v>
      </c>
      <c r="S529" s="54" t="n">
        <f aca="true">RAND()</f>
        <v>0.2627709731766</v>
      </c>
      <c r="T529" s="54" t="n">
        <f aca="true">RAND()</f>
        <v>0.858229409614401</v>
      </c>
      <c r="U529" s="54" t="n">
        <f aca="true">RAND()</f>
        <v>0.982832061320337</v>
      </c>
    </row>
    <row r="530" customFormat="false" ht="15" hidden="false" customHeight="false" outlineLevel="0" collapsed="false">
      <c r="A530" s="50" t="n">
        <v>450</v>
      </c>
      <c r="B530" s="51" t="n">
        <f aca="false">1+IF($G$6=$E$6,$F$6,IF(P530&lt;($F$6-$E$6)/($G$6-$E$6),$E$6+SQRT(P530*($G$6-$E$6)*($F$6-$E$6)),$G$6-SQRT((1-P530)*($G$6-$E$6)*($G$6-$F$6))))</f>
        <v>0.940948529997372</v>
      </c>
      <c r="C530" s="51" t="n">
        <f aca="false">1+IF($G$7=$E$7,$F$7,IF(Q530&lt;($F$7-$E$7)/($G$7-$E$7),$E$7+SQRT(Q530*($G$7-$E$7)*($F$7-$E$7)),$G$7-SQRT((1-Q530)*($G$7-$E$7)*($G$7-$F$7))))</f>
        <v>0.933563205834332</v>
      </c>
      <c r="D530" s="51" t="n">
        <f aca="false">1+IF($G$8=$E$8,$F$8,IF(R530&lt;($F$8-$E$8)/($G$8-$E$8),$E$8+SQRT(R530*($G$8-$E$8)*($F$8-$E$8)),$G$8-SQRT((1-R530)*($G$8-$E$8)*($G$8-$F$8))))</f>
        <v>1.01881272928362</v>
      </c>
      <c r="E530" s="51" t="n">
        <f aca="false">1+IF($G$9=$E$9,$F$9,IF(S530&lt;($F$9-$E$9)/($G$9-$E$9),$E$9+SQRT(S530*($G$9-$E$9)*($F$9-$E$9)),$G$9-SQRT((1-S530)*($G$9-$E$9)*($G$9-$F$9))))</f>
        <v>0.982734825129997</v>
      </c>
      <c r="F530" s="51" t="n">
        <f aca="false">1+IF($G$10=$E$10,$F$10,IF(T530&lt;($F$10-$E$10)/($G$10-$E$10),$E$10+SQRT(T530*($G$10-$E$10)*($F$10-$E$10)),$G$10-SQRT((1-T530)*($G$10-$E$10)*($G$10-$F$10))))</f>
        <v>1.02751204422259</v>
      </c>
      <c r="G530" s="52" t="n">
        <f aca="false">IF($G$11=$E$11,$F$11,IF(U530&lt;($F$11-$E$11)/($G$11-$E$11),$E$11+SQRT(U530*($G$11-$E$11)*($F$11-$E$11)),$G$11-SQRT((1-U530)*($G$11-$E$11)*($G$11-$F$11))))</f>
        <v>0.104375172274441</v>
      </c>
      <c r="H530" s="53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-2055024088.44517</v>
      </c>
      <c r="I530" s="53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-55433172.9591045</v>
      </c>
      <c r="J530" s="53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177167817.211196</v>
      </c>
      <c r="K530" s="53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461144409.592626</v>
      </c>
      <c r="L530" s="53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569036784.031834</v>
      </c>
      <c r="M530" s="53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736009694.801924</v>
      </c>
      <c r="N530" s="53" t="n">
        <f aca="false">IF(COUNT('Business Case'!B11:G11)=0,"",H530+NPV(G530,I530:M530))</f>
        <v>-787032849.296053</v>
      </c>
      <c r="P530" s="54" t="n">
        <f aca="true">RAND()</f>
        <v>0.111785473929714</v>
      </c>
      <c r="Q530" s="54" t="n">
        <f aca="true">RAND()</f>
        <v>0.404087193478596</v>
      </c>
      <c r="R530" s="54" t="n">
        <f aca="true">RAND()</f>
        <v>0.56057513824169</v>
      </c>
      <c r="S530" s="54" t="n">
        <f aca="true">RAND()</f>
        <v>0.273802051571646</v>
      </c>
      <c r="T530" s="54" t="n">
        <f aca="true">RAND()</f>
        <v>0.339988127119841</v>
      </c>
      <c r="U530" s="54" t="n">
        <f aca="true">RAND()</f>
        <v>0.562245469356943</v>
      </c>
    </row>
    <row r="531" customFormat="false" ht="15" hidden="false" customHeight="false" outlineLevel="0" collapsed="false">
      <c r="A531" s="50" t="n">
        <v>451</v>
      </c>
      <c r="B531" s="51" t="n">
        <f aca="false">1+IF($G$6=$E$6,$F$6,IF(P531&lt;($F$6-$E$6)/($G$6-$E$6),$E$6+SQRT(P531*($G$6-$E$6)*($F$6-$E$6)),$G$6-SQRT((1-P531)*($G$6-$E$6)*($G$6-$F$6))))</f>
        <v>0.910806869598069</v>
      </c>
      <c r="C531" s="51" t="n">
        <f aca="false">1+IF($G$7=$E$7,$F$7,IF(Q531&lt;($F$7-$E$7)/($G$7-$E$7),$E$7+SQRT(Q531*($G$7-$E$7)*($F$7-$E$7)),$G$7-SQRT((1-Q531)*($G$7-$E$7)*($G$7-$F$7))))</f>
        <v>0.975649555923554</v>
      </c>
      <c r="D531" s="51" t="n">
        <f aca="false">1+IF($G$8=$E$8,$F$8,IF(R531&lt;($F$8-$E$8)/($G$8-$E$8),$E$8+SQRT(R531*($G$8-$E$8)*($F$8-$E$8)),$G$8-SQRT((1-R531)*($G$8-$E$8)*($G$8-$F$8))))</f>
        <v>1.02342517199904</v>
      </c>
      <c r="E531" s="51" t="n">
        <f aca="false">1+IF($G$9=$E$9,$F$9,IF(S531&lt;($F$9-$E$9)/($G$9-$E$9),$E$9+SQRT(S531*($G$9-$E$9)*($F$9-$E$9)),$G$9-SQRT((1-S531)*($G$9-$E$9)*($G$9-$F$9))))</f>
        <v>1.03451859800959</v>
      </c>
      <c r="F531" s="51" t="n">
        <f aca="false">1+IF($G$10=$E$10,$F$10,IF(T531&lt;($F$10-$E$10)/($G$10-$E$10),$E$10+SQRT(T531*($G$10-$E$10)*($F$10-$E$10)),$G$10-SQRT((1-T531)*($G$10-$E$10)*($G$10-$F$10))))</f>
        <v>0.969035045470882</v>
      </c>
      <c r="G531" s="52" t="n">
        <f aca="false">IF($G$11=$E$11,$F$11,IF(U531&lt;($F$11-$E$11)/($G$11-$E$11),$E$11+SQRT(U531*($G$11-$E$11)*($F$11-$E$11)),$G$11-SQRT((1-U531)*($G$11-$E$11)*($G$11-$F$11))))</f>
        <v>0.097829995635412</v>
      </c>
      <c r="H531" s="53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-1938070090.94176</v>
      </c>
      <c r="I531" s="53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-73382296.3398977</v>
      </c>
      <c r="J531" s="53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143313948.501885</v>
      </c>
      <c r="K531" s="53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408461945.617211</v>
      </c>
      <c r="L531" s="53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511405021.896224</v>
      </c>
      <c r="M531" s="53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680315492.554193</v>
      </c>
      <c r="N531" s="53" t="n">
        <f aca="false">IF(COUNT('Business Case'!B11:G11)=0,"",H531+NPV(G531,I531:M531))</f>
        <v>-798616041.387754</v>
      </c>
      <c r="P531" s="54" t="n">
        <f aca="true">RAND()</f>
        <v>0.00778589536731147</v>
      </c>
      <c r="Q531" s="54" t="n">
        <f aca="true">RAND()</f>
        <v>0.562834649487798</v>
      </c>
      <c r="R531" s="54" t="n">
        <f aca="true">RAND()</f>
        <v>0.609086381108222</v>
      </c>
      <c r="S531" s="54" t="n">
        <f aca="true">RAND()</f>
        <v>0.644374554515443</v>
      </c>
      <c r="T531" s="54" t="n">
        <f aca="true">RAND()</f>
        <v>0.0241555304052365</v>
      </c>
      <c r="U531" s="54" t="n">
        <f aca="true">RAND()</f>
        <v>0.31790874435881</v>
      </c>
    </row>
    <row r="532" customFormat="false" ht="15" hidden="false" customHeight="false" outlineLevel="0" collapsed="false">
      <c r="A532" s="50" t="n">
        <v>452</v>
      </c>
      <c r="B532" s="51" t="n">
        <f aca="false">1+IF($G$6=$E$6,$F$6,IF(P532&lt;($F$6-$E$6)/($G$6-$E$6),$E$6+SQRT(P532*($G$6-$E$6)*($F$6-$E$6)),$G$6-SQRT((1-P532)*($G$6-$E$6)*($G$6-$F$6))))</f>
        <v>0.998912466779023</v>
      </c>
      <c r="C532" s="51" t="n">
        <f aca="false">1+IF($G$7=$E$7,$F$7,IF(Q532&lt;($F$7-$E$7)/($G$7-$E$7),$E$7+SQRT(Q532*($G$7-$E$7)*($F$7-$E$7)),$G$7-SQRT((1-Q532)*($G$7-$E$7)*($G$7-$F$7))))</f>
        <v>0.961027052542384</v>
      </c>
      <c r="D532" s="51" t="n">
        <f aca="false">1+IF($G$8=$E$8,$F$8,IF(R532&lt;($F$8-$E$8)/($G$8-$E$8),$E$8+SQRT(R532*($G$8-$E$8)*($F$8-$E$8)),$G$8-SQRT((1-R532)*($G$8-$E$8)*($G$8-$F$8))))</f>
        <v>1.00575913199111</v>
      </c>
      <c r="E532" s="51" t="n">
        <f aca="false">1+IF($G$9=$E$9,$F$9,IF(S532&lt;($F$9-$E$9)/($G$9-$E$9),$E$9+SQRT(S532*($G$9-$E$9)*($F$9-$E$9)),$G$9-SQRT((1-S532)*($G$9-$E$9)*($G$9-$F$9))))</f>
        <v>0.985281358069069</v>
      </c>
      <c r="F532" s="51" t="n">
        <f aca="false">1+IF($G$10=$E$10,$F$10,IF(T532&lt;($F$10-$E$10)/($G$10-$E$10),$E$10+SQRT(T532*($G$10-$E$10)*($F$10-$E$10)),$G$10-SQRT((1-T532)*($G$10-$E$10)*($G$10-$F$10))))</f>
        <v>1.04747773267045</v>
      </c>
      <c r="G532" s="52" t="n">
        <f aca="false">IF($G$11=$E$11,$F$11,IF(U532&lt;($F$11-$E$11)/($G$11-$E$11),$E$11+SQRT(U532*($G$11-$E$11)*($F$11-$E$11)),$G$11-SQRT((1-U532)*($G$11-$E$11)*($G$11-$F$11))))</f>
        <v>0.111860747623781</v>
      </c>
      <c r="H532" s="53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-2094955465.3409</v>
      </c>
      <c r="I532" s="53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-3128229.41159116</v>
      </c>
      <c r="J532" s="53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288363785.44891</v>
      </c>
      <c r="K532" s="53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632229686.942934</v>
      </c>
      <c r="L532" s="53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762570666.488185</v>
      </c>
      <c r="M532" s="53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945044026.742814</v>
      </c>
      <c r="N532" s="53" t="n">
        <f aca="false">IF(COUNT('Business Case'!B11:G11)=0,"",H532+NPV(G532,I532:M532))</f>
        <v>-349410268.776226</v>
      </c>
      <c r="P532" s="54" t="n">
        <f aca="true">RAND()</f>
        <v>0.65224507228742</v>
      </c>
      <c r="Q532" s="54" t="n">
        <f aca="true">RAND()</f>
        <v>0.504704608584923</v>
      </c>
      <c r="R532" s="54" t="n">
        <f aca="true">RAND()</f>
        <v>0.407910586462071</v>
      </c>
      <c r="S532" s="54" t="n">
        <f aca="true">RAND()</f>
        <v>0.290916401364191</v>
      </c>
      <c r="T532" s="54" t="n">
        <f aca="true">RAND()</f>
        <v>0.453129749809316</v>
      </c>
      <c r="U532" s="54" t="n">
        <f aca="true">RAND()</f>
        <v>0.780645015487885</v>
      </c>
    </row>
    <row r="533" customFormat="false" ht="15" hidden="false" customHeight="false" outlineLevel="0" collapsed="false">
      <c r="A533" s="50" t="n">
        <v>453</v>
      </c>
      <c r="B533" s="51" t="n">
        <f aca="false">1+IF($G$6=$E$6,$F$6,IF(P533&lt;($F$6-$E$6)/($G$6-$E$6),$E$6+SQRT(P533*($G$6-$E$6)*($F$6-$E$6)),$G$6-SQRT((1-P533)*($G$6-$E$6)*($G$6-$F$6))))</f>
        <v>0.973112650620407</v>
      </c>
      <c r="C533" s="51" t="n">
        <f aca="false">1+IF($G$7=$E$7,$F$7,IF(Q533&lt;($F$7-$E$7)/($G$7-$E$7),$E$7+SQRT(Q533*($G$7-$E$7)*($F$7-$E$7)),$G$7-SQRT((1-Q533)*($G$7-$E$7)*($G$7-$F$7))))</f>
        <v>0.946109628323469</v>
      </c>
      <c r="D533" s="51" t="n">
        <f aca="false">1+IF($G$8=$E$8,$F$8,IF(R533&lt;($F$8-$E$8)/($G$8-$E$8),$E$8+SQRT(R533*($G$8-$E$8)*($F$8-$E$8)),$G$8-SQRT((1-R533)*($G$8-$E$8)*($G$8-$F$8))))</f>
        <v>1.03226632815593</v>
      </c>
      <c r="E533" s="51" t="n">
        <f aca="false">1+IF($G$9=$E$9,$F$9,IF(S533&lt;($F$9-$E$9)/($G$9-$E$9),$E$9+SQRT(S533*($G$9-$E$9)*($F$9-$E$9)),$G$9-SQRT((1-S533)*($G$9-$E$9)*($G$9-$F$9))))</f>
        <v>1.0044164236511</v>
      </c>
      <c r="F533" s="51" t="n">
        <f aca="false">1+IF($G$10=$E$10,$F$10,IF(T533&lt;($F$10-$E$10)/($G$10-$E$10),$E$10+SQRT(T533*($G$10-$E$10)*($F$10-$E$10)),$G$10-SQRT((1-T533)*($G$10-$E$10)*($G$10-$F$10))))</f>
        <v>1.14519898828584</v>
      </c>
      <c r="G533" s="52" t="n">
        <f aca="false">IF($G$11=$E$11,$F$11,IF(U533&lt;($F$11-$E$11)/($G$11-$E$11),$E$11+SQRT(U533*($G$11-$E$11)*($F$11-$E$11)),$G$11-SQRT((1-U533)*($G$11-$E$11)*($G$11-$F$11))))</f>
        <v>0.112834467199375</v>
      </c>
      <c r="H533" s="53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-2290397976.57169</v>
      </c>
      <c r="I533" s="53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-50939541.5833662</v>
      </c>
      <c r="J533" s="53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203196428.611485</v>
      </c>
      <c r="K533" s="53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514592348.220628</v>
      </c>
      <c r="L533" s="53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631122736.623209</v>
      </c>
      <c r="M533" s="53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806123927.480179</v>
      </c>
      <c r="N533" s="53" t="n">
        <f aca="false">IF(COUNT('Business Case'!B11:G11)=0,"",H533+NPV(G533,I533:M533))</f>
        <v>-914840837.843504</v>
      </c>
      <c r="P533" s="54" t="n">
        <f aca="true">RAND()</f>
        <v>0.356363978716112</v>
      </c>
      <c r="Q533" s="54" t="n">
        <f aca="true">RAND()</f>
        <v>0.448666290026045</v>
      </c>
      <c r="R533" s="54" t="n">
        <f aca="true">RAND()</f>
        <v>0.694143313234616</v>
      </c>
      <c r="S533" s="54" t="n">
        <f aca="true">RAND()</f>
        <v>0.434811261265709</v>
      </c>
      <c r="T533" s="54" t="n">
        <f aca="true">RAND()</f>
        <v>0.853556639249191</v>
      </c>
      <c r="U533" s="54" t="n">
        <f aca="true">RAND()</f>
        <v>0.803562989113786</v>
      </c>
    </row>
    <row r="534" customFormat="false" ht="15" hidden="false" customHeight="false" outlineLevel="0" collapsed="false">
      <c r="A534" s="50" t="n">
        <v>454</v>
      </c>
      <c r="B534" s="51" t="n">
        <f aca="false">1+IF($G$6=$E$6,$F$6,IF(P534&lt;($F$6-$E$6)/($G$6-$E$6),$E$6+SQRT(P534*($G$6-$E$6)*($F$6-$E$6)),$G$6-SQRT((1-P534)*($G$6-$E$6)*($G$6-$F$6))))</f>
        <v>0.993750871651736</v>
      </c>
      <c r="C534" s="51" t="n">
        <f aca="false">1+IF($G$7=$E$7,$F$7,IF(Q534&lt;($F$7-$E$7)/($G$7-$E$7),$E$7+SQRT(Q534*($G$7-$E$7)*($F$7-$E$7)),$G$7-SQRT((1-Q534)*($G$7-$E$7)*($G$7-$F$7))))</f>
        <v>1.02969730257047</v>
      </c>
      <c r="D534" s="51" t="n">
        <f aca="false">1+IF($G$8=$E$8,$F$8,IF(R534&lt;($F$8-$E$8)/($G$8-$E$8),$E$8+SQRT(R534*($G$8-$E$8)*($F$8-$E$8)),$G$8-SQRT((1-R534)*($G$8-$E$8)*($G$8-$F$8))))</f>
        <v>1.06613515436371</v>
      </c>
      <c r="E534" s="51" t="n">
        <f aca="false">1+IF($G$9=$E$9,$F$9,IF(S534&lt;($F$9-$E$9)/($G$9-$E$9),$E$9+SQRT(S534*($G$9-$E$9)*($F$9-$E$9)),$G$9-SQRT((1-S534)*($G$9-$E$9)*($G$9-$F$9))))</f>
        <v>1.04094672445438</v>
      </c>
      <c r="F534" s="51" t="n">
        <f aca="false">1+IF($G$10=$E$10,$F$10,IF(T534&lt;($F$10-$E$10)/($G$10-$E$10),$E$10+SQRT(T534*($G$10-$E$10)*($F$10-$E$10)),$G$10-SQRT((1-T534)*($G$10-$E$10)*($G$10-$F$10))))</f>
        <v>1.05114336872389</v>
      </c>
      <c r="G534" s="52" t="n">
        <f aca="false">IF($G$11=$E$11,$F$11,IF(U534&lt;($F$11-$E$11)/($G$11-$E$11),$E$11+SQRT(U534*($G$11-$E$11)*($F$11-$E$11)),$G$11-SQRT((1-U534)*($G$11-$E$11)*($G$11-$F$11))))</f>
        <v>0.101629252952626</v>
      </c>
      <c r="H534" s="53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-2102286737.44778</v>
      </c>
      <c r="I534" s="53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-30041136.6338999</v>
      </c>
      <c r="J534" s="53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246100620.589564</v>
      </c>
      <c r="K534" s="53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574799546.249222</v>
      </c>
      <c r="L534" s="53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702210753.835418</v>
      </c>
      <c r="M534" s="53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896712507.316477</v>
      </c>
      <c r="N534" s="53" t="n">
        <f aca="false">IF(COUNT('Business Case'!B11:G11)=0,"",H534+NPV(G534,I534:M534))</f>
        <v>-467355398.469381</v>
      </c>
      <c r="P534" s="54" t="n">
        <f aca="true">RAND()</f>
        <v>0.585948395697357</v>
      </c>
      <c r="Q534" s="54" t="n">
        <f aca="true">RAND()</f>
        <v>0.785589051721186</v>
      </c>
      <c r="R534" s="54" t="n">
        <f aca="true">RAND()</f>
        <v>0.923544815335331</v>
      </c>
      <c r="S534" s="54" t="n">
        <f aca="true">RAND()</f>
        <v>0.682863549140577</v>
      </c>
      <c r="T534" s="54" t="n">
        <f aca="true">RAND()</f>
        <v>0.472747202633561</v>
      </c>
      <c r="U534" s="54" t="n">
        <f aca="true">RAND()</f>
        <v>0.463400474649274</v>
      </c>
    </row>
    <row r="535" customFormat="false" ht="15" hidden="false" customHeight="false" outlineLevel="0" collapsed="false">
      <c r="A535" s="50" t="n">
        <v>455</v>
      </c>
      <c r="B535" s="51" t="n">
        <f aca="false">1+IF($G$6=$E$6,$F$6,IF(P535&lt;($F$6-$E$6)/($G$6-$E$6),$E$6+SQRT(P535*($G$6-$E$6)*($F$6-$E$6)),$G$6-SQRT((1-P535)*($G$6-$E$6)*($G$6-$F$6))))</f>
        <v>0.949609715948301</v>
      </c>
      <c r="C535" s="51" t="n">
        <f aca="false">1+IF($G$7=$E$7,$F$7,IF(Q535&lt;($F$7-$E$7)/($G$7-$E$7),$E$7+SQRT(Q535*($G$7-$E$7)*($F$7-$E$7)),$G$7-SQRT((1-Q535)*($G$7-$E$7)*($G$7-$F$7))))</f>
        <v>0.815485425270015</v>
      </c>
      <c r="D535" s="51" t="n">
        <f aca="false">1+IF($G$8=$E$8,$F$8,IF(R535&lt;($F$8-$E$8)/($G$8-$E$8),$E$8+SQRT(R535*($G$8-$E$8)*($F$8-$E$8)),$G$8-SQRT((1-R535)*($G$8-$E$8)*($G$8-$F$8))))</f>
        <v>0.977082343847178</v>
      </c>
      <c r="E535" s="51" t="n">
        <f aca="false">1+IF($G$9=$E$9,$F$9,IF(S535&lt;($F$9-$E$9)/($G$9-$E$9),$E$9+SQRT(S535*($G$9-$E$9)*($F$9-$E$9)),$G$9-SQRT((1-S535)*($G$9-$E$9)*($G$9-$F$9))))</f>
        <v>0.971803505352129</v>
      </c>
      <c r="F535" s="51" t="n">
        <f aca="false">1+IF($G$10=$E$10,$F$10,IF(T535&lt;($F$10-$E$10)/($G$10-$E$10),$E$10+SQRT(T535*($G$10-$E$10)*($F$10-$E$10)),$G$10-SQRT((1-T535)*($G$10-$E$10)*($G$10-$F$10))))</f>
        <v>1.05924156824868</v>
      </c>
      <c r="G535" s="52" t="n">
        <f aca="false">IF($G$11=$E$11,$F$11,IF(U535&lt;($F$11-$E$11)/($G$11-$E$11),$E$11+SQRT(U535*($G$11-$E$11)*($F$11-$E$11)),$G$11-SQRT((1-U535)*($G$11-$E$11)*($G$11-$F$11))))</f>
        <v>0.0987440955764315</v>
      </c>
      <c r="H535" s="53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-2118483136.49736</v>
      </c>
      <c r="I535" s="53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-57871633.4007494</v>
      </c>
      <c r="J535" s="53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168515875.541787</v>
      </c>
      <c r="K535" s="53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447865462.896758</v>
      </c>
      <c r="L535" s="53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550090983.915834</v>
      </c>
      <c r="M535" s="53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697287583.126099</v>
      </c>
      <c r="N535" s="53" t="n">
        <f aca="false">IF(COUNT('Business Case'!B11:G11)=0,"",H535+NPV(G535,I535:M535))</f>
        <v>-881041666.633022</v>
      </c>
      <c r="P535" s="54" t="n">
        <f aca="true">RAND()</f>
        <v>0.164074927764743</v>
      </c>
      <c r="Q535" s="54" t="n">
        <f aca="true">RAND()</f>
        <v>0.0987917292577501</v>
      </c>
      <c r="R535" s="54" t="n">
        <f aca="true">RAND()</f>
        <v>0.0977937797675684</v>
      </c>
      <c r="S535" s="54" t="n">
        <f aca="true">RAND()</f>
        <v>0.206229735234131</v>
      </c>
      <c r="T535" s="54" t="n">
        <f aca="true">RAND()</f>
        <v>0.514816276210366</v>
      </c>
      <c r="U535" s="54" t="n">
        <f aca="true">RAND()</f>
        <v>0.351341118978399</v>
      </c>
    </row>
    <row r="536" customFormat="false" ht="15" hidden="false" customHeight="false" outlineLevel="0" collapsed="false">
      <c r="A536" s="50" t="n">
        <v>456</v>
      </c>
      <c r="B536" s="51" t="n">
        <f aca="false">1+IF($G$6=$E$6,$F$6,IF(P536&lt;($F$6-$E$6)/($G$6-$E$6),$E$6+SQRT(P536*($G$6-$E$6)*($F$6-$E$6)),$G$6-SQRT((1-P536)*($G$6-$E$6)*($G$6-$F$6))))</f>
        <v>1.01254166049724</v>
      </c>
      <c r="C536" s="51" t="n">
        <f aca="false">1+IF($G$7=$E$7,$F$7,IF(Q536&lt;($F$7-$E$7)/($G$7-$E$7),$E$7+SQRT(Q536*($G$7-$E$7)*($F$7-$E$7)),$G$7-SQRT((1-Q536)*($G$7-$E$7)*($G$7-$F$7))))</f>
        <v>1.0367947392712</v>
      </c>
      <c r="D536" s="51" t="n">
        <f aca="false">1+IF($G$8=$E$8,$F$8,IF(R536&lt;($F$8-$E$8)/($G$8-$E$8),$E$8+SQRT(R536*($G$8-$E$8)*($F$8-$E$8)),$G$8-SQRT((1-R536)*($G$8-$E$8)*($G$8-$F$8))))</f>
        <v>0.998395618783335</v>
      </c>
      <c r="E536" s="51" t="n">
        <f aca="false">1+IF($G$9=$E$9,$F$9,IF(S536&lt;($F$9-$E$9)/($G$9-$E$9),$E$9+SQRT(S536*($G$9-$E$9)*($F$9-$E$9)),$G$9-SQRT((1-S536)*($G$9-$E$9)*($G$9-$F$9))))</f>
        <v>0.955482160450097</v>
      </c>
      <c r="F536" s="51" t="n">
        <f aca="false">1+IF($G$10=$E$10,$F$10,IF(T536&lt;($F$10-$E$10)/($G$10-$E$10),$E$10+SQRT(T536*($G$10-$E$10)*($F$10-$E$10)),$G$10-SQRT((1-T536)*($G$10-$E$10)*($G$10-$F$10))))</f>
        <v>0.980072842637261</v>
      </c>
      <c r="G536" s="52" t="n">
        <f aca="false">IF($G$11=$E$11,$F$11,IF(U536&lt;($F$11-$E$11)/($G$11-$E$11),$E$11+SQRT(U536*($G$11-$E$11)*($F$11-$E$11)),$G$11-SQRT((1-U536)*($G$11-$E$11)*($G$11-$F$11))))</f>
        <v>0.0929320662708922</v>
      </c>
      <c r="H536" s="53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-1960145685.27452</v>
      </c>
      <c r="I536" s="53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41657241.5048227</v>
      </c>
      <c r="J536" s="53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371612851.909288</v>
      </c>
      <c r="K536" s="53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750572104.445616</v>
      </c>
      <c r="L536" s="53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896838322.193713</v>
      </c>
      <c r="M536" s="53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1096383900.73339</v>
      </c>
      <c r="N536" s="53" t="n">
        <f aca="false">IF(COUNT('Business Case'!B11:G11)=0,"",H536+NPV(G536,I536:M536))</f>
        <v>295619400.579065</v>
      </c>
      <c r="P536" s="54" t="n">
        <f aca="true">RAND()</f>
        <v>0.812916373559493</v>
      </c>
      <c r="Q536" s="54" t="n">
        <f aca="true">RAND()</f>
        <v>0.810141762123335</v>
      </c>
      <c r="R536" s="54" t="n">
        <f aca="true">RAND()</f>
        <v>0.312284788989586</v>
      </c>
      <c r="S536" s="54" t="n">
        <f aca="true">RAND()</f>
        <v>0.123130805128413</v>
      </c>
      <c r="T536" s="54" t="n">
        <f aca="true">RAND()</f>
        <v>0.0602917242856964</v>
      </c>
      <c r="U536" s="54" t="n">
        <f aca="true">RAND()</f>
        <v>0.167238338034747</v>
      </c>
    </row>
    <row r="537" customFormat="false" ht="15" hidden="false" customHeight="false" outlineLevel="0" collapsed="false">
      <c r="A537" s="50" t="n">
        <v>457</v>
      </c>
      <c r="B537" s="51" t="n">
        <f aca="false">1+IF($G$6=$E$6,$F$6,IF(P537&lt;($F$6-$E$6)/($G$6-$E$6),$E$6+SQRT(P537*($G$6-$E$6)*($F$6-$E$6)),$G$6-SQRT((1-P537)*($G$6-$E$6)*($G$6-$F$6))))</f>
        <v>1.01263233818582</v>
      </c>
      <c r="C537" s="51" t="n">
        <f aca="false">1+IF($G$7=$E$7,$F$7,IF(Q537&lt;($F$7-$E$7)/($G$7-$E$7),$E$7+SQRT(Q537*($G$7-$E$7)*($F$7-$E$7)),$G$7-SQRT((1-Q537)*($G$7-$E$7)*($G$7-$F$7))))</f>
        <v>0.891396108454152</v>
      </c>
      <c r="D537" s="51" t="n">
        <f aca="false">1+IF($G$8=$E$8,$F$8,IF(R537&lt;($F$8-$E$8)/($G$8-$E$8),$E$8+SQRT(R537*($G$8-$E$8)*($F$8-$E$8)),$G$8-SQRT((1-R537)*($G$8-$E$8)*($G$8-$F$8))))</f>
        <v>0.994354706909934</v>
      </c>
      <c r="E537" s="51" t="n">
        <f aca="false">1+IF($G$9=$E$9,$F$9,IF(S537&lt;($F$9-$E$9)/($G$9-$E$9),$E$9+SQRT(S537*($G$9-$E$9)*($F$9-$E$9)),$G$9-SQRT((1-S537)*($G$9-$E$9)*($G$9-$F$9))))</f>
        <v>1.07588556766834</v>
      </c>
      <c r="F537" s="51" t="n">
        <f aca="false">1+IF($G$10=$E$10,$F$10,IF(T537&lt;($F$10-$E$10)/($G$10-$E$10),$E$10+SQRT(T537*($G$10-$E$10)*($F$10-$E$10)),$G$10-SQRT((1-T537)*($G$10-$E$10)*($G$10-$F$10))))</f>
        <v>1.18795617678365</v>
      </c>
      <c r="G537" s="52" t="n">
        <f aca="false">IF($G$11=$E$11,$F$11,IF(U537&lt;($F$11-$E$11)/($G$11-$E$11),$E$11+SQRT(U537*($G$11-$E$11)*($F$11-$E$11)),$G$11-SQRT((1-U537)*($G$11-$E$11)*($G$11-$F$11))))</f>
        <v>0.0932149036835814</v>
      </c>
      <c r="H537" s="53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-2375912353.56729</v>
      </c>
      <c r="I537" s="53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-32986989.9491582</v>
      </c>
      <c r="J537" s="53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252606279.787188</v>
      </c>
      <c r="K537" s="53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597597358.362717</v>
      </c>
      <c r="L537" s="53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723990924.464634</v>
      </c>
      <c r="M537" s="53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895567876.841875</v>
      </c>
      <c r="N537" s="53" t="n">
        <f aca="false">IF(COUNT('Business Case'!B11:G11)=0,"",H537+NPV(G537,I537:M537))</f>
        <v>-656889894.896931</v>
      </c>
      <c r="P537" s="54" t="n">
        <f aca="true">RAND()</f>
        <v>0.81382104673883</v>
      </c>
      <c r="Q537" s="54" t="n">
        <f aca="true">RAND()</f>
        <v>0.271351632084397</v>
      </c>
      <c r="R537" s="54" t="n">
        <f aca="true">RAND()</f>
        <v>0.26231200334215</v>
      </c>
      <c r="S537" s="54" t="n">
        <f aca="true">RAND()</f>
        <v>0.853521357870807</v>
      </c>
      <c r="T537" s="54" t="n">
        <f aca="true">RAND()</f>
        <v>0.94867418667597</v>
      </c>
      <c r="U537" s="54" t="n">
        <f aca="true">RAND()</f>
        <v>0.174633679366333</v>
      </c>
    </row>
    <row r="538" customFormat="false" ht="15" hidden="false" customHeight="false" outlineLevel="0" collapsed="false">
      <c r="A538" s="50" t="n">
        <v>458</v>
      </c>
      <c r="B538" s="51" t="n">
        <f aca="false">1+IF($G$6=$E$6,$F$6,IF(P538&lt;($F$6-$E$6)/($G$6-$E$6),$E$6+SQRT(P538*($G$6-$E$6)*($F$6-$E$6)),$G$6-SQRT((1-P538)*($G$6-$E$6)*($G$6-$F$6))))</f>
        <v>0.942093309426943</v>
      </c>
      <c r="C538" s="51" t="n">
        <f aca="false">1+IF($G$7=$E$7,$F$7,IF(Q538&lt;($F$7-$E$7)/($G$7-$E$7),$E$7+SQRT(Q538*($G$7-$E$7)*($F$7-$E$7)),$G$7-SQRT((1-Q538)*($G$7-$E$7)*($G$7-$F$7))))</f>
        <v>0.913548265737033</v>
      </c>
      <c r="D538" s="51" t="n">
        <f aca="false">1+IF($G$8=$E$8,$F$8,IF(R538&lt;($F$8-$E$8)/($G$8-$E$8),$E$8+SQRT(R538*($G$8-$E$8)*($F$8-$E$8)),$G$8-SQRT((1-R538)*($G$8-$E$8)*($G$8-$F$8))))</f>
        <v>0.965707750126147</v>
      </c>
      <c r="E538" s="51" t="n">
        <f aca="false">1+IF($G$9=$E$9,$F$9,IF(S538&lt;($F$9-$E$9)/($G$9-$E$9),$E$9+SQRT(S538*($G$9-$E$9)*($F$9-$E$9)),$G$9-SQRT((1-S538)*($G$9-$E$9)*($G$9-$F$9))))</f>
        <v>1.04127306717811</v>
      </c>
      <c r="F538" s="51" t="n">
        <f aca="false">1+IF($G$10=$E$10,$F$10,IF(T538&lt;($F$10-$E$10)/($G$10-$E$10),$E$10+SQRT(T538*($G$10-$E$10)*($F$10-$E$10)),$G$10-SQRT((1-T538)*($G$10-$E$10)*($G$10-$F$10))))</f>
        <v>1.0781891794859</v>
      </c>
      <c r="G538" s="52" t="n">
        <f aca="false">IF($G$11=$E$11,$F$11,IF(U538&lt;($F$11-$E$11)/($G$11-$E$11),$E$11+SQRT(U538*($G$11-$E$11)*($F$11-$E$11)),$G$11-SQRT((1-U538)*($G$11-$E$11)*($G$11-$F$11))))</f>
        <v>0.108845582845835</v>
      </c>
      <c r="H538" s="53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-2156378358.9718</v>
      </c>
      <c r="I538" s="53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-47197875.239015</v>
      </c>
      <c r="J538" s="53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206108174.8573</v>
      </c>
      <c r="K538" s="53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513323683.92791</v>
      </c>
      <c r="L538" s="53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627503018.78269</v>
      </c>
      <c r="M538" s="53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791094935.307404</v>
      </c>
      <c r="N538" s="53" t="n">
        <f aca="false">IF(COUNT('Business Case'!B11:G11)=0,"",H538+NPV(G538,I538:M538))</f>
        <v>-767796327.533573</v>
      </c>
      <c r="P538" s="54" t="n">
        <f aca="true">RAND()</f>
        <v>0.11812311323416</v>
      </c>
      <c r="Q538" s="54" t="n">
        <f aca="true">RAND()</f>
        <v>0.337798976291069</v>
      </c>
      <c r="R538" s="54" t="n">
        <f aca="true">RAND()</f>
        <v>0.0328977885367281</v>
      </c>
      <c r="S538" s="54" t="n">
        <f aca="true">RAND()</f>
        <v>0.684758775443845</v>
      </c>
      <c r="T538" s="54" t="n">
        <f aca="true">RAND()</f>
        <v>0.606413892723624</v>
      </c>
      <c r="U538" s="54" t="n">
        <f aca="true">RAND()</f>
        <v>0.701660423245039</v>
      </c>
    </row>
    <row r="539" customFormat="false" ht="15" hidden="false" customHeight="false" outlineLevel="0" collapsed="false">
      <c r="A539" s="50" t="n">
        <v>459</v>
      </c>
      <c r="B539" s="51" t="n">
        <f aca="false">1+IF($G$6=$E$6,$F$6,IF(P539&lt;($F$6-$E$6)/($G$6-$E$6),$E$6+SQRT(P539*($G$6-$E$6)*($F$6-$E$6)),$G$6-SQRT((1-P539)*($G$6-$E$6)*($G$6-$F$6))))</f>
        <v>1.00860653375044</v>
      </c>
      <c r="C539" s="51" t="n">
        <f aca="false">1+IF($G$7=$E$7,$F$7,IF(Q539&lt;($F$7-$E$7)/($G$7-$E$7),$E$7+SQRT(Q539*($G$7-$E$7)*($F$7-$E$7)),$G$7-SQRT((1-Q539)*($G$7-$E$7)*($G$7-$F$7))))</f>
        <v>0.95428204384667</v>
      </c>
      <c r="D539" s="51" t="n">
        <f aca="false">1+IF($G$8=$E$8,$F$8,IF(R539&lt;($F$8-$E$8)/($G$8-$E$8),$E$8+SQRT(R539*($G$8-$E$8)*($F$8-$E$8)),$G$8-SQRT((1-R539)*($G$8-$E$8)*($G$8-$F$8))))</f>
        <v>1.06653380963959</v>
      </c>
      <c r="E539" s="51" t="n">
        <f aca="false">1+IF($G$9=$E$9,$F$9,IF(S539&lt;($F$9-$E$9)/($G$9-$E$9),$E$9+SQRT(S539*($G$9-$E$9)*($F$9-$E$9)),$G$9-SQRT((1-S539)*($G$9-$E$9)*($G$9-$F$9))))</f>
        <v>1.10933442887112</v>
      </c>
      <c r="F539" s="51" t="n">
        <f aca="false">1+IF($G$10=$E$10,$F$10,IF(T539&lt;($F$10-$E$10)/($G$10-$E$10),$E$10+SQRT(T539*($G$10-$E$10)*($F$10-$E$10)),$G$10-SQRT((1-T539)*($G$10-$E$10)*($G$10-$F$10))))</f>
        <v>0.977420139471826</v>
      </c>
      <c r="G539" s="52" t="n">
        <f aca="false">IF($G$11=$E$11,$F$11,IF(U539&lt;($F$11-$E$11)/($G$11-$E$11),$E$11+SQRT(U539*($G$11-$E$11)*($F$11-$E$11)),$G$11-SQRT((1-U539)*($G$11-$E$11)*($G$11-$F$11))))</f>
        <v>0.113231043830864</v>
      </c>
      <c r="H539" s="53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-1954840278.94365</v>
      </c>
      <c r="I539" s="53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-38051224.4306263</v>
      </c>
      <c r="J539" s="53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229282667.086841</v>
      </c>
      <c r="K539" s="53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545487565.5779</v>
      </c>
      <c r="L539" s="53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667862693.560681</v>
      </c>
      <c r="M539" s="53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850813763.017288</v>
      </c>
      <c r="N539" s="53" t="n">
        <f aca="false">IF(COUNT('Business Case'!B11:G11)=0,"",H539+NPV(G539,I539:M539))</f>
        <v>-476127808.057573</v>
      </c>
      <c r="P539" s="54" t="n">
        <f aca="true">RAND()</f>
        <v>0.771544126912843</v>
      </c>
      <c r="Q539" s="54" t="n">
        <f aca="true">RAND()</f>
        <v>0.478958206095111</v>
      </c>
      <c r="R539" s="54" t="n">
        <f aca="true">RAND()</f>
        <v>0.925334273517371</v>
      </c>
      <c r="S539" s="54" t="n">
        <f aca="true">RAND()</f>
        <v>0.955901635326977</v>
      </c>
      <c r="T539" s="54" t="n">
        <f aca="true">RAND()</f>
        <v>0.0501242699102939</v>
      </c>
      <c r="U539" s="54" t="n">
        <f aca="true">RAND()</f>
        <v>0.812534739331739</v>
      </c>
    </row>
    <row r="540" customFormat="false" ht="15" hidden="false" customHeight="false" outlineLevel="0" collapsed="false">
      <c r="A540" s="50" t="n">
        <v>460</v>
      </c>
      <c r="B540" s="51" t="n">
        <f aca="false">1+IF($G$6=$E$6,$F$6,IF(P540&lt;($F$6-$E$6)/($G$6-$E$6),$E$6+SQRT(P540*($G$6-$E$6)*($F$6-$E$6)),$G$6-SQRT((1-P540)*($G$6-$E$6)*($G$6-$F$6))))</f>
        <v>0.988734622876085</v>
      </c>
      <c r="C540" s="51" t="n">
        <f aca="false">1+IF($G$7=$E$7,$F$7,IF(Q540&lt;($F$7-$E$7)/($G$7-$E$7),$E$7+SQRT(Q540*($G$7-$E$7)*($F$7-$E$7)),$G$7-SQRT((1-Q540)*($G$7-$E$7)*($G$7-$F$7))))</f>
        <v>1.00663277659739</v>
      </c>
      <c r="D540" s="51" t="n">
        <f aca="false">1+IF($G$8=$E$8,$F$8,IF(R540&lt;($F$8-$E$8)/($G$8-$E$8),$E$8+SQRT(R540*($G$8-$E$8)*($F$8-$E$8)),$G$8-SQRT((1-R540)*($G$8-$E$8)*($G$8-$F$8))))</f>
        <v>0.993354358569958</v>
      </c>
      <c r="E540" s="51" t="n">
        <f aca="false">1+IF($G$9=$E$9,$F$9,IF(S540&lt;($F$9-$E$9)/($G$9-$E$9),$E$9+SQRT(S540*($G$9-$E$9)*($F$9-$E$9)),$G$9-SQRT((1-S540)*($G$9-$E$9)*($G$9-$F$9))))</f>
        <v>1.04343121246913</v>
      </c>
      <c r="F540" s="51" t="n">
        <f aca="false">1+IF($G$10=$E$10,$F$10,IF(T540&lt;($F$10-$E$10)/($G$10-$E$10),$E$10+SQRT(T540*($G$10-$E$10)*($F$10-$E$10)),$G$10-SQRT((1-T540)*($G$10-$E$10)*($G$10-$F$10))))</f>
        <v>0.999881874516745</v>
      </c>
      <c r="G540" s="52" t="n">
        <f aca="false">IF($G$11=$E$11,$F$11,IF(U540&lt;($F$11-$E$11)/($G$11-$E$11),$E$11+SQRT(U540*($G$11-$E$11)*($F$11-$E$11)),$G$11-SQRT((1-U540)*($G$11-$E$11)*($G$11-$F$11))))</f>
        <v>0.10338851339737</v>
      </c>
      <c r="H540" s="53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-1999763749.03349</v>
      </c>
      <c r="I540" s="53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3365437.34806292</v>
      </c>
      <c r="J540" s="53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306690953.026985</v>
      </c>
      <c r="K540" s="53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660010562.431745</v>
      </c>
      <c r="L540" s="53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795516382.635435</v>
      </c>
      <c r="M540" s="53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984701615.011042</v>
      </c>
      <c r="N540" s="53" t="n">
        <f aca="false">IF(COUNT('Business Case'!B11:G11)=0,"",H540+NPV(G540,I540:M540))</f>
        <v>-114687359.182534</v>
      </c>
      <c r="P540" s="54" t="n">
        <f aca="true">RAND()</f>
        <v>0.524922219797395</v>
      </c>
      <c r="Q540" s="54" t="n">
        <f aca="true">RAND()</f>
        <v>0.695493914871481</v>
      </c>
      <c r="R540" s="54" t="n">
        <f aca="true">RAND()</f>
        <v>0.250613387601668</v>
      </c>
      <c r="S540" s="54" t="n">
        <f aca="true">RAND()</f>
        <v>0.697149160645336</v>
      </c>
      <c r="T540" s="54" t="n">
        <f aca="true">RAND()</f>
        <v>0.165880093686954</v>
      </c>
      <c r="U540" s="54" t="n">
        <f aca="true">RAND()</f>
        <v>0.527885853865351</v>
      </c>
    </row>
    <row r="541" customFormat="false" ht="15" hidden="false" customHeight="false" outlineLevel="0" collapsed="false">
      <c r="A541" s="50" t="n">
        <v>461</v>
      </c>
      <c r="B541" s="51" t="n">
        <f aca="false">1+IF($G$6=$E$6,$F$6,IF(P541&lt;($F$6-$E$6)/($G$6-$E$6),$E$6+SQRT(P541*($G$6-$E$6)*($F$6-$E$6)),$G$6-SQRT((1-P541)*($G$6-$E$6)*($G$6-$F$6))))</f>
        <v>1.00847674811222</v>
      </c>
      <c r="C541" s="51" t="n">
        <f aca="false">1+IF($G$7=$E$7,$F$7,IF(Q541&lt;($F$7-$E$7)/($G$7-$E$7),$E$7+SQRT(Q541*($G$7-$E$7)*($F$7-$E$7)),$G$7-SQRT((1-Q541)*($G$7-$E$7)*($G$7-$F$7))))</f>
        <v>1.08354166985857</v>
      </c>
      <c r="D541" s="51" t="n">
        <f aca="false">1+IF($G$8=$E$8,$F$8,IF(R541&lt;($F$8-$E$8)/($G$8-$E$8),$E$8+SQRT(R541*($G$8-$E$8)*($F$8-$E$8)),$G$8-SQRT((1-R541)*($G$8-$E$8)*($G$8-$F$8))))</f>
        <v>1.03812019197315</v>
      </c>
      <c r="E541" s="51" t="n">
        <f aca="false">1+IF($G$9=$E$9,$F$9,IF(S541&lt;($F$9-$E$9)/($G$9-$E$9),$E$9+SQRT(S541*($G$9-$E$9)*($F$9-$E$9)),$G$9-SQRT((1-S541)*($G$9-$E$9)*($G$9-$F$9))))</f>
        <v>1.04033433934014</v>
      </c>
      <c r="F541" s="51" t="n">
        <f aca="false">1+IF($G$10=$E$10,$F$10,IF(T541&lt;($F$10-$E$10)/($G$10-$E$10),$E$10+SQRT(T541*($G$10-$E$10)*($F$10-$E$10)),$G$10-SQRT((1-T541)*($G$10-$E$10)*($G$10-$F$10))))</f>
        <v>0.978642621572364</v>
      </c>
      <c r="G541" s="52" t="n">
        <f aca="false">IF($G$11=$E$11,$F$11,IF(U541&lt;($F$11-$E$11)/($G$11-$E$11),$E$11+SQRT(U541*($G$11-$E$11)*($F$11-$E$11)),$G$11-SQRT((1-U541)*($G$11-$E$11)*($G$11-$F$11))))</f>
        <v>0.099112651046631</v>
      </c>
      <c r="H541" s="53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-1957285243.14473</v>
      </c>
      <c r="I541" s="53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16743580.6774074</v>
      </c>
      <c r="J541" s="53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335933912.455951</v>
      </c>
      <c r="K541" s="53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704056375.313114</v>
      </c>
      <c r="L541" s="53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848217783.165783</v>
      </c>
      <c r="M541" s="53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1055923251.42814</v>
      </c>
      <c r="N541" s="53" t="n">
        <f aca="false">IF(COUNT('Business Case'!B11:G11)=0,"",H541+NPV(G541,I541:M541))</f>
        <v>105791921.152809</v>
      </c>
      <c r="P541" s="54" t="n">
        <f aca="true">RAND()</f>
        <v>0.770109273688483</v>
      </c>
      <c r="Q541" s="54" t="n">
        <f aca="true">RAND()</f>
        <v>0.934567264515748</v>
      </c>
      <c r="R541" s="54" t="n">
        <f aca="true">RAND()</f>
        <v>0.744725957237347</v>
      </c>
      <c r="S541" s="54" t="n">
        <f aca="true">RAND()</f>
        <v>0.679291809920948</v>
      </c>
      <c r="T541" s="54" t="n">
        <f aca="true">RAND()</f>
        <v>0.0546933180358443</v>
      </c>
      <c r="U541" s="54" t="n">
        <f aca="true">RAND()</f>
        <v>0.365293430030285</v>
      </c>
    </row>
    <row r="542" customFormat="false" ht="15" hidden="false" customHeight="false" outlineLevel="0" collapsed="false">
      <c r="A542" s="50" t="n">
        <v>462</v>
      </c>
      <c r="B542" s="51" t="n">
        <f aca="false">1+IF($G$6=$E$6,$F$6,IF(P542&lt;($F$6-$E$6)/($G$6-$E$6),$E$6+SQRT(P542*($G$6-$E$6)*($F$6-$E$6)),$G$6-SQRT((1-P542)*($G$6-$E$6)*($G$6-$F$6))))</f>
        <v>0.996821257461926</v>
      </c>
      <c r="C542" s="51" t="n">
        <f aca="false">1+IF($G$7=$E$7,$F$7,IF(Q542&lt;($F$7-$E$7)/($G$7-$E$7),$E$7+SQRT(Q542*($G$7-$E$7)*($F$7-$E$7)),$G$7-SQRT((1-Q542)*($G$7-$E$7)*($G$7-$F$7))))</f>
        <v>1.01318187867771</v>
      </c>
      <c r="D542" s="51" t="n">
        <f aca="false">1+IF($G$8=$E$8,$F$8,IF(R542&lt;($F$8-$E$8)/($G$8-$E$8),$E$8+SQRT(R542*($G$8-$E$8)*($F$8-$E$8)),$G$8-SQRT((1-R542)*($G$8-$E$8)*($G$8-$F$8))))</f>
        <v>1.04390360295695</v>
      </c>
      <c r="E542" s="51" t="n">
        <f aca="false">1+IF($G$9=$E$9,$F$9,IF(S542&lt;($F$9-$E$9)/($G$9-$E$9),$E$9+SQRT(S542*($G$9-$E$9)*($F$9-$E$9)),$G$9-SQRT((1-S542)*($G$9-$E$9)*($G$9-$F$9))))</f>
        <v>1.05364582437012</v>
      </c>
      <c r="F542" s="51" t="n">
        <f aca="false">1+IF($G$10=$E$10,$F$10,IF(T542&lt;($F$10-$E$10)/($G$10-$E$10),$E$10+SQRT(T542*($G$10-$E$10)*($F$10-$E$10)),$G$10-SQRT((1-T542)*($G$10-$E$10)*($G$10-$F$10))))</f>
        <v>1.17924746828034</v>
      </c>
      <c r="G542" s="52" t="n">
        <f aca="false">IF($G$11=$E$11,$F$11,IF(U542&lt;($F$11-$E$11)/($G$11-$E$11),$E$11+SQRT(U542*($G$11-$E$11)*($F$11-$E$11)),$G$11-SQRT((1-U542)*($G$11-$E$11)*($G$11-$F$11))))</f>
        <v>0.0994826597584858</v>
      </c>
      <c r="H542" s="53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-2358494936.56068</v>
      </c>
      <c r="I542" s="53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-34318069.5347497</v>
      </c>
      <c r="J542" s="53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251473434.37221</v>
      </c>
      <c r="K542" s="53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596227311.693187</v>
      </c>
      <c r="L542" s="53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726395406.58767</v>
      </c>
      <c r="M542" s="53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918368838.011236</v>
      </c>
      <c r="N542" s="53" t="n">
        <f aca="false">IF(COUNT('Business Case'!B11:G11)=0,"",H542+NPV(G542,I542:M542))</f>
        <v>-664446010.609024</v>
      </c>
      <c r="P542" s="54" t="n">
        <f aca="true">RAND()</f>
        <v>0.624957059767239</v>
      </c>
      <c r="Q542" s="54" t="n">
        <f aca="true">RAND()</f>
        <v>0.722678543375387</v>
      </c>
      <c r="R542" s="54" t="n">
        <f aca="true">RAND()</f>
        <v>0.790212949252551</v>
      </c>
      <c r="S542" s="54" t="n">
        <f aca="true">RAND()</f>
        <v>0.752423275698274</v>
      </c>
      <c r="T542" s="54" t="n">
        <f aca="true">RAND()</f>
        <v>0.933254390070112</v>
      </c>
      <c r="U542" s="54" t="n">
        <f aca="true">RAND()</f>
        <v>0.379574031264923</v>
      </c>
    </row>
    <row r="543" customFormat="false" ht="15" hidden="false" customHeight="false" outlineLevel="0" collapsed="false">
      <c r="A543" s="50" t="n">
        <v>463</v>
      </c>
      <c r="B543" s="51" t="n">
        <f aca="false">1+IF($G$6=$E$6,$F$6,IF(P543&lt;($F$6-$E$6)/($G$6-$E$6),$E$6+SQRT(P543*($G$6-$E$6)*($F$6-$E$6)),$G$6-SQRT((1-P543)*($G$6-$E$6)*($G$6-$F$6))))</f>
        <v>0.968618240680904</v>
      </c>
      <c r="C543" s="51" t="n">
        <f aca="false">1+IF($G$7=$E$7,$F$7,IF(Q543&lt;($F$7-$E$7)/($G$7-$E$7),$E$7+SQRT(Q543*($G$7-$E$7)*($F$7-$E$7)),$G$7-SQRT((1-Q543)*($G$7-$E$7)*($G$7-$F$7))))</f>
        <v>0.87716981035702</v>
      </c>
      <c r="D543" s="51" t="n">
        <f aca="false">1+IF($G$8=$E$8,$F$8,IF(R543&lt;($F$8-$E$8)/($G$8-$E$8),$E$8+SQRT(R543*($G$8-$E$8)*($F$8-$E$8)),$G$8-SQRT((1-R543)*($G$8-$E$8)*($G$8-$F$8))))</f>
        <v>1.0278093176649</v>
      </c>
      <c r="E543" s="51" t="n">
        <f aca="false">1+IF($G$9=$E$9,$F$9,IF(S543&lt;($F$9-$E$9)/($G$9-$E$9),$E$9+SQRT(S543*($G$9-$E$9)*($F$9-$E$9)),$G$9-SQRT((1-S543)*($G$9-$E$9)*($G$9-$F$9))))</f>
        <v>1.08254377809322</v>
      </c>
      <c r="F543" s="51" t="n">
        <f aca="false">1+IF($G$10=$E$10,$F$10,IF(T543&lt;($F$10-$E$10)/($G$10-$E$10),$E$10+SQRT(T543*($G$10-$E$10)*($F$10-$E$10)),$G$10-SQRT((1-T543)*($G$10-$E$10)*($G$10-$F$10))))</f>
        <v>1.15874767242688</v>
      </c>
      <c r="G543" s="52" t="n">
        <f aca="false">IF($G$11=$E$11,$F$11,IF(U543&lt;($F$11-$E$11)/($G$11-$E$11),$E$11+SQRT(U543*($G$11-$E$11)*($F$11-$E$11)),$G$11-SQRT((1-U543)*($G$11-$E$11)*($G$11-$F$11))))</f>
        <v>0.106236543810615</v>
      </c>
      <c r="H543" s="53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-2317495344.85377</v>
      </c>
      <c r="I543" s="53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-79467727.7034708</v>
      </c>
      <c r="J543" s="53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154922513.533338</v>
      </c>
      <c r="K543" s="53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447250138.391491</v>
      </c>
      <c r="L543" s="53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554743869.772252</v>
      </c>
      <c r="M543" s="53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716243950.09895</v>
      </c>
      <c r="N543" s="53" t="n">
        <f aca="false">IF(COUNT('Business Case'!B11:G11)=0,"",H543+NPV(G543,I543:M543))</f>
        <v>-1129600655.32844</v>
      </c>
      <c r="P543" s="54" t="n">
        <f aca="true">RAND()</f>
        <v>0.313897530276163</v>
      </c>
      <c r="Q543" s="54" t="n">
        <f aca="true">RAND()</f>
        <v>0.232512160755129</v>
      </c>
      <c r="R543" s="54" t="n">
        <f aca="true">RAND()</f>
        <v>0.652567025599492</v>
      </c>
      <c r="S543" s="54" t="n">
        <f aca="true">RAND()</f>
        <v>0.878657550028339</v>
      </c>
      <c r="T543" s="54" t="n">
        <f aca="true">RAND()</f>
        <v>0.888973502833183</v>
      </c>
      <c r="U543" s="54" t="n">
        <f aca="true">RAND()</f>
        <v>0.623532099956775</v>
      </c>
    </row>
    <row r="544" customFormat="false" ht="15" hidden="false" customHeight="false" outlineLevel="0" collapsed="false">
      <c r="A544" s="50" t="n">
        <v>464</v>
      </c>
      <c r="B544" s="51" t="n">
        <f aca="false">1+IF($G$6=$E$6,$F$6,IF(P544&lt;($F$6-$E$6)/($G$6-$E$6),$E$6+SQRT(P544*($G$6-$E$6)*($F$6-$E$6)),$G$6-SQRT((1-P544)*($G$6-$E$6)*($G$6-$F$6))))</f>
        <v>0.953352432654495</v>
      </c>
      <c r="C544" s="51" t="n">
        <f aca="false">1+IF($G$7=$E$7,$F$7,IF(Q544&lt;($F$7-$E$7)/($G$7-$E$7),$E$7+SQRT(Q544*($G$7-$E$7)*($F$7-$E$7)),$G$7-SQRT((1-Q544)*($G$7-$E$7)*($G$7-$F$7))))</f>
        <v>0.950705111353394</v>
      </c>
      <c r="D544" s="51" t="n">
        <f aca="false">1+IF($G$8=$E$8,$F$8,IF(R544&lt;($F$8-$E$8)/($G$8-$E$8),$E$8+SQRT(R544*($G$8-$E$8)*($F$8-$E$8)),$G$8-SQRT((1-R544)*($G$8-$E$8)*($G$8-$F$8))))</f>
        <v>1.01367644450897</v>
      </c>
      <c r="E544" s="51" t="n">
        <f aca="false">1+IF($G$9=$E$9,$F$9,IF(S544&lt;($F$9-$E$9)/($G$9-$E$9),$E$9+SQRT(S544*($G$9-$E$9)*($F$9-$E$9)),$G$9-SQRT((1-S544)*($G$9-$E$9)*($G$9-$F$9))))</f>
        <v>0.997931033695572</v>
      </c>
      <c r="F544" s="51" t="n">
        <f aca="false">1+IF($G$10=$E$10,$F$10,IF(T544&lt;($F$10-$E$10)/($G$10-$E$10),$E$10+SQRT(T544*($G$10-$E$10)*($F$10-$E$10)),$G$10-SQRT((1-T544)*($G$10-$E$10)*($G$10-$F$10))))</f>
        <v>0.983423991524944</v>
      </c>
      <c r="G544" s="52" t="n">
        <f aca="false">IF($G$11=$E$11,$F$11,IF(U544&lt;($F$11-$E$11)/($G$11-$E$11),$E$11+SQRT(U544*($G$11-$E$11)*($F$11-$E$11)),$G$11-SQRT((1-U544)*($G$11-$E$11)*($G$11-$F$11))))</f>
        <v>0.104107558650517</v>
      </c>
      <c r="H544" s="53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-1966847983.04989</v>
      </c>
      <c r="I544" s="53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-38203155.2686293</v>
      </c>
      <c r="J544" s="53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210827430.075425</v>
      </c>
      <c r="K544" s="53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509029214.995728</v>
      </c>
      <c r="L544" s="53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623363109.089532</v>
      </c>
      <c r="M544" s="53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795643453.47469</v>
      </c>
      <c r="N544" s="53" t="n">
        <f aca="false">IF(COUNT('Business Case'!B11:G11)=0,"",H544+NPV(G544,I544:M544))</f>
        <v>-545941337.368558</v>
      </c>
      <c r="P544" s="54" t="n">
        <f aca="true">RAND()</f>
        <v>0.189765471343498</v>
      </c>
      <c r="Q544" s="54" t="n">
        <f aca="true">RAND()</f>
        <v>0.465578169323834</v>
      </c>
      <c r="R544" s="54" t="n">
        <f aca="true">RAND()</f>
        <v>0.503216251159102</v>
      </c>
      <c r="S544" s="54" t="n">
        <f aca="true">RAND()</f>
        <v>0.383619494427328</v>
      </c>
      <c r="T544" s="54" t="n">
        <f aca="true">RAND()</f>
        <v>0.0744775472973027</v>
      </c>
      <c r="U544" s="54" t="n">
        <f aca="true">RAND()</f>
        <v>0.553054320642383</v>
      </c>
    </row>
    <row r="545" customFormat="false" ht="15" hidden="false" customHeight="false" outlineLevel="0" collapsed="false">
      <c r="A545" s="50" t="n">
        <v>465</v>
      </c>
      <c r="B545" s="51" t="n">
        <f aca="false">1+IF($G$6=$E$6,$F$6,IF(P545&lt;($F$6-$E$6)/($G$6-$E$6),$E$6+SQRT(P545*($G$6-$E$6)*($F$6-$E$6)),$G$6-SQRT((1-P545)*($G$6-$E$6)*($G$6-$F$6))))</f>
        <v>0.964158810918904</v>
      </c>
      <c r="C545" s="51" t="n">
        <f aca="false">1+IF($G$7=$E$7,$F$7,IF(Q545&lt;($F$7-$E$7)/($G$7-$E$7),$E$7+SQRT(Q545*($G$7-$E$7)*($F$7-$E$7)),$G$7-SQRT((1-Q545)*($G$7-$E$7)*($G$7-$F$7))))</f>
        <v>1.08260376433845</v>
      </c>
      <c r="D545" s="51" t="n">
        <f aca="false">1+IF($G$8=$E$8,$F$8,IF(R545&lt;($F$8-$E$8)/($G$8-$E$8),$E$8+SQRT(R545*($G$8-$E$8)*($F$8-$E$8)),$G$8-SQRT((1-R545)*($G$8-$E$8)*($G$8-$F$8))))</f>
        <v>1.0066677569392</v>
      </c>
      <c r="E545" s="51" t="n">
        <f aca="false">1+IF($G$9=$E$9,$F$9,IF(S545&lt;($F$9-$E$9)/($G$9-$E$9),$E$9+SQRT(S545*($G$9-$E$9)*($F$9-$E$9)),$G$9-SQRT((1-S545)*($G$9-$E$9)*($G$9-$F$9))))</f>
        <v>1.00607092664732</v>
      </c>
      <c r="F545" s="51" t="n">
        <f aca="false">1+IF($G$10=$E$10,$F$10,IF(T545&lt;($F$10-$E$10)/($G$10-$E$10),$E$10+SQRT(T545*($G$10-$E$10)*($F$10-$E$10)),$G$10-SQRT((1-T545)*($G$10-$E$10)*($G$10-$F$10))))</f>
        <v>1.04764968963727</v>
      </c>
      <c r="G545" s="52" t="n">
        <f aca="false">IF($G$11=$E$11,$F$11,IF(U545&lt;($F$11-$E$11)/($G$11-$E$11),$E$11+SQRT(U545*($G$11-$E$11)*($F$11-$E$11)),$G$11-SQRT((1-U545)*($G$11-$E$11)*($G$11-$F$11))))</f>
        <v>0.100812392531402</v>
      </c>
      <c r="H545" s="53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-2095299379.27453</v>
      </c>
      <c r="I545" s="53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-4891824.20318548</v>
      </c>
      <c r="J545" s="53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292155299.835591</v>
      </c>
      <c r="K545" s="53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641584908.356231</v>
      </c>
      <c r="L545" s="53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776674412.041815</v>
      </c>
      <c r="M545" s="53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975080288.241434</v>
      </c>
      <c r="N545" s="53" t="n">
        <f aca="false">IF(COUNT('Business Case'!B11:G11)=0,"",H545+NPV(G545,I545:M545))</f>
        <v>-245550781.734949</v>
      </c>
      <c r="P545" s="54" t="n">
        <f aca="true">RAND()</f>
        <v>0.274423534568512</v>
      </c>
      <c r="Q545" s="54" t="n">
        <f aca="true">RAND()</f>
        <v>0.93270736916523</v>
      </c>
      <c r="R545" s="54" t="n">
        <f aca="true">RAND()</f>
        <v>0.419272827015934</v>
      </c>
      <c r="S545" s="54" t="n">
        <f aca="true">RAND()</f>
        <v>0.447584582502362</v>
      </c>
      <c r="T545" s="54" t="n">
        <f aca="true">RAND()</f>
        <v>0.454058025281403</v>
      </c>
      <c r="U545" s="54" t="n">
        <f aca="true">RAND()</f>
        <v>0.432055713506038</v>
      </c>
    </row>
    <row r="546" customFormat="false" ht="15" hidden="false" customHeight="false" outlineLevel="0" collapsed="false">
      <c r="A546" s="50" t="n">
        <v>466</v>
      </c>
      <c r="B546" s="51" t="n">
        <f aca="false">1+IF($G$6=$E$6,$F$6,IF(P546&lt;($F$6-$E$6)/($G$6-$E$6),$E$6+SQRT(P546*($G$6-$E$6)*($F$6-$E$6)),$G$6-SQRT((1-P546)*($G$6-$E$6)*($G$6-$F$6))))</f>
        <v>0.999575658538013</v>
      </c>
      <c r="C546" s="51" t="n">
        <f aca="false">1+IF($G$7=$E$7,$F$7,IF(Q546&lt;($F$7-$E$7)/($G$7-$E$7),$E$7+SQRT(Q546*($G$7-$E$7)*($F$7-$E$7)),$G$7-SQRT((1-Q546)*($G$7-$E$7)*($G$7-$F$7))))</f>
        <v>0.86645516087416</v>
      </c>
      <c r="D546" s="51" t="n">
        <f aca="false">1+IF($G$8=$E$8,$F$8,IF(R546&lt;($F$8-$E$8)/($G$8-$E$8),$E$8+SQRT(R546*($G$8-$E$8)*($F$8-$E$8)),$G$8-SQRT((1-R546)*($G$8-$E$8)*($G$8-$F$8))))</f>
        <v>0.979974276695638</v>
      </c>
      <c r="E546" s="51" t="n">
        <f aca="false">1+IF($G$9=$E$9,$F$9,IF(S546&lt;($F$9-$E$9)/($G$9-$E$9),$E$9+SQRT(S546*($G$9-$E$9)*($F$9-$E$9)),$G$9-SQRT((1-S546)*($G$9-$E$9)*($G$9-$F$9))))</f>
        <v>1.02266003478432</v>
      </c>
      <c r="F546" s="51" t="n">
        <f aca="false">1+IF($G$10=$E$10,$F$10,IF(T546&lt;($F$10-$E$10)/($G$10-$E$10),$E$10+SQRT(T546*($G$10-$E$10)*($F$10-$E$10)),$G$10-SQRT((1-T546)*($G$10-$E$10)*($G$10-$F$10))))</f>
        <v>1.13907309829035</v>
      </c>
      <c r="G546" s="52" t="n">
        <f aca="false">IF($G$11=$E$11,$F$11,IF(U546&lt;($F$11-$E$11)/($G$11-$E$11),$E$11+SQRT(U546*($G$11-$E$11)*($F$11-$E$11)),$G$11-SQRT((1-U546)*($G$11-$E$11)*($G$11-$F$11))))</f>
        <v>0.102633331354925</v>
      </c>
      <c r="H546" s="53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-2278146196.5807</v>
      </c>
      <c r="I546" s="53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-29512732.8800574</v>
      </c>
      <c r="J546" s="53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245202076.394438</v>
      </c>
      <c r="K546" s="53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576870540.583451</v>
      </c>
      <c r="L546" s="53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698374127.261075</v>
      </c>
      <c r="M546" s="53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863000036.984762</v>
      </c>
      <c r="N546" s="53" t="n">
        <f aca="false">IF(COUNT('Business Case'!B11:G11)=0,"",H546+NPV(G546,I546:M546))</f>
        <v>-670973343.173484</v>
      </c>
      <c r="P546" s="54" t="n">
        <f aca="true">RAND()</f>
        <v>0.661020784885265</v>
      </c>
      <c r="Q546" s="54" t="n">
        <f aca="true">RAND()</f>
        <v>0.205239411715871</v>
      </c>
      <c r="R546" s="54" t="n">
        <f aca="true">RAND()</f>
        <v>0.11979430179022</v>
      </c>
      <c r="S546" s="54" t="n">
        <f aca="true">RAND()</f>
        <v>0.567587553569857</v>
      </c>
      <c r="T546" s="54" t="n">
        <f aca="true">RAND()</f>
        <v>0.835936299694639</v>
      </c>
      <c r="U546" s="54" t="n">
        <f aca="true">RAND()</f>
        <v>0.500710298180455</v>
      </c>
    </row>
    <row r="547" customFormat="false" ht="15" hidden="false" customHeight="false" outlineLevel="0" collapsed="false">
      <c r="A547" s="50" t="n">
        <v>467</v>
      </c>
      <c r="B547" s="51" t="n">
        <f aca="false">1+IF($G$6=$E$6,$F$6,IF(P547&lt;($F$6-$E$6)/($G$6-$E$6),$E$6+SQRT(P547*($G$6-$E$6)*($F$6-$E$6)),$G$6-SQRT((1-P547)*($G$6-$E$6)*($G$6-$F$6))))</f>
        <v>0.936775446004542</v>
      </c>
      <c r="C547" s="51" t="n">
        <f aca="false">1+IF($G$7=$E$7,$F$7,IF(Q547&lt;($F$7-$E$7)/($G$7-$E$7),$E$7+SQRT(Q547*($G$7-$E$7)*($F$7-$E$7)),$G$7-SQRT((1-Q547)*($G$7-$E$7)*($G$7-$F$7))))</f>
        <v>0.938825003740328</v>
      </c>
      <c r="D547" s="51" t="n">
        <f aca="false">1+IF($G$8=$E$8,$F$8,IF(R547&lt;($F$8-$E$8)/($G$8-$E$8),$E$8+SQRT(R547*($G$8-$E$8)*($F$8-$E$8)),$G$8-SQRT((1-R547)*($G$8-$E$8)*($G$8-$F$8))))</f>
        <v>1.01781354137316</v>
      </c>
      <c r="E547" s="51" t="n">
        <f aca="false">1+IF($G$9=$E$9,$F$9,IF(S547&lt;($F$9-$E$9)/($G$9-$E$9),$E$9+SQRT(S547*($G$9-$E$9)*($F$9-$E$9)),$G$9-SQRT((1-S547)*($G$9-$E$9)*($G$9-$F$9))))</f>
        <v>0.964585880699891</v>
      </c>
      <c r="F547" s="51" t="n">
        <f aca="false">1+IF($G$10=$E$10,$F$10,IF(T547&lt;($F$10-$E$10)/($G$10-$E$10),$E$10+SQRT(T547*($G$10-$E$10)*($F$10-$E$10)),$G$10-SQRT((1-T547)*($G$10-$E$10)*($G$10-$F$10))))</f>
        <v>0.988852991408199</v>
      </c>
      <c r="G547" s="52" t="n">
        <f aca="false">IF($G$11=$E$11,$F$11,IF(U547&lt;($F$11-$E$11)/($G$11-$E$11),$E$11+SQRT(U547*($G$11-$E$11)*($F$11-$E$11)),$G$11-SQRT((1-U547)*($G$11-$E$11)*($G$11-$F$11))))</f>
        <v>0.106953968604177</v>
      </c>
      <c r="H547" s="53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-1977705982.8164</v>
      </c>
      <c r="I547" s="53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-50457799.0653785</v>
      </c>
      <c r="J547" s="53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180725445.334883</v>
      </c>
      <c r="K547" s="53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461351339.305554</v>
      </c>
      <c r="L547" s="53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568806842.165172</v>
      </c>
      <c r="M547" s="53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735976159.825922</v>
      </c>
      <c r="N547" s="53" t="n">
        <f aca="false">IF(COUNT('Business Case'!B11:G11)=0,"",H547+NPV(G547,I547:M547))</f>
        <v>-714030389.25593</v>
      </c>
      <c r="P547" s="54" t="n">
        <f aca="true">RAND()</f>
        <v>0.0901622285888663</v>
      </c>
      <c r="Q547" s="54" t="n">
        <f aca="true">RAND()</f>
        <v>0.422499128974575</v>
      </c>
      <c r="R547" s="54" t="n">
        <f aca="true">RAND()</f>
        <v>0.549692401225296</v>
      </c>
      <c r="S547" s="54" t="n">
        <f aca="true">RAND()</f>
        <v>0.166853439431223</v>
      </c>
      <c r="T547" s="54" t="n">
        <f aca="true">RAND()</f>
        <v>0.100636996091039</v>
      </c>
      <c r="U547" s="54" t="n">
        <f aca="true">RAND()</f>
        <v>0.645920291268493</v>
      </c>
    </row>
    <row r="548" customFormat="false" ht="15" hidden="false" customHeight="false" outlineLevel="0" collapsed="false">
      <c r="A548" s="50" t="n">
        <v>468</v>
      </c>
      <c r="B548" s="51" t="n">
        <f aca="false">1+IF($G$6=$E$6,$F$6,IF(P548&lt;($F$6-$E$6)/($G$6-$E$6),$E$6+SQRT(P548*($G$6-$E$6)*($F$6-$E$6)),$G$6-SQRT((1-P548)*($G$6-$E$6)*($G$6-$F$6))))</f>
        <v>0.980700301084374</v>
      </c>
      <c r="C548" s="51" t="n">
        <f aca="false">1+IF($G$7=$E$7,$F$7,IF(Q548&lt;($F$7-$E$7)/($G$7-$E$7),$E$7+SQRT(Q548*($G$7-$E$7)*($F$7-$E$7)),$G$7-SQRT((1-Q548)*($G$7-$E$7)*($G$7-$F$7))))</f>
        <v>1.0450781342121</v>
      </c>
      <c r="D548" s="51" t="n">
        <f aca="false">1+IF($G$8=$E$8,$F$8,IF(R548&lt;($F$8-$E$8)/($G$8-$E$8),$E$8+SQRT(R548*($G$8-$E$8)*($F$8-$E$8)),$G$8-SQRT((1-R548)*($G$8-$E$8)*($G$8-$F$8))))</f>
        <v>1.05861022766462</v>
      </c>
      <c r="E548" s="51" t="n">
        <f aca="false">1+IF($G$9=$E$9,$F$9,IF(S548&lt;($F$9-$E$9)/($G$9-$E$9),$E$9+SQRT(S548*($G$9-$E$9)*($F$9-$E$9)),$G$9-SQRT((1-S548)*($G$9-$E$9)*($G$9-$F$9))))</f>
        <v>1.11329092877861</v>
      </c>
      <c r="F548" s="51" t="n">
        <f aca="false">1+IF($G$10=$E$10,$F$10,IF(T548&lt;($F$10-$E$10)/($G$10-$E$10),$E$10+SQRT(T548*($G$10-$E$10)*($F$10-$E$10)),$G$10-SQRT((1-T548)*($G$10-$E$10)*($G$10-$F$10))))</f>
        <v>1.09131391228806</v>
      </c>
      <c r="G548" s="52" t="n">
        <f aca="false">IF($G$11=$E$11,$F$11,IF(U548&lt;($F$11-$E$11)/($G$11-$E$11),$E$11+SQRT(U548*($G$11-$E$11)*($F$11-$E$11)),$G$11-SQRT((1-U548)*($G$11-$E$11)*($G$11-$F$11))))</f>
        <v>0.0956537559771776</v>
      </c>
      <c r="H548" s="53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-2182627824.57612</v>
      </c>
      <c r="I548" s="53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-47451467.568725</v>
      </c>
      <c r="J548" s="53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225669679.738817</v>
      </c>
      <c r="K548" s="53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553356522.660762</v>
      </c>
      <c r="L548" s="53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679817740.813371</v>
      </c>
      <c r="M548" s="53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874632337.255557</v>
      </c>
      <c r="N548" s="53" t="n">
        <f aca="false">IF(COUNT('Business Case'!B11:G11)=0,"",H548+NPV(G548,I548:M548))</f>
        <v>-591566815.283076</v>
      </c>
      <c r="P548" s="54" t="n">
        <f aca="true">RAND()</f>
        <v>0.43416923967391</v>
      </c>
      <c r="Q548" s="54" t="n">
        <f aca="true">RAND()</f>
        <v>0.836909660438322</v>
      </c>
      <c r="R548" s="54" t="n">
        <f aca="true">RAND()</f>
        <v>0.885792449735048</v>
      </c>
      <c r="S548" s="54" t="n">
        <f aca="true">RAND()</f>
        <v>0.964065175735018</v>
      </c>
      <c r="T548" s="54" t="n">
        <f aca="true">RAND()</f>
        <v>0.664249674222389</v>
      </c>
      <c r="U548" s="54" t="n">
        <f aca="true">RAND()</f>
        <v>0.245040076193022</v>
      </c>
    </row>
    <row r="549" customFormat="false" ht="15" hidden="false" customHeight="false" outlineLevel="0" collapsed="false">
      <c r="A549" s="50" t="n">
        <v>469</v>
      </c>
      <c r="B549" s="51" t="n">
        <f aca="false">1+IF($G$6=$E$6,$F$6,IF(P549&lt;($F$6-$E$6)/($G$6-$E$6),$E$6+SQRT(P549*($G$6-$E$6)*($F$6-$E$6)),$G$6-SQRT((1-P549)*($G$6-$E$6)*($G$6-$F$6))))</f>
        <v>0.956520698418046</v>
      </c>
      <c r="C549" s="51" t="n">
        <f aca="false">1+IF($G$7=$E$7,$F$7,IF(Q549&lt;($F$7-$E$7)/($G$7-$E$7),$E$7+SQRT(Q549*($G$7-$E$7)*($F$7-$E$7)),$G$7-SQRT((1-Q549)*($G$7-$E$7)*($G$7-$F$7))))</f>
        <v>0.756659792950195</v>
      </c>
      <c r="D549" s="51" t="n">
        <f aca="false">1+IF($G$8=$E$8,$F$8,IF(R549&lt;($F$8-$E$8)/($G$8-$E$8),$E$8+SQRT(R549*($G$8-$E$8)*($F$8-$E$8)),$G$8-SQRT((1-R549)*($G$8-$E$8)*($G$8-$F$8))))</f>
        <v>0.995139386606133</v>
      </c>
      <c r="E549" s="51" t="n">
        <f aca="false">1+IF($G$9=$E$9,$F$9,IF(S549&lt;($F$9-$E$9)/($G$9-$E$9),$E$9+SQRT(S549*($G$9-$E$9)*($F$9-$E$9)),$G$9-SQRT((1-S549)*($G$9-$E$9)*($G$9-$F$9))))</f>
        <v>0.967020044698471</v>
      </c>
      <c r="F549" s="51" t="n">
        <f aca="false">1+IF($G$10=$E$10,$F$10,IF(T549&lt;($F$10-$E$10)/($G$10-$E$10),$E$10+SQRT(T549*($G$10-$E$10)*($F$10-$E$10)),$G$10-SQRT((1-T549)*($G$10-$E$10)*($G$10-$F$10))))</f>
        <v>1.10372451484969</v>
      </c>
      <c r="G549" s="52" t="n">
        <f aca="false">IF($G$11=$E$11,$F$11,IF(U549&lt;($F$11-$E$11)/($G$11-$E$11),$E$11+SQRT(U549*($G$11-$E$11)*($F$11-$E$11)),$G$11-SQRT((1-U549)*($G$11-$E$11)*($G$11-$F$11))))</f>
        <v>0.0981401572183646</v>
      </c>
      <c r="H549" s="53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-2207449029.69939</v>
      </c>
      <c r="I549" s="53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-78056817.424297</v>
      </c>
      <c r="J549" s="53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129288824.460033</v>
      </c>
      <c r="K549" s="53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391820692.086848</v>
      </c>
      <c r="L549" s="53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485949077.693315</v>
      </c>
      <c r="M549" s="53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623521521.740944</v>
      </c>
      <c r="N549" s="53" t="n">
        <f aca="false">IF(COUNT('Business Case'!B11:G11)=0,"",H549+NPV(G549,I549:M549))</f>
        <v>-1150827066.0009</v>
      </c>
      <c r="P549" s="54" t="n">
        <f aca="true">RAND()</f>
        <v>0.212972623310916</v>
      </c>
      <c r="Q549" s="54" t="n">
        <f aca="true">RAND()</f>
        <v>0.0237802380530291</v>
      </c>
      <c r="R549" s="54" t="n">
        <f aca="true">RAND()</f>
        <v>0.271675229757058</v>
      </c>
      <c r="S549" s="54" t="n">
        <f aca="true">RAND()</f>
        <v>0.179667455655403</v>
      </c>
      <c r="T549" s="54" t="n">
        <f aca="true">RAND()</f>
        <v>0.714713099253904</v>
      </c>
      <c r="U549" s="54" t="n">
        <f aca="true">RAND()</f>
        <v>0.329065303906987</v>
      </c>
    </row>
    <row r="550" customFormat="false" ht="15" hidden="false" customHeight="false" outlineLevel="0" collapsed="false">
      <c r="A550" s="50" t="n">
        <v>470</v>
      </c>
      <c r="B550" s="51" t="n">
        <f aca="false">1+IF($G$6=$E$6,$F$6,IF(P550&lt;($F$6-$E$6)/($G$6-$E$6),$E$6+SQRT(P550*($G$6-$E$6)*($F$6-$E$6)),$G$6-SQRT((1-P550)*($G$6-$E$6)*($G$6-$F$6))))</f>
        <v>0.959028201631062</v>
      </c>
      <c r="C550" s="51" t="n">
        <f aca="false">1+IF($G$7=$E$7,$F$7,IF(Q550&lt;($F$7-$E$7)/($G$7-$E$7),$E$7+SQRT(Q550*($G$7-$E$7)*($F$7-$E$7)),$G$7-SQRT((1-Q550)*($G$7-$E$7)*($G$7-$F$7))))</f>
        <v>0.871260550402398</v>
      </c>
      <c r="D550" s="51" t="n">
        <f aca="false">1+IF($G$8=$E$8,$F$8,IF(R550&lt;($F$8-$E$8)/($G$8-$E$8),$E$8+SQRT(R550*($G$8-$E$8)*($F$8-$E$8)),$G$8-SQRT((1-R550)*($G$8-$E$8)*($G$8-$F$8))))</f>
        <v>0.992969703522843</v>
      </c>
      <c r="E550" s="51" t="n">
        <f aca="false">1+IF($G$9=$E$9,$F$9,IF(S550&lt;($F$9-$E$9)/($G$9-$E$9),$E$9+SQRT(S550*($G$9-$E$9)*($F$9-$E$9)),$G$9-SQRT((1-S550)*($G$9-$E$9)*($G$9-$F$9))))</f>
        <v>1.05075872464009</v>
      </c>
      <c r="F550" s="51" t="n">
        <f aca="false">1+IF($G$10=$E$10,$F$10,IF(T550&lt;($F$10-$E$10)/($G$10-$E$10),$E$10+SQRT(T550*($G$10-$E$10)*($F$10-$E$10)),$G$10-SQRT((1-T550)*($G$10-$E$10)*($G$10-$F$10))))</f>
        <v>1.00538815989535</v>
      </c>
      <c r="G550" s="52" t="n">
        <f aca="false">IF($G$11=$E$11,$F$11,IF(U550&lt;($F$11-$E$11)/($G$11-$E$11),$E$11+SQRT(U550*($G$11-$E$11)*($F$11-$E$11)),$G$11-SQRT((1-U550)*($G$11-$E$11)*($G$11-$F$11))))</f>
        <v>0.117654968770759</v>
      </c>
      <c r="H550" s="53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-2010776319.7907</v>
      </c>
      <c r="I550" s="53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-51765776.7032667</v>
      </c>
      <c r="J550" s="53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189740761.894448</v>
      </c>
      <c r="K550" s="53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481516708.48693</v>
      </c>
      <c r="L550" s="53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590895960.464585</v>
      </c>
      <c r="M550" s="53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749719858.912545</v>
      </c>
      <c r="N550" s="53" t="n">
        <f aca="false">IF(COUNT('Business Case'!B11:G11)=0,"",H550+NPV(G550,I550:M550))</f>
        <v>-751721666.685941</v>
      </c>
      <c r="P550" s="54" t="n">
        <f aca="true">RAND()</f>
        <v>0.232288572519824</v>
      </c>
      <c r="Q550" s="54" t="n">
        <f aca="true">RAND()</f>
        <v>0.217260563882461</v>
      </c>
      <c r="R550" s="54" t="n">
        <f aca="true">RAND()</f>
        <v>0.246186056112134</v>
      </c>
      <c r="S550" s="54" t="n">
        <f aca="true">RAND()</f>
        <v>0.737364513731716</v>
      </c>
      <c r="T550" s="54" t="n">
        <f aca="true">RAND()</f>
        <v>0.20220063574155</v>
      </c>
      <c r="U550" s="54" t="n">
        <f aca="true">RAND()</f>
        <v>0.898400135966046</v>
      </c>
    </row>
    <row r="551" customFormat="false" ht="15" hidden="false" customHeight="false" outlineLevel="0" collapsed="false">
      <c r="A551" s="50" t="n">
        <v>471</v>
      </c>
      <c r="B551" s="51" t="n">
        <f aca="false">1+IF($G$6=$E$6,$F$6,IF(P551&lt;($F$6-$E$6)/($G$6-$E$6),$E$6+SQRT(P551*($G$6-$E$6)*($F$6-$E$6)),$G$6-SQRT((1-P551)*($G$6-$E$6)*($G$6-$F$6))))</f>
        <v>0.994591732916797</v>
      </c>
      <c r="C551" s="51" t="n">
        <f aca="false">1+IF($G$7=$E$7,$F$7,IF(Q551&lt;($F$7-$E$7)/($G$7-$E$7),$E$7+SQRT(Q551*($G$7-$E$7)*($F$7-$E$7)),$G$7-SQRT((1-Q551)*($G$7-$E$7)*($G$7-$F$7))))</f>
        <v>1.11679013932002</v>
      </c>
      <c r="D551" s="51" t="n">
        <f aca="false">1+IF($G$8=$E$8,$F$8,IF(R551&lt;($F$8-$E$8)/($G$8-$E$8),$E$8+SQRT(R551*($G$8-$E$8)*($F$8-$E$8)),$G$8-SQRT((1-R551)*($G$8-$E$8)*($G$8-$F$8))))</f>
        <v>1.00255954783581</v>
      </c>
      <c r="E551" s="51" t="n">
        <f aca="false">1+IF($G$9=$E$9,$F$9,IF(S551&lt;($F$9-$E$9)/($G$9-$E$9),$E$9+SQRT(S551*($G$9-$E$9)*($F$9-$E$9)),$G$9-SQRT((1-S551)*($G$9-$E$9)*($G$9-$F$9))))</f>
        <v>0.956495241632002</v>
      </c>
      <c r="F551" s="51" t="n">
        <f aca="false">1+IF($G$10=$E$10,$F$10,IF(T551&lt;($F$10-$E$10)/($G$10-$E$10),$E$10+SQRT(T551*($G$10-$E$10)*($F$10-$E$10)),$G$10-SQRT((1-T551)*($G$10-$E$10)*($G$10-$F$10))))</f>
        <v>1.02935916531009</v>
      </c>
      <c r="G551" s="52" t="n">
        <f aca="false">IF($G$11=$E$11,$F$11,IF(U551&lt;($F$11-$E$11)/($G$11-$E$11),$E$11+SQRT(U551*($G$11-$E$11)*($F$11-$E$11)),$G$11-SQRT((1-U551)*($G$11-$E$11)*($G$11-$F$11))))</f>
        <v>0.0803615556324334</v>
      </c>
      <c r="H551" s="53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-2058718330.62018</v>
      </c>
      <c r="I551" s="53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40083068.1541484</v>
      </c>
      <c r="J551" s="53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376696968.639457</v>
      </c>
      <c r="K551" s="53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764778827.390271</v>
      </c>
      <c r="L551" s="53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915370989.178761</v>
      </c>
      <c r="M551" s="53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1126502394.79239</v>
      </c>
      <c r="N551" s="53" t="n">
        <f aca="false">IF(COUNT('Business Case'!B11:G11)=0,"",H551+NPV(G551,I551:M551))</f>
        <v>344942128.241133</v>
      </c>
      <c r="P551" s="54" t="n">
        <f aca="true">RAND()</f>
        <v>0.596506395746844</v>
      </c>
      <c r="Q551" s="54" t="n">
        <f aca="true">RAND()</f>
        <v>0.983660817090617</v>
      </c>
      <c r="R551" s="54" t="n">
        <f aca="true">RAND()</f>
        <v>0.367023885469179</v>
      </c>
      <c r="S551" s="54" t="n">
        <f aca="true">RAND()</f>
        <v>0.12766849308233</v>
      </c>
      <c r="T551" s="54" t="n">
        <f aca="true">RAND()</f>
        <v>0.35090162756453</v>
      </c>
      <c r="U551" s="54" t="n">
        <f aca="true">RAND()</f>
        <v>0.000130722475344339</v>
      </c>
    </row>
    <row r="552" customFormat="false" ht="15" hidden="false" customHeight="false" outlineLevel="0" collapsed="false">
      <c r="A552" s="50" t="n">
        <v>472</v>
      </c>
      <c r="B552" s="51" t="n">
        <f aca="false">1+IF($G$6=$E$6,$F$6,IF(P552&lt;($F$6-$E$6)/($G$6-$E$6),$E$6+SQRT(P552*($G$6-$E$6)*($F$6-$E$6)),$G$6-SQRT((1-P552)*($G$6-$E$6)*($G$6-$F$6))))</f>
        <v>0.973471311533714</v>
      </c>
      <c r="C552" s="51" t="n">
        <f aca="false">1+IF($G$7=$E$7,$F$7,IF(Q552&lt;($F$7-$E$7)/($G$7-$E$7),$E$7+SQRT(Q552*($G$7-$E$7)*($F$7-$E$7)),$G$7-SQRT((1-Q552)*($G$7-$E$7)*($G$7-$F$7))))</f>
        <v>0.987926644916746</v>
      </c>
      <c r="D552" s="51" t="n">
        <f aca="false">1+IF($G$8=$E$8,$F$8,IF(R552&lt;($F$8-$E$8)/($G$8-$E$8),$E$8+SQRT(R552*($G$8-$E$8)*($F$8-$E$8)),$G$8-SQRT((1-R552)*($G$8-$E$8)*($G$8-$F$8))))</f>
        <v>1.01654366173338</v>
      </c>
      <c r="E552" s="51" t="n">
        <f aca="false">1+IF($G$9=$E$9,$F$9,IF(S552&lt;($F$9-$E$9)/($G$9-$E$9),$E$9+SQRT(S552*($G$9-$E$9)*($F$9-$E$9)),$G$9-SQRT((1-S552)*($G$9-$E$9)*($G$9-$F$9))))</f>
        <v>1.10622898006875</v>
      </c>
      <c r="F552" s="51" t="n">
        <f aca="false">1+IF($G$10=$E$10,$F$10,IF(T552&lt;($F$10-$E$10)/($G$10-$E$10),$E$10+SQRT(T552*($G$10-$E$10)*($F$10-$E$10)),$G$10-SQRT((1-T552)*($G$10-$E$10)*($G$10-$F$10))))</f>
        <v>0.965153976277561</v>
      </c>
      <c r="G552" s="52" t="n">
        <f aca="false">IF($G$11=$E$11,$F$11,IF(U552&lt;($F$11-$E$11)/($G$11-$E$11),$E$11+SQRT(U552*($G$11-$E$11)*($F$11-$E$11)),$G$11-SQRT((1-U552)*($G$11-$E$11)*($G$11-$F$11))))</f>
        <v>0.10508124262616</v>
      </c>
      <c r="H552" s="53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-1930307952.55512</v>
      </c>
      <c r="I552" s="53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-30066334.4793517</v>
      </c>
      <c r="J552" s="53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243543963.545115</v>
      </c>
      <c r="K552" s="53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565411960.38346</v>
      </c>
      <c r="L552" s="53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689852375.66514</v>
      </c>
      <c r="M552" s="53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872655780.002857</v>
      </c>
      <c r="N552" s="53" t="n">
        <f aca="false">IF(COUNT('Business Case'!B11:G11)=0,"",H552+NPV(G552,I552:M552))</f>
        <v>-347037277.226082</v>
      </c>
      <c r="P552" s="54" t="n">
        <f aca="true">RAND()</f>
        <v>0.359868907898939</v>
      </c>
      <c r="Q552" s="54" t="n">
        <f aca="true">RAND()</f>
        <v>0.614087058170475</v>
      </c>
      <c r="R552" s="54" t="n">
        <f aca="true">RAND()</f>
        <v>0.535669306875173</v>
      </c>
      <c r="S552" s="54" t="n">
        <f aca="true">RAND()</f>
        <v>0.948909275044741</v>
      </c>
      <c r="T552" s="54" t="n">
        <f aca="true">RAND()</f>
        <v>0.0153095331347262</v>
      </c>
      <c r="U552" s="54" t="n">
        <f aca="true">RAND()</f>
        <v>0.586037020629137</v>
      </c>
    </row>
    <row r="553" customFormat="false" ht="15" hidden="false" customHeight="false" outlineLevel="0" collapsed="false">
      <c r="A553" s="50" t="n">
        <v>473</v>
      </c>
      <c r="B553" s="51" t="n">
        <f aca="false">1+IF($G$6=$E$6,$F$6,IF(P553&lt;($F$6-$E$6)/($G$6-$E$6),$E$6+SQRT(P553*($G$6-$E$6)*($F$6-$E$6)),$G$6-SQRT((1-P553)*($G$6-$E$6)*($G$6-$F$6))))</f>
        <v>0.916949631285389</v>
      </c>
      <c r="C553" s="51" t="n">
        <f aca="false">1+IF($G$7=$E$7,$F$7,IF(Q553&lt;($F$7-$E$7)/($G$7-$E$7),$E$7+SQRT(Q553*($G$7-$E$7)*($F$7-$E$7)),$G$7-SQRT((1-Q553)*($G$7-$E$7)*($G$7-$F$7))))</f>
        <v>1.09923198434571</v>
      </c>
      <c r="D553" s="51" t="n">
        <f aca="false">1+IF($G$8=$E$8,$F$8,IF(R553&lt;($F$8-$E$8)/($G$8-$E$8),$E$8+SQRT(R553*($G$8-$E$8)*($F$8-$E$8)),$G$8-SQRT((1-R553)*($G$8-$E$8)*($G$8-$F$8))))</f>
        <v>0.964445013458204</v>
      </c>
      <c r="E553" s="51" t="n">
        <f aca="false">1+IF($G$9=$E$9,$F$9,IF(S553&lt;($F$9-$E$9)/($G$9-$E$9),$E$9+SQRT(S553*($G$9-$E$9)*($F$9-$E$9)),$G$9-SQRT((1-S553)*($G$9-$E$9)*($G$9-$F$9))))</f>
        <v>1.06265221718422</v>
      </c>
      <c r="F553" s="51" t="n">
        <f aca="false">1+IF($G$10=$E$10,$F$10,IF(T553&lt;($F$10-$E$10)/($G$10-$E$10),$E$10+SQRT(T553*($G$10-$E$10)*($F$10-$E$10)),$G$10-SQRT((1-T553)*($G$10-$E$10)*($G$10-$F$10))))</f>
        <v>1.07126665626147</v>
      </c>
      <c r="G553" s="52" t="n">
        <f aca="false">IF($G$11=$E$11,$F$11,IF(U553&lt;($F$11-$E$11)/($G$11-$E$11),$E$11+SQRT(U553*($G$11-$E$11)*($F$11-$E$11)),$G$11-SQRT((1-U553)*($G$11-$E$11)*($G$11-$F$11))))</f>
        <v>0.121995173550244</v>
      </c>
      <c r="H553" s="53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-2142533312.52294</v>
      </c>
      <c r="I553" s="53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-27623087.2565299</v>
      </c>
      <c r="J553" s="53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255241264.801276</v>
      </c>
      <c r="K553" s="53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591668949.672156</v>
      </c>
      <c r="L553" s="53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720791485.961154</v>
      </c>
      <c r="M553" s="53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912380790.111325</v>
      </c>
      <c r="N553" s="53" t="n">
        <f aca="false">IF(COUNT('Business Case'!B11:G11)=0,"",H553+NPV(G553,I553:M553))</f>
        <v>-577554471.828445</v>
      </c>
      <c r="P553" s="54" t="n">
        <f aca="true">RAND()</f>
        <v>0.0191526667140423</v>
      </c>
      <c r="Q553" s="54" t="n">
        <f aca="true">RAND()</f>
        <v>0.961816423504083</v>
      </c>
      <c r="R553" s="54" t="n">
        <f aca="true">RAND()</f>
        <v>0.0278211218410243</v>
      </c>
      <c r="S553" s="54" t="n">
        <f aca="true">RAND()</f>
        <v>0.796543062324483</v>
      </c>
      <c r="T553" s="54" t="n">
        <f aca="true">RAND()</f>
        <v>0.574058557813937</v>
      </c>
      <c r="U553" s="54" t="n">
        <f aca="true">RAND()</f>
        <v>0.95728183567286</v>
      </c>
    </row>
    <row r="554" customFormat="false" ht="15" hidden="false" customHeight="false" outlineLevel="0" collapsed="false">
      <c r="A554" s="50" t="n">
        <v>474</v>
      </c>
      <c r="B554" s="51" t="n">
        <f aca="false">1+IF($G$6=$E$6,$F$6,IF(P554&lt;($F$6-$E$6)/($G$6-$E$6),$E$6+SQRT(P554*($G$6-$E$6)*($F$6-$E$6)),$G$6-SQRT((1-P554)*($G$6-$E$6)*($G$6-$F$6))))</f>
        <v>0.987577625427238</v>
      </c>
      <c r="C554" s="51" t="n">
        <f aca="false">1+IF($G$7=$E$7,$F$7,IF(Q554&lt;($F$7-$E$7)/($G$7-$E$7),$E$7+SQRT(Q554*($G$7-$E$7)*($F$7-$E$7)),$G$7-SQRT((1-Q554)*($G$7-$E$7)*($G$7-$F$7))))</f>
        <v>0.857258345945252</v>
      </c>
      <c r="D554" s="51" t="n">
        <f aca="false">1+IF($G$8=$E$8,$F$8,IF(R554&lt;($F$8-$E$8)/($G$8-$E$8),$E$8+SQRT(R554*($G$8-$E$8)*($F$8-$E$8)),$G$8-SQRT((1-R554)*($G$8-$E$8)*($G$8-$F$8))))</f>
        <v>1.02887094611707</v>
      </c>
      <c r="E554" s="51" t="n">
        <f aca="false">1+IF($G$9=$E$9,$F$9,IF(S554&lt;($F$9-$E$9)/($G$9-$E$9),$E$9+SQRT(S554*($G$9-$E$9)*($F$9-$E$9)),$G$9-SQRT((1-S554)*($G$9-$E$9)*($G$9-$F$9))))</f>
        <v>1.11026714555073</v>
      </c>
      <c r="F554" s="51" t="n">
        <f aca="false">1+IF($G$10=$E$10,$F$10,IF(T554&lt;($F$10-$E$10)/($G$10-$E$10),$E$10+SQRT(T554*($G$10-$E$10)*($F$10-$E$10)),$G$10-SQRT((1-T554)*($G$10-$E$10)*($G$10-$F$10))))</f>
        <v>1.00680542876908</v>
      </c>
      <c r="G554" s="52" t="n">
        <f aca="false">IF($G$11=$E$11,$F$11,IF(U554&lt;($F$11-$E$11)/($G$11-$E$11),$E$11+SQRT(U554*($G$11-$E$11)*($F$11-$E$11)),$G$11-SQRT((1-U554)*($G$11-$E$11)*($G$11-$F$11))))</f>
        <v>0.0991616491265657</v>
      </c>
      <c r="H554" s="53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-2013610857.53817</v>
      </c>
      <c r="I554" s="53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-60532531.1894672</v>
      </c>
      <c r="J554" s="53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181383687.536068</v>
      </c>
      <c r="K554" s="53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473640177.700058</v>
      </c>
      <c r="L554" s="53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583537729.902423</v>
      </c>
      <c r="M554" s="53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744461199.351953</v>
      </c>
      <c r="N554" s="53" t="n">
        <f aca="false">IF(COUNT('Business Case'!B11:G11)=0,"",H554+NPV(G554,I554:M554))</f>
        <v>-698083183.657552</v>
      </c>
      <c r="P554" s="54" t="n">
        <f aca="true">RAND()</f>
        <v>0.511322698364912</v>
      </c>
      <c r="Q554" s="54" t="n">
        <f aca="true">RAND()</f>
        <v>0.183186573106937</v>
      </c>
      <c r="R554" s="54" t="n">
        <f aca="true">RAND()</f>
        <v>0.662710512914611</v>
      </c>
      <c r="S554" s="54" t="n">
        <f aca="true">RAND()</f>
        <v>0.957901340728347</v>
      </c>
      <c r="T554" s="54" t="n">
        <f aca="true">RAND()</f>
        <v>0.211418673650809</v>
      </c>
      <c r="U554" s="54" t="n">
        <f aca="true">RAND()</f>
        <v>0.367168797249617</v>
      </c>
    </row>
    <row r="555" customFormat="false" ht="15" hidden="false" customHeight="false" outlineLevel="0" collapsed="false">
      <c r="A555" s="50" t="n">
        <v>475</v>
      </c>
      <c r="B555" s="51" t="n">
        <f aca="false">1+IF($G$6=$E$6,$F$6,IF(P555&lt;($F$6-$E$6)/($G$6-$E$6),$E$6+SQRT(P555*($G$6-$E$6)*($F$6-$E$6)),$G$6-SQRT((1-P555)*($G$6-$E$6)*($G$6-$F$6))))</f>
        <v>0.973628343770865</v>
      </c>
      <c r="C555" s="51" t="n">
        <f aca="false">1+IF($G$7=$E$7,$F$7,IF(Q555&lt;($F$7-$E$7)/($G$7-$E$7),$E$7+SQRT(Q555*($G$7-$E$7)*($F$7-$E$7)),$G$7-SQRT((1-Q555)*($G$7-$E$7)*($G$7-$F$7))))</f>
        <v>1.0455274127885</v>
      </c>
      <c r="D555" s="51" t="n">
        <f aca="false">1+IF($G$8=$E$8,$F$8,IF(R555&lt;($F$8-$E$8)/($G$8-$E$8),$E$8+SQRT(R555*($G$8-$E$8)*($F$8-$E$8)),$G$8-SQRT((1-R555)*($G$8-$E$8)*($G$8-$F$8))))</f>
        <v>1.01733885092697</v>
      </c>
      <c r="E555" s="51" t="n">
        <f aca="false">1+IF($G$9=$E$9,$F$9,IF(S555&lt;($F$9-$E$9)/($G$9-$E$9),$E$9+SQRT(S555*($G$9-$E$9)*($F$9-$E$9)),$G$9-SQRT((1-S555)*($G$9-$E$9)*($G$9-$F$9))))</f>
        <v>0.948067017422152</v>
      </c>
      <c r="F555" s="51" t="n">
        <f aca="false">1+IF($G$10=$E$10,$F$10,IF(T555&lt;($F$10-$E$10)/($G$10-$E$10),$E$10+SQRT(T555*($G$10-$E$10)*($F$10-$E$10)),$G$10-SQRT((1-T555)*($G$10-$E$10)*($G$10-$F$10))))</f>
        <v>1.01653548937621</v>
      </c>
      <c r="G555" s="52" t="n">
        <f aca="false">IF($G$11=$E$11,$F$11,IF(U555&lt;($F$11-$E$11)/($G$11-$E$11),$E$11+SQRT(U555*($G$11-$E$11)*($F$11-$E$11)),$G$11-SQRT((1-U555)*($G$11-$E$11)*($G$11-$F$11))))</f>
        <v>0.0958917684507507</v>
      </c>
      <c r="H555" s="53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-2033070978.75242</v>
      </c>
      <c r="I555" s="53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32462.5317671448</v>
      </c>
      <c r="J555" s="53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289304397.469437</v>
      </c>
      <c r="K555" s="53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629403106.875917</v>
      </c>
      <c r="L555" s="53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761007614.24904</v>
      </c>
      <c r="M555" s="53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954500524.082161</v>
      </c>
      <c r="N555" s="53" t="n">
        <f aca="false">IF(COUNT('Business Case'!B11:G11)=0,"",H555+NPV(G555,I555:M555))</f>
        <v>-182454201.434008</v>
      </c>
      <c r="P555" s="54" t="n">
        <f aca="true">RAND()</f>
        <v>0.361408867096046</v>
      </c>
      <c r="Q555" s="54" t="n">
        <f aca="true">RAND()</f>
        <v>0.838303385501282</v>
      </c>
      <c r="R555" s="54" t="n">
        <f aca="true">RAND()</f>
        <v>0.54447562892842</v>
      </c>
      <c r="S555" s="54" t="n">
        <f aca="true">RAND()</f>
        <v>0.0924175265544598</v>
      </c>
      <c r="T555" s="54" t="n">
        <f aca="true">RAND()</f>
        <v>0.273257630389253</v>
      </c>
      <c r="U555" s="54" t="n">
        <f aca="true">RAND()</f>
        <v>0.252548304492274</v>
      </c>
    </row>
    <row r="556" customFormat="false" ht="15" hidden="false" customHeight="false" outlineLevel="0" collapsed="false">
      <c r="A556" s="50" t="n">
        <v>476</v>
      </c>
      <c r="B556" s="51" t="n">
        <f aca="false">1+IF($G$6=$E$6,$F$6,IF(P556&lt;($F$6-$E$6)/($G$6-$E$6),$E$6+SQRT(P556*($G$6-$E$6)*($F$6-$E$6)),$G$6-SQRT((1-P556)*($G$6-$E$6)*($G$6-$F$6))))</f>
        <v>0.999796112832901</v>
      </c>
      <c r="C556" s="51" t="n">
        <f aca="false">1+IF($G$7=$E$7,$F$7,IF(Q556&lt;($F$7-$E$7)/($G$7-$E$7),$E$7+SQRT(Q556*($G$7-$E$7)*($F$7-$E$7)),$G$7-SQRT((1-Q556)*($G$7-$E$7)*($G$7-$F$7))))</f>
        <v>0.84070449960091</v>
      </c>
      <c r="D556" s="51" t="n">
        <f aca="false">1+IF($G$8=$E$8,$F$8,IF(R556&lt;($F$8-$E$8)/($G$8-$E$8),$E$8+SQRT(R556*($G$8-$E$8)*($F$8-$E$8)),$G$8-SQRT((1-R556)*($G$8-$E$8)*($G$8-$F$8))))</f>
        <v>1.03261586636057</v>
      </c>
      <c r="E556" s="51" t="n">
        <f aca="false">1+IF($G$9=$E$9,$F$9,IF(S556&lt;($F$9-$E$9)/($G$9-$E$9),$E$9+SQRT(S556*($G$9-$E$9)*($F$9-$E$9)),$G$9-SQRT((1-S556)*($G$9-$E$9)*($G$9-$F$9))))</f>
        <v>0.987146756909809</v>
      </c>
      <c r="F556" s="51" t="n">
        <f aca="false">1+IF($G$10=$E$10,$F$10,IF(T556&lt;($F$10-$E$10)/($G$10-$E$10),$E$10+SQRT(T556*($G$10-$E$10)*($F$10-$E$10)),$G$10-SQRT((1-T556)*($G$10-$E$10)*($G$10-$F$10))))</f>
        <v>1.20986736439907</v>
      </c>
      <c r="G556" s="52" t="n">
        <f aca="false">IF($G$11=$E$11,$F$11,IF(U556&lt;($F$11-$E$11)/($G$11-$E$11),$E$11+SQRT(U556*($G$11-$E$11)*($F$11-$E$11)),$G$11-SQRT((1-U556)*($G$11-$E$11)*($G$11-$F$11))))</f>
        <v>0.0853051597512846</v>
      </c>
      <c r="H556" s="53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-2419734728.79815</v>
      </c>
      <c r="I556" s="53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-60885571.2786242</v>
      </c>
      <c r="J556" s="53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183161098.139305</v>
      </c>
      <c r="K556" s="53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487701135.777188</v>
      </c>
      <c r="L556" s="53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598098849.199213</v>
      </c>
      <c r="M556" s="53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757867379.087475</v>
      </c>
      <c r="N556" s="53" t="n">
        <f aca="false">IF(COUNT('Business Case'!B11:G11)=0,"",H556+NPV(G556,I556:M556))</f>
        <v>-1004436207.93096</v>
      </c>
      <c r="P556" s="54" t="n">
        <f aca="true">RAND()</f>
        <v>0.663950942437142</v>
      </c>
      <c r="Q556" s="54" t="n">
        <f aca="true">RAND()</f>
        <v>0.14665004598476</v>
      </c>
      <c r="R556" s="54" t="n">
        <f aca="true">RAND()</f>
        <v>0.697291902244255</v>
      </c>
      <c r="S556" s="54" t="n">
        <f aca="true">RAND()</f>
        <v>0.30378228959589</v>
      </c>
      <c r="T556" s="54" t="n">
        <f aca="true">RAND()</f>
        <v>0.978524954129644</v>
      </c>
      <c r="U556" s="54" t="n">
        <f aca="true">RAND()</f>
        <v>0.0281447199866499</v>
      </c>
    </row>
    <row r="557" customFormat="false" ht="15" hidden="false" customHeight="false" outlineLevel="0" collapsed="false">
      <c r="A557" s="50" t="n">
        <v>477</v>
      </c>
      <c r="B557" s="51" t="n">
        <f aca="false">1+IF($G$6=$E$6,$F$6,IF(P557&lt;($F$6-$E$6)/($G$6-$E$6),$E$6+SQRT(P557*($G$6-$E$6)*($F$6-$E$6)),$G$6-SQRT((1-P557)*($G$6-$E$6)*($G$6-$F$6))))</f>
        <v>0.994455127839873</v>
      </c>
      <c r="C557" s="51" t="n">
        <f aca="false">1+IF($G$7=$E$7,$F$7,IF(Q557&lt;($F$7-$E$7)/($G$7-$E$7),$E$7+SQRT(Q557*($G$7-$E$7)*($F$7-$E$7)),$G$7-SQRT((1-Q557)*($G$7-$E$7)*($G$7-$F$7))))</f>
        <v>0.955148384881561</v>
      </c>
      <c r="D557" s="51" t="n">
        <f aca="false">1+IF($G$8=$E$8,$F$8,IF(R557&lt;($F$8-$E$8)/($G$8-$E$8),$E$8+SQRT(R557*($G$8-$E$8)*($F$8-$E$8)),$G$8-SQRT((1-R557)*($G$8-$E$8)*($G$8-$F$8))))</f>
        <v>1.01979014766823</v>
      </c>
      <c r="E557" s="51" t="n">
        <f aca="false">1+IF($G$9=$E$9,$F$9,IF(S557&lt;($F$9-$E$9)/($G$9-$E$9),$E$9+SQRT(S557*($G$9-$E$9)*($F$9-$E$9)),$G$9-SQRT((1-S557)*($G$9-$E$9)*($G$9-$F$9))))</f>
        <v>1.08122308533836</v>
      </c>
      <c r="F557" s="51" t="n">
        <f aca="false">1+IF($G$10=$E$10,$F$10,IF(T557&lt;($F$10-$E$10)/($G$10-$E$10),$E$10+SQRT(T557*($G$10-$E$10)*($F$10-$E$10)),$G$10-SQRT((1-T557)*($G$10-$E$10)*($G$10-$F$10))))</f>
        <v>0.972750541863637</v>
      </c>
      <c r="G557" s="52" t="n">
        <f aca="false">IF($G$11=$E$11,$F$11,IF(U557&lt;($F$11-$E$11)/($G$11-$E$11),$E$11+SQRT(U557*($G$11-$E$11)*($F$11-$E$11)),$G$11-SQRT((1-U557)*($G$11-$E$11)*($G$11-$F$11))))</f>
        <v>0.0965790919455905</v>
      </c>
      <c r="H557" s="53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-1945501083.72727</v>
      </c>
      <c r="I557" s="53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-20904109.8658583</v>
      </c>
      <c r="J557" s="53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258457095.714349</v>
      </c>
      <c r="K557" s="53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586455828.387739</v>
      </c>
      <c r="L557" s="53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712403122.597533</v>
      </c>
      <c r="M557" s="53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892951030.521022</v>
      </c>
      <c r="N557" s="53" t="n">
        <f aca="false">IF(COUNT('Business Case'!B11:G11)=0,"",H557+NPV(G557,I557:M557))</f>
        <v>-249042921.752672</v>
      </c>
      <c r="P557" s="54" t="n">
        <f aca="true">RAND()</f>
        <v>0.594784745016444</v>
      </c>
      <c r="Q557" s="54" t="n">
        <f aca="true">RAND()</f>
        <v>0.482227394871621</v>
      </c>
      <c r="R557" s="54" t="n">
        <f aca="true">RAND()</f>
        <v>0.571091972594345</v>
      </c>
      <c r="S557" s="54" t="n">
        <f aca="true">RAND()</f>
        <v>0.873859626923337</v>
      </c>
      <c r="T557" s="54" t="n">
        <f aca="true">RAND()</f>
        <v>0.0345058103392739</v>
      </c>
      <c r="U557" s="54" t="n">
        <f aca="true">RAND()</f>
        <v>0.274866289740343</v>
      </c>
    </row>
    <row r="558" customFormat="false" ht="15" hidden="false" customHeight="false" outlineLevel="0" collapsed="false">
      <c r="A558" s="50" t="n">
        <v>478</v>
      </c>
      <c r="B558" s="51" t="n">
        <f aca="false">1+IF($G$6=$E$6,$F$6,IF(P558&lt;($F$6-$E$6)/($G$6-$E$6),$E$6+SQRT(P558*($G$6-$E$6)*($F$6-$E$6)),$G$6-SQRT((1-P558)*($G$6-$E$6)*($G$6-$F$6))))</f>
        <v>1.00190618284388</v>
      </c>
      <c r="C558" s="51" t="n">
        <f aca="false">1+IF($G$7=$E$7,$F$7,IF(Q558&lt;($F$7-$E$7)/($G$7-$E$7),$E$7+SQRT(Q558*($G$7-$E$7)*($F$7-$E$7)),$G$7-SQRT((1-Q558)*($G$7-$E$7)*($G$7-$F$7))))</f>
        <v>0.872197645440426</v>
      </c>
      <c r="D558" s="51" t="n">
        <f aca="false">1+IF($G$8=$E$8,$F$8,IF(R558&lt;($F$8-$E$8)/($G$8-$E$8),$E$8+SQRT(R558*($G$8-$E$8)*($F$8-$E$8)),$G$8-SQRT((1-R558)*($G$8-$E$8)*($G$8-$F$8))))</f>
        <v>1.03113534062542</v>
      </c>
      <c r="E558" s="51" t="n">
        <f aca="false">1+IF($G$9=$E$9,$F$9,IF(S558&lt;($F$9-$E$9)/($G$9-$E$9),$E$9+SQRT(S558*($G$9-$E$9)*($F$9-$E$9)),$G$9-SQRT((1-S558)*($G$9-$E$9)*($G$9-$F$9))))</f>
        <v>1.00111807306016</v>
      </c>
      <c r="F558" s="51" t="n">
        <f aca="false">1+IF($G$10=$E$10,$F$10,IF(T558&lt;($F$10-$E$10)/($G$10-$E$10),$E$10+SQRT(T558*($G$10-$E$10)*($F$10-$E$10)),$G$10-SQRT((1-T558)*($G$10-$E$10)*($G$10-$F$10))))</f>
        <v>1.17041168278386</v>
      </c>
      <c r="G558" s="52" t="n">
        <f aca="false">IF($G$11=$E$11,$F$11,IF(U558&lt;($F$11-$E$11)/($G$11-$E$11),$E$11+SQRT(U558*($G$11-$E$11)*($F$11-$E$11)),$G$11-SQRT((1-U558)*($G$11-$E$11)*($G$11-$F$11))))</f>
        <v>0.0999980398694647</v>
      </c>
      <c r="H558" s="53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-2340823365.56772</v>
      </c>
      <c r="I558" s="53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-49343844.4461547</v>
      </c>
      <c r="J558" s="53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206013382.849739</v>
      </c>
      <c r="K558" s="53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519891194.284826</v>
      </c>
      <c r="L558" s="53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635210879.033129</v>
      </c>
      <c r="M558" s="53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801314228.43966</v>
      </c>
      <c r="N558" s="53" t="n">
        <f aca="false">IF(COUNT('Business Case'!B11:G11)=0,"",H558+NPV(G558,I558:M558))</f>
        <v>-893399654.029318</v>
      </c>
      <c r="P558" s="54" t="n">
        <f aca="true">RAND()</f>
        <v>0.691597966847128</v>
      </c>
      <c r="Q558" s="54" t="n">
        <f aca="true">RAND()</f>
        <v>0.219644659964642</v>
      </c>
      <c r="R558" s="54" t="n">
        <f aca="true">RAND()</f>
        <v>0.683843912614853</v>
      </c>
      <c r="S558" s="54" t="n">
        <f aca="true">RAND()</f>
        <v>0.408911248818109</v>
      </c>
      <c r="T558" s="54" t="n">
        <f aca="true">RAND()</f>
        <v>0.915542663502703</v>
      </c>
      <c r="U558" s="54" t="n">
        <f aca="true">RAND()</f>
        <v>0.399921598620699</v>
      </c>
    </row>
    <row r="559" customFormat="false" ht="15" hidden="false" customHeight="false" outlineLevel="0" collapsed="false">
      <c r="A559" s="50" t="n">
        <v>479</v>
      </c>
      <c r="B559" s="51" t="n">
        <f aca="false">1+IF($G$6=$E$6,$F$6,IF(P559&lt;($F$6-$E$6)/($G$6-$E$6),$E$6+SQRT(P559*($G$6-$E$6)*($F$6-$E$6)),$G$6-SQRT((1-P559)*($G$6-$E$6)*($G$6-$F$6))))</f>
        <v>0.939728156173542</v>
      </c>
      <c r="C559" s="51" t="n">
        <f aca="false">1+IF($G$7=$E$7,$F$7,IF(Q559&lt;($F$7-$E$7)/($G$7-$E$7),$E$7+SQRT(Q559*($G$7-$E$7)*($F$7-$E$7)),$G$7-SQRT((1-Q559)*($G$7-$E$7)*($G$7-$F$7))))</f>
        <v>1.07168479425313</v>
      </c>
      <c r="D559" s="51" t="n">
        <f aca="false">1+IF($G$8=$E$8,$F$8,IF(R559&lt;($F$8-$E$8)/($G$8-$E$8),$E$8+SQRT(R559*($G$8-$E$8)*($F$8-$E$8)),$G$8-SQRT((1-R559)*($G$8-$E$8)*($G$8-$F$8))))</f>
        <v>1.00746472313068</v>
      </c>
      <c r="E559" s="51" t="n">
        <f aca="false">1+IF($G$9=$E$9,$F$9,IF(S559&lt;($F$9-$E$9)/($G$9-$E$9),$E$9+SQRT(S559*($G$9-$E$9)*($F$9-$E$9)),$G$9-SQRT((1-S559)*($G$9-$E$9)*($G$9-$F$9))))</f>
        <v>0.922908910602583</v>
      </c>
      <c r="F559" s="51" t="n">
        <f aca="false">1+IF($G$10=$E$10,$F$10,IF(T559&lt;($F$10-$E$10)/($G$10-$E$10),$E$10+SQRT(T559*($G$10-$E$10)*($F$10-$E$10)),$G$10-SQRT((1-T559)*($G$10-$E$10)*($G$10-$F$10))))</f>
        <v>1.20733767643637</v>
      </c>
      <c r="G559" s="52" t="n">
        <f aca="false">IF($G$11=$E$11,$F$11,IF(U559&lt;($F$11-$E$11)/($G$11-$E$11),$E$11+SQRT(U559*($G$11-$E$11)*($F$11-$E$11)),$G$11-SQRT((1-U559)*($G$11-$E$11)*($G$11-$F$11))))</f>
        <v>0.121525954851106</v>
      </c>
      <c r="H559" s="53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-2414675352.87273</v>
      </c>
      <c r="I559" s="53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-32010070.1233199</v>
      </c>
      <c r="J559" s="53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240158943.241113</v>
      </c>
      <c r="K559" s="53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572694840.427363</v>
      </c>
      <c r="L559" s="53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698222957.38646</v>
      </c>
      <c r="M559" s="53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889651076.160032</v>
      </c>
      <c r="N559" s="53" t="n">
        <f aca="false">IF(COUNT('Business Case'!B11:G11)=0,"",H559+NPV(G559,I559:M559))</f>
        <v>-903602775.086475</v>
      </c>
      <c r="P559" s="54" t="n">
        <f aca="true">RAND()</f>
        <v>0.105221759529959</v>
      </c>
      <c r="Q559" s="54" t="n">
        <f aca="true">RAND()</f>
        <v>0.909136719241848</v>
      </c>
      <c r="R559" s="54" t="n">
        <f aca="true">RAND()</f>
        <v>0.429148168981257</v>
      </c>
      <c r="S559" s="54" t="n">
        <f aca="true">RAND()</f>
        <v>0.0209927273998847</v>
      </c>
      <c r="T559" s="54" t="n">
        <f aca="true">RAND()</f>
        <v>0.975732348642024</v>
      </c>
      <c r="U559" s="54" t="n">
        <f aca="true">RAND()</f>
        <v>0.952127039209675</v>
      </c>
    </row>
    <row r="560" customFormat="false" ht="15" hidden="false" customHeight="false" outlineLevel="0" collapsed="false">
      <c r="A560" s="50" t="n">
        <v>480</v>
      </c>
      <c r="B560" s="51" t="n">
        <f aca="false">1+IF($G$6=$E$6,$F$6,IF(P560&lt;($F$6-$E$6)/($G$6-$E$6),$E$6+SQRT(P560*($G$6-$E$6)*($F$6-$E$6)),$G$6-SQRT((1-P560)*($G$6-$E$6)*($G$6-$F$6))))</f>
        <v>0.952242680532173</v>
      </c>
      <c r="C560" s="51" t="n">
        <f aca="false">1+IF($G$7=$E$7,$F$7,IF(Q560&lt;($F$7-$E$7)/($G$7-$E$7),$E$7+SQRT(Q560*($G$7-$E$7)*($F$7-$E$7)),$G$7-SQRT((1-Q560)*($G$7-$E$7)*($G$7-$F$7))))</f>
        <v>0.792249303509414</v>
      </c>
      <c r="D560" s="51" t="n">
        <f aca="false">1+IF($G$8=$E$8,$F$8,IF(R560&lt;($F$8-$E$8)/($G$8-$E$8),$E$8+SQRT(R560*($G$8-$E$8)*($F$8-$E$8)),$G$8-SQRT((1-R560)*($G$8-$E$8)*($G$8-$F$8))))</f>
        <v>1.06086918337298</v>
      </c>
      <c r="E560" s="51" t="n">
        <f aca="false">1+IF($G$9=$E$9,$F$9,IF(S560&lt;($F$9-$E$9)/($G$9-$E$9),$E$9+SQRT(S560*($G$9-$E$9)*($F$9-$E$9)),$G$9-SQRT((1-S560)*($G$9-$E$9)*($G$9-$F$9))))</f>
        <v>1.00016858350795</v>
      </c>
      <c r="F560" s="51" t="n">
        <f aca="false">1+IF($G$10=$E$10,$F$10,IF(T560&lt;($F$10-$E$10)/($G$10-$E$10),$E$10+SQRT(T560*($G$10-$E$10)*($F$10-$E$10)),$G$10-SQRT((1-T560)*($G$10-$E$10)*($G$10-$F$10))))</f>
        <v>1.02652961945986</v>
      </c>
      <c r="G560" s="52" t="n">
        <f aca="false">IF($G$11=$E$11,$F$11,IF(U560&lt;($F$11-$E$11)/($G$11-$E$11),$E$11+SQRT(U560*($G$11-$E$11)*($F$11-$E$11)),$G$11-SQRT((1-U560)*($G$11-$E$11)*($G$11-$F$11))))</f>
        <v>0.10309102865899</v>
      </c>
      <c r="H560" s="53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-2053059238.91973</v>
      </c>
      <c r="I560" s="53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-96321551.4915487</v>
      </c>
      <c r="J560" s="53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91342632.5836769</v>
      </c>
      <c r="K560" s="53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330333297.631896</v>
      </c>
      <c r="L560" s="53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418960559.687609</v>
      </c>
      <c r="M560" s="53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562359496.856118</v>
      </c>
      <c r="N560" s="53" t="n">
        <f aca="false">IF(COUNT('Business Case'!B11:G11)=0,"",H560+NPV(G560,I560:M560))</f>
        <v>-1191930023.12383</v>
      </c>
      <c r="P560" s="54" t="n">
        <f aca="true">RAND()</f>
        <v>0.18195317794578</v>
      </c>
      <c r="Q560" s="54" t="n">
        <f aca="true">RAND()</f>
        <v>0.0630365481331257</v>
      </c>
      <c r="R560" s="54" t="n">
        <f aca="true">RAND()</f>
        <v>0.897918612673513</v>
      </c>
      <c r="S560" s="54" t="n">
        <f aca="true">RAND()</f>
        <v>0.401347910186321</v>
      </c>
      <c r="T560" s="54" t="n">
        <f aca="true">RAND()</f>
        <v>0.334146520283286</v>
      </c>
      <c r="U560" s="54" t="n">
        <f aca="true">RAND()</f>
        <v>0.517271507579142</v>
      </c>
    </row>
    <row r="561" customFormat="false" ht="15" hidden="false" customHeight="false" outlineLevel="0" collapsed="false">
      <c r="A561" s="50" t="n">
        <v>481</v>
      </c>
      <c r="B561" s="51" t="n">
        <f aca="false">1+IF($G$6=$E$6,$F$6,IF(P561&lt;($F$6-$E$6)/($G$6-$E$6),$E$6+SQRT(P561*($G$6-$E$6)*($F$6-$E$6)),$G$6-SQRT((1-P561)*($G$6-$E$6)*($G$6-$F$6))))</f>
        <v>1.00147597364095</v>
      </c>
      <c r="C561" s="51" t="n">
        <f aca="false">1+IF($G$7=$E$7,$F$7,IF(Q561&lt;($F$7-$E$7)/($G$7-$E$7),$E$7+SQRT(Q561*($G$7-$E$7)*($F$7-$E$7)),$G$7-SQRT((1-Q561)*($G$7-$E$7)*($G$7-$F$7))))</f>
        <v>0.880380221689061</v>
      </c>
      <c r="D561" s="51" t="n">
        <f aca="false">1+IF($G$8=$E$8,$F$8,IF(R561&lt;($F$8-$E$8)/($G$8-$E$8),$E$8+SQRT(R561*($G$8-$E$8)*($F$8-$E$8)),$G$8-SQRT((1-R561)*($G$8-$E$8)*($G$8-$F$8))))</f>
        <v>1.02801599628237</v>
      </c>
      <c r="E561" s="51" t="n">
        <f aca="false">1+IF($G$9=$E$9,$F$9,IF(S561&lt;($F$9-$E$9)/($G$9-$E$9),$E$9+SQRT(S561*($G$9-$E$9)*($F$9-$E$9)),$G$9-SQRT((1-S561)*($G$9-$E$9)*($G$9-$F$9))))</f>
        <v>1.11115548250403</v>
      </c>
      <c r="F561" s="51" t="n">
        <f aca="false">1+IF($G$10=$E$10,$F$10,IF(T561&lt;($F$10-$E$10)/($G$10-$E$10),$E$10+SQRT(T561*($G$10-$E$10)*($F$10-$E$10)),$G$10-SQRT((1-T561)*($G$10-$E$10)*($G$10-$F$10))))</f>
        <v>1.01369276852057</v>
      </c>
      <c r="G561" s="52" t="n">
        <f aca="false">IF($G$11=$E$11,$F$11,IF(U561&lt;($F$11-$E$11)/($G$11-$E$11),$E$11+SQRT(U561*($G$11-$E$11)*($F$11-$E$11)),$G$11-SQRT((1-U561)*($G$11-$E$11)*($G$11-$F$11))))</f>
        <v>0.110761349125514</v>
      </c>
      <c r="H561" s="53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-2027385537.04114</v>
      </c>
      <c r="I561" s="53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-46233364.3111847</v>
      </c>
      <c r="J561" s="53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212615130.363306</v>
      </c>
      <c r="K561" s="53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522148263.463825</v>
      </c>
      <c r="L561" s="53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638901943.369685</v>
      </c>
      <c r="M561" s="53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806491609.282014</v>
      </c>
      <c r="N561" s="53" t="n">
        <f aca="false">IF(COUNT('Business Case'!B11:G11)=0,"",H561+NPV(G561,I561:M561))</f>
        <v>-618988884.154151</v>
      </c>
      <c r="P561" s="54" t="n">
        <f aca="true">RAND()</f>
        <v>0.68605584878749</v>
      </c>
      <c r="Q561" s="54" t="n">
        <f aca="true">RAND()</f>
        <v>0.241014995382184</v>
      </c>
      <c r="R561" s="54" t="n">
        <f aca="true">RAND()</f>
        <v>0.654553547251987</v>
      </c>
      <c r="S561" s="54" t="n">
        <f aca="true">RAND()</f>
        <v>0.959762758946815</v>
      </c>
      <c r="T561" s="54" t="n">
        <f aca="true">RAND()</f>
        <v>0.255451898007024</v>
      </c>
      <c r="U561" s="54" t="n">
        <f aca="true">RAND()</f>
        <v>0.753249541686434</v>
      </c>
    </row>
    <row r="562" customFormat="false" ht="15" hidden="false" customHeight="false" outlineLevel="0" collapsed="false">
      <c r="A562" s="50" t="n">
        <v>482</v>
      </c>
      <c r="B562" s="51" t="n">
        <f aca="false">1+IF($G$6=$E$6,$F$6,IF(P562&lt;($F$6-$E$6)/($G$6-$E$6),$E$6+SQRT(P562*($G$6-$E$6)*($F$6-$E$6)),$G$6-SQRT((1-P562)*($G$6-$E$6)*($G$6-$F$6))))</f>
        <v>1.01147748859358</v>
      </c>
      <c r="C562" s="51" t="n">
        <f aca="false">1+IF($G$7=$E$7,$F$7,IF(Q562&lt;($F$7-$E$7)/($G$7-$E$7),$E$7+SQRT(Q562*($G$7-$E$7)*($F$7-$E$7)),$G$7-SQRT((1-Q562)*($G$7-$E$7)*($G$7-$F$7))))</f>
        <v>0.970180855866842</v>
      </c>
      <c r="D562" s="51" t="n">
        <f aca="false">1+IF($G$8=$E$8,$F$8,IF(R562&lt;($F$8-$E$8)/($G$8-$E$8),$E$8+SQRT(R562*($G$8-$E$8)*($F$8-$E$8)),$G$8-SQRT((1-R562)*($G$8-$E$8)*($G$8-$F$8))))</f>
        <v>1.01367862551159</v>
      </c>
      <c r="E562" s="51" t="n">
        <f aca="false">1+IF($G$9=$E$9,$F$9,IF(S562&lt;($F$9-$E$9)/($G$9-$E$9),$E$9+SQRT(S562*($G$9-$E$9)*($F$9-$E$9)),$G$9-SQRT((1-S562)*($G$9-$E$9)*($G$9-$F$9))))</f>
        <v>1.12184466587987</v>
      </c>
      <c r="F562" s="51" t="n">
        <f aca="false">1+IF($G$10=$E$10,$F$10,IF(T562&lt;($F$10-$E$10)/($G$10-$E$10),$E$10+SQRT(T562*($G$10-$E$10)*($F$10-$E$10)),$G$10-SQRT((1-T562)*($G$10-$E$10)*($G$10-$F$10))))</f>
        <v>1.22770923341833</v>
      </c>
      <c r="G562" s="52" t="n">
        <f aca="false">IF($G$11=$E$11,$F$11,IF(U562&lt;($F$11-$E$11)/($G$11-$E$11),$E$11+SQRT(U562*($G$11-$E$11)*($F$11-$E$11)),$G$11-SQRT((1-U562)*($G$11-$E$11)*($G$11-$F$11))))</f>
        <v>0.101059139018144</v>
      </c>
      <c r="H562" s="53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-2455418466.83665</v>
      </c>
      <c r="I562" s="53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-32848665.457039</v>
      </c>
      <c r="J562" s="53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267471330.310416</v>
      </c>
      <c r="K562" s="53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629176787.748788</v>
      </c>
      <c r="L562" s="53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763197737.267635</v>
      </c>
      <c r="M562" s="53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949726300.714295</v>
      </c>
      <c r="N562" s="53" t="n">
        <f aca="false">IF(COUNT('Business Case'!B11:G11)=0,"",H562+NPV(G562,I562:M562))</f>
        <v>-687133538.759574</v>
      </c>
      <c r="P562" s="54" t="n">
        <f aca="true">RAND()</f>
        <v>0.802135481992269</v>
      </c>
      <c r="Q562" s="54" t="n">
        <f aca="true">RAND()</f>
        <v>0.540723665755104</v>
      </c>
      <c r="R562" s="54" t="n">
        <f aca="true">RAND()</f>
        <v>0.503241353762148</v>
      </c>
      <c r="S562" s="54" t="n">
        <f aca="true">RAND()</f>
        <v>0.97886072428224</v>
      </c>
      <c r="T562" s="54" t="n">
        <f aca="true">RAND()</f>
        <v>0.993374956336017</v>
      </c>
      <c r="U562" s="54" t="n">
        <f aca="true">RAND()</f>
        <v>0.441617710419237</v>
      </c>
    </row>
    <row r="563" customFormat="false" ht="15" hidden="false" customHeight="false" outlineLevel="0" collapsed="false">
      <c r="A563" s="50" t="n">
        <v>483</v>
      </c>
      <c r="B563" s="51" t="n">
        <f aca="false">1+IF($G$6=$E$6,$F$6,IF(P563&lt;($F$6-$E$6)/($G$6-$E$6),$E$6+SQRT(P563*($G$6-$E$6)*($F$6-$E$6)),$G$6-SQRT((1-P563)*($G$6-$E$6)*($G$6-$F$6))))</f>
        <v>0.932714469820282</v>
      </c>
      <c r="C563" s="51" t="n">
        <f aca="false">1+IF($G$7=$E$7,$F$7,IF(Q563&lt;($F$7-$E$7)/($G$7-$E$7),$E$7+SQRT(Q563*($G$7-$E$7)*($F$7-$E$7)),$G$7-SQRT((1-Q563)*($G$7-$E$7)*($G$7-$F$7))))</f>
        <v>0.915187918626163</v>
      </c>
      <c r="D563" s="51" t="n">
        <f aca="false">1+IF($G$8=$E$8,$F$8,IF(R563&lt;($F$8-$E$8)/($G$8-$E$8),$E$8+SQRT(R563*($G$8-$E$8)*($F$8-$E$8)),$G$8-SQRT((1-R563)*($G$8-$E$8)*($G$8-$F$8))))</f>
        <v>0.985227081506849</v>
      </c>
      <c r="E563" s="51" t="n">
        <f aca="false">1+IF($G$9=$E$9,$F$9,IF(S563&lt;($F$9-$E$9)/($G$9-$E$9),$E$9+SQRT(S563*($G$9-$E$9)*($F$9-$E$9)),$G$9-SQRT((1-S563)*($G$9-$E$9)*($G$9-$F$9))))</f>
        <v>1.07468357382603</v>
      </c>
      <c r="F563" s="51" t="n">
        <f aca="false">1+IF($G$10=$E$10,$F$10,IF(T563&lt;($F$10-$E$10)/($G$10-$E$10),$E$10+SQRT(T563*($G$10-$E$10)*($F$10-$E$10)),$G$10-SQRT((1-T563)*($G$10-$E$10)*($G$10-$F$10))))</f>
        <v>1.02726730330761</v>
      </c>
      <c r="G563" s="52" t="n">
        <f aca="false">IF($G$11=$E$11,$F$11,IF(U563&lt;($F$11-$E$11)/($G$11-$E$11),$E$11+SQRT(U563*($G$11-$E$11)*($F$11-$E$11)),$G$11-SQRT((1-U563)*($G$11-$E$11)*($G$11-$F$11))))</f>
        <v>0.108637742786664</v>
      </c>
      <c r="H563" s="53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-2054534606.61521</v>
      </c>
      <c r="I563" s="53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-62212425.9443847</v>
      </c>
      <c r="J563" s="53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175372973.941744</v>
      </c>
      <c r="K563" s="53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464321738.993254</v>
      </c>
      <c r="L563" s="53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573017599.823092</v>
      </c>
      <c r="M563" s="53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735271601.262629</v>
      </c>
      <c r="N563" s="53" t="n">
        <f aca="false">IF(COUNT('Business Case'!B11:G11)=0,"",H563+NPV(G563,I563:M563))</f>
        <v>-808844452.773278</v>
      </c>
      <c r="P563" s="54" t="n">
        <f aca="true">RAND()</f>
        <v>0.0713491023748105</v>
      </c>
      <c r="Q563" s="54" t="n">
        <f aca="true">RAND()</f>
        <v>0.343006224612299</v>
      </c>
      <c r="R563" s="54" t="n">
        <f aca="true">RAND()</f>
        <v>0.165459636198691</v>
      </c>
      <c r="S563" s="54" t="n">
        <f aca="true">RAND()</f>
        <v>0.848731625290147</v>
      </c>
      <c r="T563" s="54" t="n">
        <f aca="true">RAND()</f>
        <v>0.338535277655121</v>
      </c>
      <c r="U563" s="54" t="n">
        <f aca="true">RAND()</f>
        <v>0.695769311167511</v>
      </c>
    </row>
    <row r="564" customFormat="false" ht="15" hidden="false" customHeight="false" outlineLevel="0" collapsed="false">
      <c r="A564" s="50" t="n">
        <v>484</v>
      </c>
      <c r="B564" s="51" t="n">
        <f aca="false">1+IF($G$6=$E$6,$F$6,IF(P564&lt;($F$6-$E$6)/($G$6-$E$6),$E$6+SQRT(P564*($G$6-$E$6)*($F$6-$E$6)),$G$6-SQRT((1-P564)*($G$6-$E$6)*($G$6-$F$6))))</f>
        <v>1.00913727841535</v>
      </c>
      <c r="C564" s="51" t="n">
        <f aca="false">1+IF($G$7=$E$7,$F$7,IF(Q564&lt;($F$7-$E$7)/($G$7-$E$7),$E$7+SQRT(Q564*($G$7-$E$7)*($F$7-$E$7)),$G$7-SQRT((1-Q564)*($G$7-$E$7)*($G$7-$F$7))))</f>
        <v>0.907455754124504</v>
      </c>
      <c r="D564" s="51" t="n">
        <f aca="false">1+IF($G$8=$E$8,$F$8,IF(R564&lt;($F$8-$E$8)/($G$8-$E$8),$E$8+SQRT(R564*($G$8-$E$8)*($F$8-$E$8)),$G$8-SQRT((1-R564)*($G$8-$E$8)*($G$8-$F$8))))</f>
        <v>1.0369211695002</v>
      </c>
      <c r="E564" s="51" t="n">
        <f aca="false">1+IF($G$9=$E$9,$F$9,IF(S564&lt;($F$9-$E$9)/($G$9-$E$9),$E$9+SQRT(S564*($G$9-$E$9)*($F$9-$E$9)),$G$9-SQRT((1-S564)*($G$9-$E$9)*($G$9-$F$9))))</f>
        <v>0.971825880250053</v>
      </c>
      <c r="F564" s="51" t="n">
        <f aca="false">1+IF($G$10=$E$10,$F$10,IF(T564&lt;($F$10-$E$10)/($G$10-$E$10),$E$10+SQRT(T564*($G$10-$E$10)*($F$10-$E$10)),$G$10-SQRT((1-T564)*($G$10-$E$10)*($G$10-$F$10))))</f>
        <v>1.04896421336091</v>
      </c>
      <c r="G564" s="52" t="n">
        <f aca="false">IF($G$11=$E$11,$F$11,IF(U564&lt;($F$11-$E$11)/($G$11-$E$11),$E$11+SQRT(U564*($G$11-$E$11)*($F$11-$E$11)),$G$11-SQRT((1-U564)*($G$11-$E$11)*($G$11-$F$11))))</f>
        <v>0.0878318914410385</v>
      </c>
      <c r="H564" s="53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-2097928426.72181</v>
      </c>
      <c r="I564" s="53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-22195614.3879547</v>
      </c>
      <c r="J564" s="53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246171179.502916</v>
      </c>
      <c r="K564" s="53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566986184.061831</v>
      </c>
      <c r="L564" s="53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688090013.206239</v>
      </c>
      <c r="M564" s="53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862155284.700555</v>
      </c>
      <c r="N564" s="53" t="n">
        <f aca="false">IF(COUNT('Business Case'!B11:G11)=0,"",H564+NPV(G564,I564:M564))</f>
        <v>-412561373.410693</v>
      </c>
      <c r="P564" s="54" t="n">
        <f aca="true">RAND()</f>
        <v>0.777365064626099</v>
      </c>
      <c r="Q564" s="54" t="n">
        <f aca="true">RAND()</f>
        <v>0.318799184587902</v>
      </c>
      <c r="R564" s="54" t="n">
        <f aca="true">RAND()</f>
        <v>0.734737409518525</v>
      </c>
      <c r="S564" s="54" t="n">
        <f aca="true">RAND()</f>
        <v>0.206358282947796</v>
      </c>
      <c r="T564" s="54" t="n">
        <f aca="true">RAND()</f>
        <v>0.461128166538673</v>
      </c>
      <c r="U564" s="54" t="n">
        <f aca="true">RAND()</f>
        <v>0.0613385235442126</v>
      </c>
    </row>
    <row r="565" customFormat="false" ht="15" hidden="false" customHeight="false" outlineLevel="0" collapsed="false">
      <c r="A565" s="50" t="n">
        <v>485</v>
      </c>
      <c r="B565" s="51" t="n">
        <f aca="false">1+IF($G$6=$E$6,$F$6,IF(P565&lt;($F$6-$E$6)/($G$6-$E$6),$E$6+SQRT(P565*($G$6-$E$6)*($F$6-$E$6)),$G$6-SQRT((1-P565)*($G$6-$E$6)*($G$6-$F$6))))</f>
        <v>0.927558748276254</v>
      </c>
      <c r="C565" s="51" t="n">
        <f aca="false">1+IF($G$7=$E$7,$F$7,IF(Q565&lt;($F$7-$E$7)/($G$7-$E$7),$E$7+SQRT(Q565*($G$7-$E$7)*($F$7-$E$7)),$G$7-SQRT((1-Q565)*($G$7-$E$7)*($G$7-$F$7))))</f>
        <v>1.103769926382</v>
      </c>
      <c r="D565" s="51" t="n">
        <f aca="false">1+IF($G$8=$E$8,$F$8,IF(R565&lt;($F$8-$E$8)/($G$8-$E$8),$E$8+SQRT(R565*($G$8-$E$8)*($F$8-$E$8)),$G$8-SQRT((1-R565)*($G$8-$E$8)*($G$8-$F$8))))</f>
        <v>1.00291742115404</v>
      </c>
      <c r="E565" s="51" t="n">
        <f aca="false">1+IF($G$9=$E$9,$F$9,IF(S565&lt;($F$9-$E$9)/($G$9-$E$9),$E$9+SQRT(S565*($G$9-$E$9)*($F$9-$E$9)),$G$9-SQRT((1-S565)*($G$9-$E$9)*($G$9-$F$9))))</f>
        <v>1.08778283508166</v>
      </c>
      <c r="F565" s="51" t="n">
        <f aca="false">1+IF($G$10=$E$10,$F$10,IF(T565&lt;($F$10-$E$10)/($G$10-$E$10),$E$10+SQRT(T565*($G$10-$E$10)*($F$10-$E$10)),$G$10-SQRT((1-T565)*($G$10-$E$10)*($G$10-$F$10))))</f>
        <v>0.980239873502803</v>
      </c>
      <c r="G565" s="52" t="n">
        <f aca="false">IF($G$11=$E$11,$F$11,IF(U565&lt;($F$11-$E$11)/($G$11-$E$11),$E$11+SQRT(U565*($G$11-$E$11)*($F$11-$E$11)),$G$11-SQRT((1-U565)*($G$11-$E$11)*($G$11-$F$11))))</f>
        <v>0.0962874807665162</v>
      </c>
      <c r="H565" s="53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-1960479747.00561</v>
      </c>
      <c r="I565" s="53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-33896165.0027305</v>
      </c>
      <c r="J565" s="53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237988762.128816</v>
      </c>
      <c r="K565" s="53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558885682.935502</v>
      </c>
      <c r="L565" s="53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684896915.736274</v>
      </c>
      <c r="M565" s="53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879502996.399352</v>
      </c>
      <c r="N565" s="53" t="n">
        <f aca="false">IF(COUNT('Business Case'!B11:G11)=0,"",H565+NPV(G565,I565:M565))</f>
        <v>-339625601.362219</v>
      </c>
      <c r="P565" s="54" t="n">
        <f aca="true">RAND()</f>
        <v>0.0506323071035952</v>
      </c>
      <c r="Q565" s="54" t="n">
        <f aca="true">RAND()</f>
        <v>0.968337485826285</v>
      </c>
      <c r="R565" s="54" t="n">
        <f aca="true">RAND()</f>
        <v>0.371664858974519</v>
      </c>
      <c r="S565" s="54" t="n">
        <f aca="true">RAND()</f>
        <v>0.896773983720631</v>
      </c>
      <c r="T565" s="54" t="n">
        <f aca="true">RAND()</f>
        <v>0.06096332996437</v>
      </c>
      <c r="U565" s="54" t="n">
        <f aca="true">RAND()</f>
        <v>0.265282029719635</v>
      </c>
    </row>
    <row r="566" customFormat="false" ht="15" hidden="false" customHeight="false" outlineLevel="0" collapsed="false">
      <c r="A566" s="50" t="n">
        <v>486</v>
      </c>
      <c r="B566" s="51" t="n">
        <f aca="false">1+IF($G$6=$E$6,$F$6,IF(P566&lt;($F$6-$E$6)/($G$6-$E$6),$E$6+SQRT(P566*($G$6-$E$6)*($F$6-$E$6)),$G$6-SQRT((1-P566)*($G$6-$E$6)*($G$6-$F$6))))</f>
        <v>1.00093402878713</v>
      </c>
      <c r="C566" s="51" t="n">
        <f aca="false">1+IF($G$7=$E$7,$F$7,IF(Q566&lt;($F$7-$E$7)/($G$7-$E$7),$E$7+SQRT(Q566*($G$7-$E$7)*($F$7-$E$7)),$G$7-SQRT((1-Q566)*($G$7-$E$7)*($G$7-$F$7))))</f>
        <v>0.726330781695787</v>
      </c>
      <c r="D566" s="51" t="n">
        <f aca="false">1+IF($G$8=$E$8,$F$8,IF(R566&lt;($F$8-$E$8)/($G$8-$E$8),$E$8+SQRT(R566*($G$8-$E$8)*($F$8-$E$8)),$G$8-SQRT((1-R566)*($G$8-$E$8)*($G$8-$F$8))))</f>
        <v>0.98305955089861</v>
      </c>
      <c r="E566" s="51" t="n">
        <f aca="false">1+IF($G$9=$E$9,$F$9,IF(S566&lt;($F$9-$E$9)/($G$9-$E$9),$E$9+SQRT(S566*($G$9-$E$9)*($F$9-$E$9)),$G$9-SQRT((1-S566)*($G$9-$E$9)*($G$9-$F$9))))</f>
        <v>1.06503973883514</v>
      </c>
      <c r="F566" s="51" t="n">
        <f aca="false">1+IF($G$10=$E$10,$F$10,IF(T566&lt;($F$10-$E$10)/($G$10-$E$10),$E$10+SQRT(T566*($G$10-$E$10)*($F$10-$E$10)),$G$10-SQRT((1-T566)*($G$10-$E$10)*($G$10-$F$10))))</f>
        <v>0.989335547871644</v>
      </c>
      <c r="G566" s="52" t="n">
        <f aca="false">IF($G$11=$E$11,$F$11,IF(U566&lt;($F$11-$E$11)/($G$11-$E$11),$E$11+SQRT(U566*($G$11-$E$11)*($F$11-$E$11)),$G$11-SQRT((1-U566)*($G$11-$E$11)*($G$11-$F$11))))</f>
        <v>0.0971767175622652</v>
      </c>
      <c r="H566" s="53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-1978671095.74329</v>
      </c>
      <c r="I566" s="53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-58121887.3861455</v>
      </c>
      <c r="J566" s="53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171826587.574795</v>
      </c>
      <c r="K566" s="53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451241839.929318</v>
      </c>
      <c r="L566" s="53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553016769.38134</v>
      </c>
      <c r="M566" s="53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691206677.272409</v>
      </c>
      <c r="N566" s="53" t="n">
        <f aca="false">IF(COUNT('Business Case'!B11:G11)=0,"",H566+NPV(G566,I566:M566))</f>
        <v>-730903215.039546</v>
      </c>
      <c r="P566" s="54" t="n">
        <f aca="true">RAND()</f>
        <v>0.679004062525001</v>
      </c>
      <c r="Q566" s="54" t="n">
        <f aca="true">RAND()</f>
        <v>0.00513563010897177</v>
      </c>
      <c r="R566" s="54" t="n">
        <f aca="true">RAND()</f>
        <v>0.145724520749035</v>
      </c>
      <c r="S566" s="54" t="n">
        <f aca="true">RAND()</f>
        <v>0.807513440607968</v>
      </c>
      <c r="T566" s="54" t="n">
        <f aca="true">RAND()</f>
        <v>0.103152355090826</v>
      </c>
      <c r="U566" s="54" t="n">
        <f aca="true">RAND()</f>
        <v>0.295039626213829</v>
      </c>
    </row>
    <row r="567" customFormat="false" ht="15" hidden="false" customHeight="false" outlineLevel="0" collapsed="false">
      <c r="A567" s="50" t="n">
        <v>487</v>
      </c>
      <c r="B567" s="51" t="n">
        <f aca="false">1+IF($G$6=$E$6,$F$6,IF(P567&lt;($F$6-$E$6)/($G$6-$E$6),$E$6+SQRT(P567*($G$6-$E$6)*($F$6-$E$6)),$G$6-SQRT((1-P567)*($G$6-$E$6)*($G$6-$F$6))))</f>
        <v>1.00189509590489</v>
      </c>
      <c r="C567" s="51" t="n">
        <f aca="false">1+IF($G$7=$E$7,$F$7,IF(Q567&lt;($F$7-$E$7)/($G$7-$E$7),$E$7+SQRT(Q567*($G$7-$E$7)*($F$7-$E$7)),$G$7-SQRT((1-Q567)*($G$7-$E$7)*($G$7-$F$7))))</f>
        <v>1.02744387918892</v>
      </c>
      <c r="D567" s="51" t="n">
        <f aca="false">1+IF($G$8=$E$8,$F$8,IF(R567&lt;($F$8-$E$8)/($G$8-$E$8),$E$8+SQRT(R567*($G$8-$E$8)*($F$8-$E$8)),$G$8-SQRT((1-R567)*($G$8-$E$8)*($G$8-$F$8))))</f>
        <v>1.00704638085411</v>
      </c>
      <c r="E567" s="51" t="n">
        <f aca="false">1+IF($G$9=$E$9,$F$9,IF(S567&lt;($F$9-$E$9)/($G$9-$E$9),$E$9+SQRT(S567*($G$9-$E$9)*($F$9-$E$9)),$G$9-SQRT((1-S567)*($G$9-$E$9)*($G$9-$F$9))))</f>
        <v>0.948017523917582</v>
      </c>
      <c r="F567" s="51" t="n">
        <f aca="false">1+IF($G$10=$E$10,$F$10,IF(T567&lt;($F$10-$E$10)/($G$10-$E$10),$E$10+SQRT(T567*($G$10-$E$10)*($F$10-$E$10)),$G$10-SQRT((1-T567)*($G$10-$E$10)*($G$10-$F$10))))</f>
        <v>1.06767553112365</v>
      </c>
      <c r="G567" s="52" t="n">
        <f aca="false">IF($G$11=$E$11,$F$11,IF(U567&lt;($F$11-$E$11)/($G$11-$E$11),$E$11+SQRT(U567*($G$11-$E$11)*($F$11-$E$11)),$G$11-SQRT((1-U567)*($G$11-$E$11)*($G$11-$F$11))))</f>
        <v>0.0985845814829556</v>
      </c>
      <c r="H567" s="53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-2135351062.2473</v>
      </c>
      <c r="I567" s="53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18530809.3048127</v>
      </c>
      <c r="J567" s="53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332000892.227248</v>
      </c>
      <c r="K567" s="53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698854751.705865</v>
      </c>
      <c r="L567" s="53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838920531.749462</v>
      </c>
      <c r="M567" s="53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1034587169.96478</v>
      </c>
      <c r="N567" s="53" t="n">
        <f aca="false">IF(COUNT('Business Case'!B11:G11)=0,"",H567+NPV(G567,I567:M567))</f>
        <v>-93803833.7177644</v>
      </c>
      <c r="P567" s="54" t="n">
        <f aca="true">RAND()</f>
        <v>0.691455760266688</v>
      </c>
      <c r="Q567" s="54" t="n">
        <f aca="true">RAND()</f>
        <v>0.777481440766525</v>
      </c>
      <c r="R567" s="54" t="n">
        <f aca="true">RAND()</f>
        <v>0.423974979178735</v>
      </c>
      <c r="S567" s="54" t="n">
        <f aca="true">RAND()</f>
        <v>0.0922273041270224</v>
      </c>
      <c r="T567" s="54" t="n">
        <f aca="true">RAND()</f>
        <v>0.556770507319414</v>
      </c>
      <c r="U567" s="54" t="n">
        <f aca="true">RAND()</f>
        <v>0.345386668896616</v>
      </c>
    </row>
    <row r="568" customFormat="false" ht="15" hidden="false" customHeight="false" outlineLevel="0" collapsed="false">
      <c r="A568" s="50" t="n">
        <v>488</v>
      </c>
      <c r="B568" s="51" t="n">
        <f aca="false">1+IF($G$6=$E$6,$F$6,IF(P568&lt;($F$6-$E$6)/($G$6-$E$6),$E$6+SQRT(P568*($G$6-$E$6)*($F$6-$E$6)),$G$6-SQRT((1-P568)*($G$6-$E$6)*($G$6-$F$6))))</f>
        <v>1.00892184793252</v>
      </c>
      <c r="C568" s="51" t="n">
        <f aca="false">1+IF($G$7=$E$7,$F$7,IF(Q568&lt;($F$7-$E$7)/($G$7-$E$7),$E$7+SQRT(Q568*($G$7-$E$7)*($F$7-$E$7)),$G$7-SQRT((1-Q568)*($G$7-$E$7)*($G$7-$F$7))))</f>
        <v>1.03667153605743</v>
      </c>
      <c r="D568" s="51" t="n">
        <f aca="false">1+IF($G$8=$E$8,$F$8,IF(R568&lt;($F$8-$E$8)/($G$8-$E$8),$E$8+SQRT(R568*($G$8-$E$8)*($F$8-$E$8)),$G$8-SQRT((1-R568)*($G$8-$E$8)*($G$8-$F$8))))</f>
        <v>0.976675815516486</v>
      </c>
      <c r="E568" s="51" t="n">
        <f aca="false">1+IF($G$9=$E$9,$F$9,IF(S568&lt;($F$9-$E$9)/($G$9-$E$9),$E$9+SQRT(S568*($G$9-$E$9)*($F$9-$E$9)),$G$9-SQRT((1-S568)*($G$9-$E$9)*($G$9-$F$9))))</f>
        <v>0.995731317755449</v>
      </c>
      <c r="F568" s="51" t="n">
        <f aca="false">1+IF($G$10=$E$10,$F$10,IF(T568&lt;($F$10-$E$10)/($G$10-$E$10),$E$10+SQRT(T568*($G$10-$E$10)*($F$10-$E$10)),$G$10-SQRT((1-T568)*($G$10-$E$10)*($G$10-$F$10))))</f>
        <v>1.19560551438775</v>
      </c>
      <c r="G568" s="52" t="n">
        <f aca="false">IF($G$11=$E$11,$F$11,IF(U568&lt;($F$11-$E$11)/($G$11-$E$11),$E$11+SQRT(U568*($G$11-$E$11)*($F$11-$E$11)),$G$11-SQRT((1-U568)*($G$11-$E$11)*($G$11-$F$11))))</f>
        <v>0.118073205956242</v>
      </c>
      <c r="H568" s="53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-2391211028.77549</v>
      </c>
      <c r="I568" s="53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22995265.8877241</v>
      </c>
      <c r="J568" s="53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361364598.525772</v>
      </c>
      <c r="K568" s="53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759514206.883207</v>
      </c>
      <c r="L568" s="53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908450999.047039</v>
      </c>
      <c r="M568" s="53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1107259579.44503</v>
      </c>
      <c r="N568" s="53" t="n">
        <f aca="false">IF(COUNT('Business Case'!B11:G11)=0,"",H568+NPV(G568,I568:M568))</f>
        <v>-323117532.579426</v>
      </c>
      <c r="P568" s="54" t="n">
        <f aca="true">RAND()</f>
        <v>0.775011389696162</v>
      </c>
      <c r="Q568" s="54" t="n">
        <f aca="true">RAND()</f>
        <v>0.809728285339511</v>
      </c>
      <c r="R568" s="54" t="n">
        <f aca="true">RAND()</f>
        <v>0.0948798844626096</v>
      </c>
      <c r="S568" s="54" t="n">
        <f aca="true">RAND()</f>
        <v>0.366579407967794</v>
      </c>
      <c r="T568" s="54" t="n">
        <f aca="true">RAND()</f>
        <v>0.960549865799712</v>
      </c>
      <c r="U568" s="54" t="n">
        <f aca="true">RAND()</f>
        <v>0.905167722558515</v>
      </c>
    </row>
    <row r="569" customFormat="false" ht="15" hidden="false" customHeight="false" outlineLevel="0" collapsed="false">
      <c r="A569" s="50" t="n">
        <v>489</v>
      </c>
      <c r="B569" s="51" t="n">
        <f aca="false">1+IF($G$6=$E$6,$F$6,IF(P569&lt;($F$6-$E$6)/($G$6-$E$6),$E$6+SQRT(P569*($G$6-$E$6)*($F$6-$E$6)),$G$6-SQRT((1-P569)*($G$6-$E$6)*($G$6-$F$6))))</f>
        <v>1.01888078658982</v>
      </c>
      <c r="C569" s="51" t="n">
        <f aca="false">1+IF($G$7=$E$7,$F$7,IF(Q569&lt;($F$7-$E$7)/($G$7-$E$7),$E$7+SQRT(Q569*($G$7-$E$7)*($F$7-$E$7)),$G$7-SQRT((1-Q569)*($G$7-$E$7)*($G$7-$F$7))))</f>
        <v>0.971012154802755</v>
      </c>
      <c r="D569" s="51" t="n">
        <f aca="false">1+IF($G$8=$E$8,$F$8,IF(R569&lt;($F$8-$E$8)/($G$8-$E$8),$E$8+SQRT(R569*($G$8-$E$8)*($F$8-$E$8)),$G$8-SQRT((1-R569)*($G$8-$E$8)*($G$8-$F$8))))</f>
        <v>1.05707414657424</v>
      </c>
      <c r="E569" s="51" t="n">
        <f aca="false">1+IF($G$9=$E$9,$F$9,IF(S569&lt;($F$9-$E$9)/($G$9-$E$9),$E$9+SQRT(S569*($G$9-$E$9)*($F$9-$E$9)),$G$9-SQRT((1-S569)*($G$9-$E$9)*($G$9-$F$9))))</f>
        <v>1.09590191773803</v>
      </c>
      <c r="F569" s="51" t="n">
        <f aca="false">1+IF($G$10=$E$10,$F$10,IF(T569&lt;($F$10-$E$10)/($G$10-$E$10),$E$10+SQRT(T569*($G$10-$E$10)*($F$10-$E$10)),$G$10-SQRT((1-T569)*($G$10-$E$10)*($G$10-$F$10))))</f>
        <v>1.000854343581</v>
      </c>
      <c r="G569" s="52" t="n">
        <f aca="false">IF($G$11=$E$11,$F$11,IF(U569&lt;($F$11-$E$11)/($G$11-$E$11),$E$11+SQRT(U569*($G$11-$E$11)*($F$11-$E$11)),$G$11-SQRT((1-U569)*($G$11-$E$11)*($G$11-$F$11))))</f>
        <v>0.10609333781293</v>
      </c>
      <c r="H569" s="53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-2001708687.16199</v>
      </c>
      <c r="I569" s="53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-22316052.1584995</v>
      </c>
      <c r="J569" s="53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262578260.102789</v>
      </c>
      <c r="K569" s="53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597515289.543128</v>
      </c>
      <c r="L569" s="53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726671845.203118</v>
      </c>
      <c r="M569" s="53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914726662.187368</v>
      </c>
      <c r="N569" s="53" t="n">
        <f aca="false">IF(COUNT('Business Case'!B11:G11)=0,"",H569+NPV(G569,I569:M569))</f>
        <v>-327737972.920437</v>
      </c>
      <c r="P569" s="54" t="n">
        <f aca="true">RAND()</f>
        <v>0.870879274230877</v>
      </c>
      <c r="Q569" s="54" t="n">
        <f aca="true">RAND()</f>
        <v>0.544056207783945</v>
      </c>
      <c r="R569" s="54" t="n">
        <f aca="true">RAND()</f>
        <v>0.877158073844693</v>
      </c>
      <c r="S569" s="54" t="n">
        <f aca="true">RAND()</f>
        <v>0.921957266548727</v>
      </c>
      <c r="T569" s="54" t="n">
        <f aca="true">RAND()</f>
        <v>0.172352558500575</v>
      </c>
      <c r="U569" s="54" t="n">
        <f aca="true">RAND()</f>
        <v>0.618981002048886</v>
      </c>
    </row>
    <row r="570" customFormat="false" ht="15" hidden="false" customHeight="false" outlineLevel="0" collapsed="false">
      <c r="A570" s="50" t="n">
        <v>490</v>
      </c>
      <c r="B570" s="51" t="n">
        <f aca="false">1+IF($G$6=$E$6,$F$6,IF(P570&lt;($F$6-$E$6)/($G$6-$E$6),$E$6+SQRT(P570*($G$6-$E$6)*($F$6-$E$6)),$G$6-SQRT((1-P570)*($G$6-$E$6)*($G$6-$F$6))))</f>
        <v>0.989576794610525</v>
      </c>
      <c r="C570" s="51" t="n">
        <f aca="false">1+IF($G$7=$E$7,$F$7,IF(Q570&lt;($F$7-$E$7)/($G$7-$E$7),$E$7+SQRT(Q570*($G$7-$E$7)*($F$7-$E$7)),$G$7-SQRT((1-Q570)*($G$7-$E$7)*($G$7-$F$7))))</f>
        <v>0.910192094066566</v>
      </c>
      <c r="D570" s="51" t="n">
        <f aca="false">1+IF($G$8=$E$8,$F$8,IF(R570&lt;($F$8-$E$8)/($G$8-$E$8),$E$8+SQRT(R570*($G$8-$E$8)*($F$8-$E$8)),$G$8-SQRT((1-R570)*($G$8-$E$8)*($G$8-$F$8))))</f>
        <v>1.01259512847643</v>
      </c>
      <c r="E570" s="51" t="n">
        <f aca="false">1+IF($G$9=$E$9,$F$9,IF(S570&lt;($F$9-$E$9)/($G$9-$E$9),$E$9+SQRT(S570*($G$9-$E$9)*($F$9-$E$9)),$G$9-SQRT((1-S570)*($G$9-$E$9)*($G$9-$F$9))))</f>
        <v>1.0016633744088</v>
      </c>
      <c r="F570" s="51" t="n">
        <f aca="false">1+IF($G$10=$E$10,$F$10,IF(T570&lt;($F$10-$E$10)/($G$10-$E$10),$E$10+SQRT(T570*($G$10-$E$10)*($F$10-$E$10)),$G$10-SQRT((1-T570)*($G$10-$E$10)*($G$10-$F$10))))</f>
        <v>1.05353296747465</v>
      </c>
      <c r="G570" s="52" t="n">
        <f aca="false">IF($G$11=$E$11,$F$11,IF(U570&lt;($F$11-$E$11)/($G$11-$E$11),$E$11+SQRT(U570*($G$11-$E$11)*($F$11-$E$11)),$G$11-SQRT((1-U570)*($G$11-$E$11)*($G$11-$F$11))))</f>
        <v>0.0818055819100804</v>
      </c>
      <c r="H570" s="53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-2107065934.94929</v>
      </c>
      <c r="I570" s="53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-28554329.9592958</v>
      </c>
      <c r="J570" s="53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237373714.569981</v>
      </c>
      <c r="K570" s="53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555978407.472989</v>
      </c>
      <c r="L570" s="53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675749452.916198</v>
      </c>
      <c r="M570" s="53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846955454.550177</v>
      </c>
      <c r="N570" s="53" t="n">
        <f aca="false">IF(COUNT('Business Case'!B11:G11)=0,"",H570+NPV(G570,I570:M570))</f>
        <v>-426465132.992145</v>
      </c>
      <c r="P570" s="54" t="n">
        <f aca="true">RAND()</f>
        <v>0.534933475513074</v>
      </c>
      <c r="Q570" s="54" t="n">
        <f aca="true">RAND()</f>
        <v>0.327264565985839</v>
      </c>
      <c r="R570" s="54" t="n">
        <f aca="true">RAND()</f>
        <v>0.490692562263234</v>
      </c>
      <c r="S570" s="54" t="n">
        <f aca="true">RAND()</f>
        <v>0.413233213552444</v>
      </c>
      <c r="T570" s="54" t="n">
        <f aca="true">RAND()</f>
        <v>0.485342735075748</v>
      </c>
      <c r="U570" s="54" t="n">
        <f aca="true">RAND()</f>
        <v>0.00326012603400962</v>
      </c>
    </row>
    <row r="571" customFormat="false" ht="15" hidden="false" customHeight="false" outlineLevel="0" collapsed="false">
      <c r="A571" s="50" t="n">
        <v>491</v>
      </c>
      <c r="B571" s="51" t="n">
        <f aca="false">1+IF($G$6=$E$6,$F$6,IF(P571&lt;($F$6-$E$6)/($G$6-$E$6),$E$6+SQRT(P571*($G$6-$E$6)*($F$6-$E$6)),$G$6-SQRT((1-P571)*($G$6-$E$6)*($G$6-$F$6))))</f>
        <v>0.973588481410136</v>
      </c>
      <c r="C571" s="51" t="n">
        <f aca="false">1+IF($G$7=$E$7,$F$7,IF(Q571&lt;($F$7-$E$7)/($G$7-$E$7),$E$7+SQRT(Q571*($G$7-$E$7)*($F$7-$E$7)),$G$7-SQRT((1-Q571)*($G$7-$E$7)*($G$7-$F$7))))</f>
        <v>0.930979841864992</v>
      </c>
      <c r="D571" s="51" t="n">
        <f aca="false">1+IF($G$8=$E$8,$F$8,IF(R571&lt;($F$8-$E$8)/($G$8-$E$8),$E$8+SQRT(R571*($G$8-$E$8)*($F$8-$E$8)),$G$8-SQRT((1-R571)*($G$8-$E$8)*($G$8-$F$8))))</f>
        <v>1.04820684136075</v>
      </c>
      <c r="E571" s="51" t="n">
        <f aca="false">1+IF($G$9=$E$9,$F$9,IF(S571&lt;($F$9-$E$9)/($G$9-$E$9),$E$9+SQRT(S571*($G$9-$E$9)*($F$9-$E$9)),$G$9-SQRT((1-S571)*($G$9-$E$9)*($G$9-$F$9))))</f>
        <v>0.926644035868768</v>
      </c>
      <c r="F571" s="51" t="n">
        <f aca="false">1+IF($G$10=$E$10,$F$10,IF(T571&lt;($F$10-$E$10)/($G$10-$E$10),$E$10+SQRT(T571*($G$10-$E$10)*($F$10-$E$10)),$G$10-SQRT((1-T571)*($G$10-$E$10)*($G$10-$F$10))))</f>
        <v>1.18030644361251</v>
      </c>
      <c r="G571" s="52" t="n">
        <f aca="false">IF($G$11=$E$11,$F$11,IF(U571&lt;($F$11-$E$11)/($G$11-$E$11),$E$11+SQRT(U571*($G$11-$E$11)*($F$11-$E$11)),$G$11-SQRT((1-U571)*($G$11-$E$11)*($G$11-$F$11))))</f>
        <v>0.122194749382855</v>
      </c>
      <c r="H571" s="53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-2360612887.22503</v>
      </c>
      <c r="I571" s="53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-53949018.6088977</v>
      </c>
      <c r="J571" s="53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188888711.468089</v>
      </c>
      <c r="K571" s="53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490741763.725702</v>
      </c>
      <c r="L571" s="53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603012555.367427</v>
      </c>
      <c r="M571" s="53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775299404.255774</v>
      </c>
      <c r="N571" s="53" t="n">
        <f aca="false">IF(COUNT('Business Case'!B11:G11)=0,"",H571+NPV(G571,I571:M571))</f>
        <v>-1095563387.37741</v>
      </c>
      <c r="P571" s="54" t="n">
        <f aca="true">RAND()</f>
        <v>0.361017639749998</v>
      </c>
      <c r="Q571" s="54" t="n">
        <f aca="true">RAND()</f>
        <v>0.395197684059086</v>
      </c>
      <c r="R571" s="54" t="n">
        <f aca="true">RAND()</f>
        <v>0.821164581211309</v>
      </c>
      <c r="S571" s="54" t="n">
        <f aca="true">RAND()</f>
        <v>0.0283961858950478</v>
      </c>
      <c r="T571" s="54" t="n">
        <f aca="true">RAND()</f>
        <v>0.935237442640855</v>
      </c>
      <c r="U571" s="54" t="n">
        <f aca="true">RAND()</f>
        <v>0.959385375202377</v>
      </c>
    </row>
    <row r="572" customFormat="false" ht="15" hidden="false" customHeight="false" outlineLevel="0" collapsed="false">
      <c r="A572" s="50" t="n">
        <v>492</v>
      </c>
      <c r="B572" s="51" t="n">
        <f aca="false">1+IF($G$6=$E$6,$F$6,IF(P572&lt;($F$6-$E$6)/($G$6-$E$6),$E$6+SQRT(P572*($G$6-$E$6)*($F$6-$E$6)),$G$6-SQRT((1-P572)*($G$6-$E$6)*($G$6-$F$6))))</f>
        <v>1.03315380662584</v>
      </c>
      <c r="C572" s="51" t="n">
        <f aca="false">1+IF($G$7=$E$7,$F$7,IF(Q572&lt;($F$7-$E$7)/($G$7-$E$7),$E$7+SQRT(Q572*($G$7-$E$7)*($F$7-$E$7)),$G$7-SQRT((1-Q572)*($G$7-$E$7)*($G$7-$F$7))))</f>
        <v>0.772461428622085</v>
      </c>
      <c r="D572" s="51" t="n">
        <f aca="false">1+IF($G$8=$E$8,$F$8,IF(R572&lt;($F$8-$E$8)/($G$8-$E$8),$E$8+SQRT(R572*($G$8-$E$8)*($F$8-$E$8)),$G$8-SQRT((1-R572)*($G$8-$E$8)*($G$8-$F$8))))</f>
        <v>1.04067511961173</v>
      </c>
      <c r="E572" s="51" t="n">
        <f aca="false">1+IF($G$9=$E$9,$F$9,IF(S572&lt;($F$9-$E$9)/($G$9-$E$9),$E$9+SQRT(S572*($G$9-$E$9)*($F$9-$E$9)),$G$9-SQRT((1-S572)*($G$9-$E$9)*($G$9-$F$9))))</f>
        <v>1.11126751848658</v>
      </c>
      <c r="F572" s="51" t="n">
        <f aca="false">1+IF($G$10=$E$10,$F$10,IF(T572&lt;($F$10-$E$10)/($G$10-$E$10),$E$10+SQRT(T572*($G$10-$E$10)*($F$10-$E$10)),$G$10-SQRT((1-T572)*($G$10-$E$10)*($G$10-$F$10))))</f>
        <v>1.07465762518759</v>
      </c>
      <c r="G572" s="52" t="n">
        <f aca="false">IF($G$11=$E$11,$F$11,IF(U572&lt;($F$11-$E$11)/($G$11-$E$11),$E$11+SQRT(U572*($G$11-$E$11)*($F$11-$E$11)),$G$11-SQRT((1-U572)*($G$11-$E$11)*($G$11-$F$11))))</f>
        <v>0.108415643248799</v>
      </c>
      <c r="H572" s="53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-2149315250.37517</v>
      </c>
      <c r="I572" s="53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-64704998.0431879</v>
      </c>
      <c r="J572" s="53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177450032.330234</v>
      </c>
      <c r="K572" s="53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473337943.963035</v>
      </c>
      <c r="L572" s="53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581637637.266882</v>
      </c>
      <c r="M572" s="53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733335061.4201</v>
      </c>
      <c r="N572" s="53" t="n">
        <f aca="false">IF(COUNT('Business Case'!B11:G11)=0,"",H572+NPV(G572,I572:M572))</f>
        <v>-892014051.661438</v>
      </c>
      <c r="P572" s="54" t="n">
        <f aca="true">RAND()</f>
        <v>0.962160769173367</v>
      </c>
      <c r="Q572" s="54" t="n">
        <f aca="true">RAND()</f>
        <v>0.0388937676885442</v>
      </c>
      <c r="R572" s="54" t="n">
        <f aca="true">RAND()</f>
        <v>0.765370571127843</v>
      </c>
      <c r="S572" s="54" t="n">
        <f aca="true">RAND()</f>
        <v>0.959994530021665</v>
      </c>
      <c r="T572" s="54" t="n">
        <f aca="true">RAND()</f>
        <v>0.590067354601906</v>
      </c>
      <c r="U572" s="54" t="n">
        <f aca="true">RAND()</f>
        <v>0.689410362424587</v>
      </c>
    </row>
    <row r="573" customFormat="false" ht="15" hidden="false" customHeight="false" outlineLevel="0" collapsed="false">
      <c r="A573" s="50" t="n">
        <v>493</v>
      </c>
      <c r="B573" s="51" t="n">
        <f aca="false">1+IF($G$6=$E$6,$F$6,IF(P573&lt;($F$6-$E$6)/($G$6-$E$6),$E$6+SQRT(P573*($G$6-$E$6)*($F$6-$E$6)),$G$6-SQRT((1-P573)*($G$6-$E$6)*($G$6-$F$6))))</f>
        <v>0.919622684787127</v>
      </c>
      <c r="C573" s="51" t="n">
        <f aca="false">1+IF($G$7=$E$7,$F$7,IF(Q573&lt;($F$7-$E$7)/($G$7-$E$7),$E$7+SQRT(Q573*($G$7-$E$7)*($F$7-$E$7)),$G$7-SQRT((1-Q573)*($G$7-$E$7)*($G$7-$F$7))))</f>
        <v>0.999253854396173</v>
      </c>
      <c r="D573" s="51" t="n">
        <f aca="false">1+IF($G$8=$E$8,$F$8,IF(R573&lt;($F$8-$E$8)/($G$8-$E$8),$E$8+SQRT(R573*($G$8-$E$8)*($F$8-$E$8)),$G$8-SQRT((1-R573)*($G$8-$E$8)*($G$8-$F$8))))</f>
        <v>0.989023247291002</v>
      </c>
      <c r="E573" s="51" t="n">
        <f aca="false">1+IF($G$9=$E$9,$F$9,IF(S573&lt;($F$9-$E$9)/($G$9-$E$9),$E$9+SQRT(S573*($G$9-$E$9)*($F$9-$E$9)),$G$9-SQRT((1-S573)*($G$9-$E$9)*($G$9-$F$9))))</f>
        <v>1.11928874714781</v>
      </c>
      <c r="F573" s="51" t="n">
        <f aca="false">1+IF($G$10=$E$10,$F$10,IF(T573&lt;($F$10-$E$10)/($G$10-$E$10),$E$10+SQRT(T573*($G$10-$E$10)*($F$10-$E$10)),$G$10-SQRT((1-T573)*($G$10-$E$10)*($G$10-$F$10))))</f>
        <v>1.03885152005433</v>
      </c>
      <c r="G573" s="52" t="n">
        <f aca="false">IF($G$11=$E$11,$F$11,IF(U573&lt;($F$11-$E$11)/($G$11-$E$11),$E$11+SQRT(U573*($G$11-$E$11)*($F$11-$E$11)),$G$11-SQRT((1-U573)*($G$11-$E$11)*($G$11-$F$11))))</f>
        <v>0.108787945707731</v>
      </c>
      <c r="H573" s="53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-2077703040.10866</v>
      </c>
      <c r="I573" s="53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-63933520.2474658</v>
      </c>
      <c r="J573" s="53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182818640.155853</v>
      </c>
      <c r="K573" s="53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481513376.561888</v>
      </c>
      <c r="L573" s="53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595522542.563617</v>
      </c>
      <c r="M573" s="53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770193994.833708</v>
      </c>
      <c r="N573" s="53" t="n">
        <f aca="false">IF(COUNT('Business Case'!B11:G11)=0,"",H573+NPV(G573,I573:M573))</f>
        <v>-779841598.263341</v>
      </c>
      <c r="P573" s="54" t="n">
        <f aca="true">RAND()</f>
        <v>0.0256699838836633</v>
      </c>
      <c r="Q573" s="54" t="n">
        <f aca="true">RAND()</f>
        <v>0.663354587933079</v>
      </c>
      <c r="R573" s="54" t="n">
        <f aca="true">RAND()</f>
        <v>0.203041843884623</v>
      </c>
      <c r="S573" s="54" t="n">
        <f aca="true">RAND()</f>
        <v>0.974848505286628</v>
      </c>
      <c r="T573" s="54" t="n">
        <f aca="true">RAND()</f>
        <v>0.405550925555104</v>
      </c>
      <c r="U573" s="54" t="n">
        <f aca="true">RAND()</f>
        <v>0.700032501801223</v>
      </c>
    </row>
    <row r="574" customFormat="false" ht="15" hidden="false" customHeight="false" outlineLevel="0" collapsed="false">
      <c r="A574" s="50" t="n">
        <v>494</v>
      </c>
      <c r="B574" s="51" t="n">
        <f aca="false">1+IF($G$6=$E$6,$F$6,IF(P574&lt;($F$6-$E$6)/($G$6-$E$6),$E$6+SQRT(P574*($G$6-$E$6)*($F$6-$E$6)),$G$6-SQRT((1-P574)*($G$6-$E$6)*($G$6-$F$6))))</f>
        <v>0.948413227260599</v>
      </c>
      <c r="C574" s="51" t="n">
        <f aca="false">1+IF($G$7=$E$7,$F$7,IF(Q574&lt;($F$7-$E$7)/($G$7-$E$7),$E$7+SQRT(Q574*($G$7-$E$7)*($F$7-$E$7)),$G$7-SQRT((1-Q574)*($G$7-$E$7)*($G$7-$F$7))))</f>
        <v>1.03960209342141</v>
      </c>
      <c r="D574" s="51" t="n">
        <f aca="false">1+IF($G$8=$E$8,$F$8,IF(R574&lt;($F$8-$E$8)/($G$8-$E$8),$E$8+SQRT(R574*($G$8-$E$8)*($F$8-$E$8)),$G$8-SQRT((1-R574)*($G$8-$E$8)*($G$8-$F$8))))</f>
        <v>1.03690086497804</v>
      </c>
      <c r="E574" s="51" t="n">
        <f aca="false">1+IF($G$9=$E$9,$F$9,IF(S574&lt;($F$9-$E$9)/($G$9-$E$9),$E$9+SQRT(S574*($G$9-$E$9)*($F$9-$E$9)),$G$9-SQRT((1-S574)*($G$9-$E$9)*($G$9-$F$9))))</f>
        <v>0.947870752784224</v>
      </c>
      <c r="F574" s="51" t="n">
        <f aca="false">1+IF($G$10=$E$10,$F$10,IF(T574&lt;($F$10-$E$10)/($G$10-$E$10),$E$10+SQRT(T574*($G$10-$E$10)*($F$10-$E$10)),$G$10-SQRT((1-T574)*($G$10-$E$10)*($G$10-$F$10))))</f>
        <v>1.16678596797567</v>
      </c>
      <c r="G574" s="52" t="n">
        <f aca="false">IF($G$11=$E$11,$F$11,IF(U574&lt;($F$11-$E$11)/($G$11-$E$11),$E$11+SQRT(U574*($G$11-$E$11)*($F$11-$E$11)),$G$11-SQRT((1-U574)*($G$11-$E$11)*($G$11-$F$11))))</f>
        <v>0.0886628001689761</v>
      </c>
      <c r="H574" s="53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-2333571935.95135</v>
      </c>
      <c r="I574" s="53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-46827749.0101701</v>
      </c>
      <c r="J574" s="53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208923127.820317</v>
      </c>
      <c r="K574" s="53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523013303.049588</v>
      </c>
      <c r="L574" s="53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642338800.657866</v>
      </c>
      <c r="M574" s="53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829752429.980834</v>
      </c>
      <c r="N574" s="53" t="n">
        <f aca="false">IF(COUNT('Business Case'!B11:G11)=0,"",H574+NPV(G574,I574:M574))</f>
        <v>-795063884.945216</v>
      </c>
      <c r="P574" s="54" t="n">
        <f aca="true">RAND()</f>
        <v>0.15625603825243</v>
      </c>
      <c r="Q574" s="54" t="n">
        <f aca="true">RAND()</f>
        <v>0.81944151441579</v>
      </c>
      <c r="R574" s="54" t="n">
        <f aca="true">RAND()</f>
        <v>0.73456661063199</v>
      </c>
      <c r="S574" s="54" t="n">
        <f aca="true">RAND()</f>
        <v>0.0916643588851323</v>
      </c>
      <c r="T574" s="54" t="n">
        <f aca="true">RAND()</f>
        <v>0.907672331656728</v>
      </c>
      <c r="U574" s="54" t="n">
        <f aca="true">RAND()</f>
        <v>0.075044106767613</v>
      </c>
    </row>
    <row r="575" customFormat="false" ht="15" hidden="false" customHeight="false" outlineLevel="0" collapsed="false">
      <c r="A575" s="50" t="n">
        <v>495</v>
      </c>
      <c r="B575" s="51" t="n">
        <f aca="false">1+IF($G$6=$E$6,$F$6,IF(P575&lt;($F$6-$E$6)/($G$6-$E$6),$E$6+SQRT(P575*($G$6-$E$6)*($F$6-$E$6)),$G$6-SQRT((1-P575)*($G$6-$E$6)*($G$6-$F$6))))</f>
        <v>0.982434402157521</v>
      </c>
      <c r="C575" s="51" t="n">
        <f aca="false">1+IF($G$7=$E$7,$F$7,IF(Q575&lt;($F$7-$E$7)/($G$7-$E$7),$E$7+SQRT(Q575*($G$7-$E$7)*($F$7-$E$7)),$G$7-SQRT((1-Q575)*($G$7-$E$7)*($G$7-$F$7))))</f>
        <v>0.882513889725136</v>
      </c>
      <c r="D575" s="51" t="n">
        <f aca="false">1+IF($G$8=$E$8,$F$8,IF(R575&lt;($F$8-$E$8)/($G$8-$E$8),$E$8+SQRT(R575*($G$8-$E$8)*($F$8-$E$8)),$G$8-SQRT((1-R575)*($G$8-$E$8)*($G$8-$F$8))))</f>
        <v>1.03111791564216</v>
      </c>
      <c r="E575" s="51" t="n">
        <f aca="false">1+IF($G$9=$E$9,$F$9,IF(S575&lt;($F$9-$E$9)/($G$9-$E$9),$E$9+SQRT(S575*($G$9-$E$9)*($F$9-$E$9)),$G$9-SQRT((1-S575)*($G$9-$E$9)*($G$9-$F$9))))</f>
        <v>0.969137853377755</v>
      </c>
      <c r="F575" s="51" t="n">
        <f aca="false">1+IF($G$10=$E$10,$F$10,IF(T575&lt;($F$10-$E$10)/($G$10-$E$10),$E$10+SQRT(T575*($G$10-$E$10)*($F$10-$E$10)),$G$10-SQRT((1-T575)*($G$10-$E$10)*($G$10-$F$10))))</f>
        <v>1.06166028825704</v>
      </c>
      <c r="G575" s="52" t="n">
        <f aca="false">IF($G$11=$E$11,$F$11,IF(U575&lt;($F$11-$E$11)/($G$11-$E$11),$E$11+SQRT(U575*($G$11-$E$11)*($F$11-$E$11)),$G$11-SQRT((1-U575)*($G$11-$E$11)*($G$11-$F$11))))</f>
        <v>0.124589468531898</v>
      </c>
      <c r="H575" s="53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-2123320576.51407</v>
      </c>
      <c r="I575" s="53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-44612930.2275334</v>
      </c>
      <c r="J575" s="53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199697473.493737</v>
      </c>
      <c r="K575" s="53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497090891.627859</v>
      </c>
      <c r="L575" s="53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608491627.783471</v>
      </c>
      <c r="M575" s="53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773293269.817009</v>
      </c>
      <c r="N575" s="53" t="n">
        <f aca="false">IF(COUNT('Business Case'!B11:G11)=0,"",H575+NPV(G575,I575:M575))</f>
        <v>-845244823.500862</v>
      </c>
      <c r="P575" s="54" t="n">
        <f aca="true">RAND()</f>
        <v>0.453028710604532</v>
      </c>
      <c r="Q575" s="54" t="n">
        <f aca="true">RAND()</f>
        <v>0.246750518093327</v>
      </c>
      <c r="R575" s="54" t="n">
        <f aca="true">RAND()</f>
        <v>0.683683896967979</v>
      </c>
      <c r="S575" s="54" t="n">
        <f aca="true">RAND()</f>
        <v>0.19120171078736</v>
      </c>
      <c r="T575" s="54" t="n">
        <f aca="true">RAND()</f>
        <v>0.527042039741036</v>
      </c>
      <c r="U575" s="54" t="n">
        <f aca="true">RAND()</f>
        <v>0.980484099488454</v>
      </c>
    </row>
    <row r="576" customFormat="false" ht="15" hidden="false" customHeight="false" outlineLevel="0" collapsed="false">
      <c r="A576" s="50" t="n">
        <v>496</v>
      </c>
      <c r="B576" s="51" t="n">
        <f aca="false">1+IF($G$6=$E$6,$F$6,IF(P576&lt;($F$6-$E$6)/($G$6-$E$6),$E$6+SQRT(P576*($G$6-$E$6)*($F$6-$E$6)),$G$6-SQRT((1-P576)*($G$6-$E$6)*($G$6-$F$6))))</f>
        <v>0.994732745631298</v>
      </c>
      <c r="C576" s="51" t="n">
        <f aca="false">1+IF($G$7=$E$7,$F$7,IF(Q576&lt;($F$7-$E$7)/($G$7-$E$7),$E$7+SQRT(Q576*($G$7-$E$7)*($F$7-$E$7)),$G$7-SQRT((1-Q576)*($G$7-$E$7)*($G$7-$F$7))))</f>
        <v>0.890966896525</v>
      </c>
      <c r="D576" s="51" t="n">
        <f aca="false">1+IF($G$8=$E$8,$F$8,IF(R576&lt;($F$8-$E$8)/($G$8-$E$8),$E$8+SQRT(R576*($G$8-$E$8)*($F$8-$E$8)),$G$8-SQRT((1-R576)*($G$8-$E$8)*($G$8-$F$8))))</f>
        <v>0.965877943521676</v>
      </c>
      <c r="E576" s="51" t="n">
        <f aca="false">1+IF($G$9=$E$9,$F$9,IF(S576&lt;($F$9-$E$9)/($G$9-$E$9),$E$9+SQRT(S576*($G$9-$E$9)*($F$9-$E$9)),$G$9-SQRT((1-S576)*($G$9-$E$9)*($G$9-$F$9))))</f>
        <v>0.991751793232741</v>
      </c>
      <c r="F576" s="51" t="n">
        <f aca="false">1+IF($G$10=$E$10,$F$10,IF(T576&lt;($F$10-$E$10)/($G$10-$E$10),$E$10+SQRT(T576*($G$10-$E$10)*($F$10-$E$10)),$G$10-SQRT((1-T576)*($G$10-$E$10)*($G$10-$F$10))))</f>
        <v>1.01966401548872</v>
      </c>
      <c r="G576" s="52" t="n">
        <f aca="false">IF($G$11=$E$11,$F$11,IF(U576&lt;($F$11-$E$11)/($G$11-$E$11),$E$11+SQRT(U576*($G$11-$E$11)*($F$11-$E$11)),$G$11-SQRT((1-U576)*($G$11-$E$11)*($G$11-$F$11))))</f>
        <v>0.0951933338959953</v>
      </c>
      <c r="H576" s="53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-2039328030.97743</v>
      </c>
      <c r="I576" s="53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-3556348.39639172</v>
      </c>
      <c r="J576" s="53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281825251.179064</v>
      </c>
      <c r="K576" s="53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618190051.528955</v>
      </c>
      <c r="L576" s="53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743946879.004294</v>
      </c>
      <c r="M576" s="53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912409830.896986</v>
      </c>
      <c r="N576" s="53" t="n">
        <f aca="false">IF(COUNT('Business Case'!B11:G11)=0,"",H576+NPV(G576,I576:M576))</f>
        <v>-240833767.068428</v>
      </c>
      <c r="P576" s="54" t="n">
        <f aca="true">RAND()</f>
        <v>0.598286206322944</v>
      </c>
      <c r="Q576" s="54" t="n">
        <f aca="true">RAND()</f>
        <v>0.27013596717326</v>
      </c>
      <c r="R576" s="54" t="n">
        <f aca="true">RAND()</f>
        <v>0.0336145453970061</v>
      </c>
      <c r="S576" s="54" t="n">
        <f aca="true">RAND()</f>
        <v>0.336735662456945</v>
      </c>
      <c r="T576" s="54" t="n">
        <f aca="true">RAND()</f>
        <v>0.292604456522903</v>
      </c>
      <c r="U576" s="54" t="n">
        <f aca="true">RAND()</f>
        <v>0.230837394875199</v>
      </c>
    </row>
    <row r="577" customFormat="false" ht="15" hidden="false" customHeight="false" outlineLevel="0" collapsed="false">
      <c r="A577" s="50" t="n">
        <v>497</v>
      </c>
      <c r="B577" s="51" t="n">
        <f aca="false">1+IF($G$6=$E$6,$F$6,IF(P577&lt;($F$6-$E$6)/($G$6-$E$6),$E$6+SQRT(P577*($G$6-$E$6)*($F$6-$E$6)),$G$6-SQRT((1-P577)*($G$6-$E$6)*($G$6-$F$6))))</f>
        <v>1.00995428139041</v>
      </c>
      <c r="C577" s="51" t="n">
        <f aca="false">1+IF($G$7=$E$7,$F$7,IF(Q577&lt;($F$7-$E$7)/($G$7-$E$7),$E$7+SQRT(Q577*($G$7-$E$7)*($F$7-$E$7)),$G$7-SQRT((1-Q577)*($G$7-$E$7)*($G$7-$F$7))))</f>
        <v>1.00635861935896</v>
      </c>
      <c r="D577" s="51" t="n">
        <f aca="false">1+IF($G$8=$E$8,$F$8,IF(R577&lt;($F$8-$E$8)/($G$8-$E$8),$E$8+SQRT(R577*($G$8-$E$8)*($F$8-$E$8)),$G$8-SQRT((1-R577)*($G$8-$E$8)*($G$8-$F$8))))</f>
        <v>1.06367771803885</v>
      </c>
      <c r="E577" s="51" t="n">
        <f aca="false">1+IF($G$9=$E$9,$F$9,IF(S577&lt;($F$9-$E$9)/($G$9-$E$9),$E$9+SQRT(S577*($G$9-$E$9)*($F$9-$E$9)),$G$9-SQRT((1-S577)*($G$9-$E$9)*($G$9-$F$9))))</f>
        <v>0.989526611814566</v>
      </c>
      <c r="F577" s="51" t="n">
        <f aca="false">1+IF($G$10=$E$10,$F$10,IF(T577&lt;($F$10-$E$10)/($G$10-$E$10),$E$10+SQRT(T577*($G$10-$E$10)*($F$10-$E$10)),$G$10-SQRT((1-T577)*($G$10-$E$10)*($G$10-$F$10))))</f>
        <v>1.19321712599814</v>
      </c>
      <c r="G577" s="52" t="n">
        <f aca="false">IF($G$11=$E$11,$F$11,IF(U577&lt;($F$11-$E$11)/($G$11-$E$11),$E$11+SQRT(U577*($G$11-$E$11)*($F$11-$E$11)),$G$11-SQRT((1-U577)*($G$11-$E$11)*($G$11-$F$11))))</f>
        <v>0.0850832629565287</v>
      </c>
      <c r="H577" s="53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-2386434251.99629</v>
      </c>
      <c r="I577" s="53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-28216334.4717966</v>
      </c>
      <c r="J577" s="53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256288669.869112</v>
      </c>
      <c r="K577" s="53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600454530.509928</v>
      </c>
      <c r="L577" s="53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730415493.298804</v>
      </c>
      <c r="M577" s="53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923608280.679289</v>
      </c>
      <c r="N577" s="53" t="n">
        <f aca="false">IF(COUNT('Business Case'!B11:G11)=0,"",H577+NPV(G577,I577:M577))</f>
        <v>-583880119.784952</v>
      </c>
      <c r="P577" s="54" t="n">
        <f aca="true">RAND()</f>
        <v>0.786178722805487</v>
      </c>
      <c r="Q577" s="54" t="n">
        <f aca="true">RAND()</f>
        <v>0.694328203963491</v>
      </c>
      <c r="R577" s="54" t="n">
        <f aca="true">RAND()</f>
        <v>0.912046122208986</v>
      </c>
      <c r="S577" s="54" t="n">
        <f aca="true">RAND()</f>
        <v>0.320600568919838</v>
      </c>
      <c r="T577" s="54" t="n">
        <f aca="true">RAND()</f>
        <v>0.957009402934525</v>
      </c>
      <c r="U577" s="54" t="n">
        <f aca="true">RAND()</f>
        <v>0.0258395622852173</v>
      </c>
    </row>
    <row r="578" customFormat="false" ht="15" hidden="false" customHeight="false" outlineLevel="0" collapsed="false">
      <c r="A578" s="50" t="n">
        <v>498</v>
      </c>
      <c r="B578" s="51" t="n">
        <f aca="false">1+IF($G$6=$E$6,$F$6,IF(P578&lt;($F$6-$E$6)/($G$6-$E$6),$E$6+SQRT(P578*($G$6-$E$6)*($F$6-$E$6)),$G$6-SQRT((1-P578)*($G$6-$E$6)*($G$6-$F$6))))</f>
        <v>0.987275733933925</v>
      </c>
      <c r="C578" s="51" t="n">
        <f aca="false">1+IF($G$7=$E$7,$F$7,IF(Q578&lt;($F$7-$E$7)/($G$7-$E$7),$E$7+SQRT(Q578*($G$7-$E$7)*($F$7-$E$7)),$G$7-SQRT((1-Q578)*($G$7-$E$7)*($G$7-$F$7))))</f>
        <v>0.913537211141917</v>
      </c>
      <c r="D578" s="51" t="n">
        <f aca="false">1+IF($G$8=$E$8,$F$8,IF(R578&lt;($F$8-$E$8)/($G$8-$E$8),$E$8+SQRT(R578*($G$8-$E$8)*($F$8-$E$8)),$G$8-SQRT((1-R578)*($G$8-$E$8)*($G$8-$F$8))))</f>
        <v>1.04037469104304</v>
      </c>
      <c r="E578" s="51" t="n">
        <f aca="false">1+IF($G$9=$E$9,$F$9,IF(S578&lt;($F$9-$E$9)/($G$9-$E$9),$E$9+SQRT(S578*($G$9-$E$9)*($F$9-$E$9)),$G$9-SQRT((1-S578)*($G$9-$E$9)*($G$9-$F$9))))</f>
        <v>1.04027756751021</v>
      </c>
      <c r="F578" s="51" t="n">
        <f aca="false">1+IF($G$10=$E$10,$F$10,IF(T578&lt;($F$10-$E$10)/($G$10-$E$10),$E$10+SQRT(T578*($G$10-$E$10)*($F$10-$E$10)),$G$10-SQRT((1-T578)*($G$10-$E$10)*($G$10-$F$10))))</f>
        <v>1.07216459764667</v>
      </c>
      <c r="G578" s="52" t="n">
        <f aca="false">IF($G$11=$E$11,$F$11,IF(U578&lt;($F$11-$E$11)/($G$11-$E$11),$E$11+SQRT(U578*($G$11-$E$11)*($F$11-$E$11)),$G$11-SQRT((1-U578)*($G$11-$E$11)*($G$11-$F$11))))</f>
        <v>0.106229700695286</v>
      </c>
      <c r="H578" s="53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-2144329195.29334</v>
      </c>
      <c r="I578" s="53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-49706837.6608892</v>
      </c>
      <c r="J578" s="53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202485430.71506</v>
      </c>
      <c r="K578" s="53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508285928.973342</v>
      </c>
      <c r="L578" s="53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623520135.880138</v>
      </c>
      <c r="M578" s="53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794955781.844943</v>
      </c>
      <c r="N578" s="53" t="n">
        <f aca="false">IF(COUNT('Business Case'!B11:G11)=0,"",H578+NPV(G578,I578:M578))</f>
        <v>-752109313.22512</v>
      </c>
      <c r="P578" s="54" t="n">
        <f aca="true">RAND()</f>
        <v>0.507803582247015</v>
      </c>
      <c r="Q578" s="54" t="n">
        <f aca="true">RAND()</f>
        <v>0.337764004016797</v>
      </c>
      <c r="R578" s="54" t="n">
        <f aca="true">RAND()</f>
        <v>0.762988168785815</v>
      </c>
      <c r="S578" s="54" t="n">
        <f aca="true">RAND()</f>
        <v>0.678959674893937</v>
      </c>
      <c r="T578" s="54" t="n">
        <f aca="true">RAND()</f>
        <v>0.578327595597724</v>
      </c>
      <c r="U578" s="54" t="n">
        <f aca="true">RAND()</f>
        <v>0.623315247309536</v>
      </c>
    </row>
    <row r="579" customFormat="false" ht="15" hidden="false" customHeight="false" outlineLevel="0" collapsed="false">
      <c r="A579" s="50" t="n">
        <v>499</v>
      </c>
      <c r="B579" s="51" t="n">
        <f aca="false">1+IF($G$6=$E$6,$F$6,IF(P579&lt;($F$6-$E$6)/($G$6-$E$6),$E$6+SQRT(P579*($G$6-$E$6)*($F$6-$E$6)),$G$6-SQRT((1-P579)*($G$6-$E$6)*($G$6-$F$6))))</f>
        <v>0.999832989582027</v>
      </c>
      <c r="C579" s="51" t="n">
        <f aca="false">1+IF($G$7=$E$7,$F$7,IF(Q579&lt;($F$7-$E$7)/($G$7-$E$7),$E$7+SQRT(Q579*($G$7-$E$7)*($F$7-$E$7)),$G$7-SQRT((1-Q579)*($G$7-$E$7)*($G$7-$F$7))))</f>
        <v>1.11462947491997</v>
      </c>
      <c r="D579" s="51" t="n">
        <f aca="false">1+IF($G$8=$E$8,$F$8,IF(R579&lt;($F$8-$E$8)/($G$8-$E$8),$E$8+SQRT(R579*($G$8-$E$8)*($F$8-$E$8)),$G$8-SQRT((1-R579)*($G$8-$E$8)*($G$8-$F$8))))</f>
        <v>0.984432311892581</v>
      </c>
      <c r="E579" s="51" t="n">
        <f aca="false">1+IF($G$9=$E$9,$F$9,IF(S579&lt;($F$9-$E$9)/($G$9-$E$9),$E$9+SQRT(S579*($G$9-$E$9)*($F$9-$E$9)),$G$9-SQRT((1-S579)*($G$9-$E$9)*($G$9-$F$9))))</f>
        <v>1.07753284902986</v>
      </c>
      <c r="F579" s="51" t="n">
        <f aca="false">1+IF($G$10=$E$10,$F$10,IF(T579&lt;($F$10-$E$10)/($G$10-$E$10),$E$10+SQRT(T579*($G$10-$E$10)*($F$10-$E$10)),$G$10-SQRT((1-T579)*($G$10-$E$10)*($G$10-$F$10))))</f>
        <v>1.16429562601572</v>
      </c>
      <c r="G579" s="52" t="n">
        <f aca="false">IF($G$11=$E$11,$F$11,IF(U579&lt;($F$11-$E$11)/($G$11-$E$11),$E$11+SQRT(U579*($G$11-$E$11)*($F$11-$E$11)),$G$11-SQRT((1-U579)*($G$11-$E$11)*($G$11-$F$11))))</f>
        <v>0.0944136363790918</v>
      </c>
      <c r="H579" s="53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-2328591252.03144</v>
      </c>
      <c r="I579" s="53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23663663.1802708</v>
      </c>
      <c r="J579" s="53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374754801.812575</v>
      </c>
      <c r="K579" s="53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784060721.745665</v>
      </c>
      <c r="L579" s="53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939606262.435376</v>
      </c>
      <c r="M579" s="53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1151439648.73623</v>
      </c>
      <c r="N579" s="53" t="n">
        <f aca="false">IF(COUNT('Business Case'!B11:G11)=0,"",H579+NPV(G579,I579:M579))</f>
        <v>-7585556.82146502</v>
      </c>
      <c r="P579" s="54" t="n">
        <f aca="true">RAND()</f>
        <v>0.664441720592343</v>
      </c>
      <c r="Q579" s="54" t="n">
        <f aca="true">RAND()</f>
        <v>0.981465569712046</v>
      </c>
      <c r="R579" s="54" t="n">
        <f aca="true">RAND()</f>
        <v>0.158077880302401</v>
      </c>
      <c r="S579" s="54" t="n">
        <f aca="true">RAND()</f>
        <v>0.859960320807222</v>
      </c>
      <c r="T579" s="54" t="n">
        <f aca="true">RAND()</f>
        <v>0.902063470399499</v>
      </c>
      <c r="U579" s="54" t="n">
        <f aca="true">RAND()</f>
        <v>0.207752913668678</v>
      </c>
    </row>
    <row r="580" customFormat="false" ht="15" hidden="false" customHeight="false" outlineLevel="0" collapsed="false">
      <c r="A580" s="50" t="n">
        <v>500</v>
      </c>
      <c r="B580" s="51" t="n">
        <f aca="false">1+IF($G$6=$E$6,$F$6,IF(P580&lt;($F$6-$E$6)/($G$6-$E$6),$E$6+SQRT(P580*($G$6-$E$6)*($F$6-$E$6)),$G$6-SQRT((1-P580)*($G$6-$E$6)*($G$6-$F$6))))</f>
        <v>0.941300090839277</v>
      </c>
      <c r="C580" s="51" t="n">
        <f aca="false">1+IF($G$7=$E$7,$F$7,IF(Q580&lt;($F$7-$E$7)/($G$7-$E$7),$E$7+SQRT(Q580*($G$7-$E$7)*($F$7-$E$7)),$G$7-SQRT((1-Q580)*($G$7-$E$7)*($G$7-$F$7))))</f>
        <v>0.74569621308511</v>
      </c>
      <c r="D580" s="51" t="n">
        <f aca="false">1+IF($G$8=$E$8,$F$8,IF(R580&lt;($F$8-$E$8)/($G$8-$E$8),$E$8+SQRT(R580*($G$8-$E$8)*($F$8-$E$8)),$G$8-SQRT((1-R580)*($G$8-$E$8)*($G$8-$F$8))))</f>
        <v>0.973768699465394</v>
      </c>
      <c r="E580" s="51" t="n">
        <f aca="false">1+IF($G$9=$E$9,$F$9,IF(S580&lt;($F$9-$E$9)/($G$9-$E$9),$E$9+SQRT(S580*($G$9-$E$9)*($F$9-$E$9)),$G$9-SQRT((1-S580)*($G$9-$E$9)*($G$9-$F$9))))</f>
        <v>1.05782196646168</v>
      </c>
      <c r="F580" s="51" t="n">
        <f aca="false">1+IF($G$10=$E$10,$F$10,IF(T580&lt;($F$10-$E$10)/($G$10-$E$10),$E$10+SQRT(T580*($G$10-$E$10)*($F$10-$E$10)),$G$10-SQRT((1-T580)*($G$10-$E$10)*($G$10-$F$10))))</f>
        <v>1.16639854637182</v>
      </c>
      <c r="G580" s="52" t="n">
        <f aca="false">IF($G$11=$E$11,$F$11,IF(U580&lt;($F$11-$E$11)/($G$11-$E$11),$E$11+SQRT(U580*($G$11-$E$11)*($F$11-$E$11)),$G$11-SQRT((1-U580)*($G$11-$E$11)*($G$11-$F$11))))</f>
        <v>0.116903316072861</v>
      </c>
      <c r="H580" s="53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-2332797092.74365</v>
      </c>
      <c r="I580" s="53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-100247003.095482</v>
      </c>
      <c r="J580" s="53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102955867.732977</v>
      </c>
      <c r="K580" s="53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364478665.880027</v>
      </c>
      <c r="L580" s="53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456471446.593453</v>
      </c>
      <c r="M580" s="53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589893143.99845</v>
      </c>
      <c r="N580" s="53" t="n">
        <f aca="false">IF(COUNT('Business Case'!B11:G11)=0,"",H580+NPV(G580,I580:M580))</f>
        <v>-1445713731.02589</v>
      </c>
      <c r="P580" s="54" t="n">
        <f aca="true">RAND()</f>
        <v>0.113713166888836</v>
      </c>
      <c r="Q580" s="54" t="n">
        <f aca="true">RAND()</f>
        <v>0.0154677325208871</v>
      </c>
      <c r="R580" s="54" t="n">
        <f aca="true">RAND()</f>
        <v>0.0753268099034926</v>
      </c>
      <c r="S580" s="54" t="n">
        <f aca="true">RAND()</f>
        <v>0.773418936880213</v>
      </c>
      <c r="T580" s="54" t="n">
        <f aca="true">RAND()</f>
        <v>0.906810626016743</v>
      </c>
      <c r="U580" s="54" t="n">
        <f aca="true">RAND()</f>
        <v>0.885651246741749</v>
      </c>
    </row>
    <row r="581" customFormat="false" ht="15" hidden="false" customHeight="false" outlineLevel="0" collapsed="false">
      <c r="A581" s="50" t="n">
        <v>501</v>
      </c>
      <c r="B581" s="51" t="n">
        <f aca="false">1+IF($G$6=$E$6,$F$6,IF(P581&lt;($F$6-$E$6)/($G$6-$E$6),$E$6+SQRT(P581*($G$6-$E$6)*($F$6-$E$6)),$G$6-SQRT((1-P581)*($G$6-$E$6)*($G$6-$F$6))))</f>
        <v>1.02211872653881</v>
      </c>
      <c r="C581" s="51" t="n">
        <f aca="false">1+IF($G$7=$E$7,$F$7,IF(Q581&lt;($F$7-$E$7)/($G$7-$E$7),$E$7+SQRT(Q581*($G$7-$E$7)*($F$7-$E$7)),$G$7-SQRT((1-Q581)*($G$7-$E$7)*($G$7-$F$7))))</f>
        <v>0.836472190237529</v>
      </c>
      <c r="D581" s="51" t="n">
        <f aca="false">1+IF($G$8=$E$8,$F$8,IF(R581&lt;($F$8-$E$8)/($G$8-$E$8),$E$8+SQRT(R581*($G$8-$E$8)*($F$8-$E$8)),$G$8-SQRT((1-R581)*($G$8-$E$8)*($G$8-$F$8))))</f>
        <v>1.07879561680568</v>
      </c>
      <c r="E581" s="51" t="n">
        <f aca="false">1+IF($G$9=$E$9,$F$9,IF(S581&lt;($F$9-$E$9)/($G$9-$E$9),$E$9+SQRT(S581*($G$9-$E$9)*($F$9-$E$9)),$G$9-SQRT((1-S581)*($G$9-$E$9)*($G$9-$F$9))))</f>
        <v>0.951882931285491</v>
      </c>
      <c r="F581" s="51" t="n">
        <f aca="false">1+IF($G$10=$E$10,$F$10,IF(T581&lt;($F$10-$E$10)/($G$10-$E$10),$E$10+SQRT(T581*($G$10-$E$10)*($F$10-$E$10)),$G$10-SQRT((1-T581)*($G$10-$E$10)*($G$10-$F$10))))</f>
        <v>1.04138609058079</v>
      </c>
      <c r="G581" s="52" t="n">
        <f aca="false">IF($G$11=$E$11,$F$11,IF(U581&lt;($F$11-$E$11)/($G$11-$E$11),$E$11+SQRT(U581*($G$11-$E$11)*($F$11-$E$11)),$G$11-SQRT((1-U581)*($G$11-$E$11)*($G$11-$F$11))))</f>
        <v>0.119056768626448</v>
      </c>
      <c r="H581" s="53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-2082772181.16157</v>
      </c>
      <c r="I581" s="53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-45480700.4039382</v>
      </c>
      <c r="J581" s="53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192856807.529897</v>
      </c>
      <c r="K581" s="53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483263619.992771</v>
      </c>
      <c r="L581" s="53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592257353.604648</v>
      </c>
      <c r="M581" s="53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754770790.591274</v>
      </c>
      <c r="N581" s="53" t="n">
        <f aca="false">IF(COUNT('Business Case'!B11:G11)=0,"",H581+NPV(G581,I581:M581))</f>
        <v>-816816532.989953</v>
      </c>
      <c r="P581" s="54" t="n">
        <f aca="true">RAND()</f>
        <v>0.896351278690998</v>
      </c>
      <c r="Q581" s="54" t="n">
        <f aca="true">RAND()</f>
        <v>0.137960434875764</v>
      </c>
      <c r="R581" s="54" t="n">
        <f aca="true">RAND()</f>
        <v>0.970024942223226</v>
      </c>
      <c r="S581" s="54" t="n">
        <f aca="true">RAND()</f>
        <v>0.107673542350998</v>
      </c>
      <c r="T581" s="54" t="n">
        <f aca="true">RAND()</f>
        <v>0.419736490624432</v>
      </c>
      <c r="U581" s="54" t="n">
        <f aca="true">RAND()</f>
        <v>0.920163791403268</v>
      </c>
    </row>
    <row r="582" customFormat="false" ht="15" hidden="false" customHeight="false" outlineLevel="0" collapsed="false">
      <c r="A582" s="50" t="n">
        <v>502</v>
      </c>
      <c r="B582" s="51" t="n">
        <f aca="false">1+IF($G$6=$E$6,$F$6,IF(P582&lt;($F$6-$E$6)/($G$6-$E$6),$E$6+SQRT(P582*($G$6-$E$6)*($F$6-$E$6)),$G$6-SQRT((1-P582)*($G$6-$E$6)*($G$6-$F$6))))</f>
        <v>0.983688406522965</v>
      </c>
      <c r="C582" s="51" t="n">
        <f aca="false">1+IF($G$7=$E$7,$F$7,IF(Q582&lt;($F$7-$E$7)/($G$7-$E$7),$E$7+SQRT(Q582*($G$7-$E$7)*($F$7-$E$7)),$G$7-SQRT((1-Q582)*($G$7-$E$7)*($G$7-$F$7))))</f>
        <v>0.997671292738595</v>
      </c>
      <c r="D582" s="51" t="n">
        <f aca="false">1+IF($G$8=$E$8,$F$8,IF(R582&lt;($F$8-$E$8)/($G$8-$E$8),$E$8+SQRT(R582*($G$8-$E$8)*($F$8-$E$8)),$G$8-SQRT((1-R582)*($G$8-$E$8)*($G$8-$F$8))))</f>
        <v>1.02803689582913</v>
      </c>
      <c r="E582" s="51" t="n">
        <f aca="false">1+IF($G$9=$E$9,$F$9,IF(S582&lt;($F$9-$E$9)/($G$9-$E$9),$E$9+SQRT(S582*($G$9-$E$9)*($F$9-$E$9)),$G$9-SQRT((1-S582)*($G$9-$E$9)*($G$9-$F$9))))</f>
        <v>0.944535016051842</v>
      </c>
      <c r="F582" s="51" t="n">
        <f aca="false">1+IF($G$10=$E$10,$F$10,IF(T582&lt;($F$10-$E$10)/($G$10-$E$10),$E$10+SQRT(T582*($G$10-$E$10)*($F$10-$E$10)),$G$10-SQRT((1-T582)*($G$10-$E$10)*($G$10-$F$10))))</f>
        <v>1.02731485705444</v>
      </c>
      <c r="G582" s="52" t="n">
        <f aca="false">IF($G$11=$E$11,$F$11,IF(U582&lt;($F$11-$E$11)/($G$11-$E$11),$E$11+SQRT(U582*($G$11-$E$11)*($F$11-$E$11)),$G$11-SQRT((1-U582)*($G$11-$E$11)*($G$11-$F$11))))</f>
        <v>0.101992424238694</v>
      </c>
      <c r="H582" s="53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-2054629714.10888</v>
      </c>
      <c r="I582" s="53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-9131769.72993136</v>
      </c>
      <c r="J582" s="53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269656481.476445</v>
      </c>
      <c r="K582" s="53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599810475.535543</v>
      </c>
      <c r="L582" s="53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726656996.569864</v>
      </c>
      <c r="M582" s="53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913201068.380269</v>
      </c>
      <c r="N582" s="53" t="n">
        <f aca="false">IF(COUNT('Business Case'!B11:G11)=0,"",H582+NPV(G582,I582:M582))</f>
        <v>-338002901.102458</v>
      </c>
      <c r="P582" s="54" t="n">
        <f aca="true">RAND()</f>
        <v>0.466916625756874</v>
      </c>
      <c r="Q582" s="54" t="n">
        <f aca="true">RAND()</f>
        <v>0.65635702607901</v>
      </c>
      <c r="R582" s="54" t="n">
        <f aca="true">RAND()</f>
        <v>0.654754109206163</v>
      </c>
      <c r="S582" s="54" t="n">
        <f aca="true">RAND()</f>
        <v>0.0793347061895125</v>
      </c>
      <c r="T582" s="54" t="n">
        <f aca="true">RAND()</f>
        <v>0.338817694817528</v>
      </c>
      <c r="U582" s="54" t="n">
        <f aca="true">RAND()</f>
        <v>0.477050466649806</v>
      </c>
    </row>
    <row r="583" customFormat="false" ht="15" hidden="false" customHeight="false" outlineLevel="0" collapsed="false">
      <c r="A583" s="50" t="n">
        <v>503</v>
      </c>
      <c r="B583" s="51" t="n">
        <f aca="false">1+IF($G$6=$E$6,$F$6,IF(P583&lt;($F$6-$E$6)/($G$6-$E$6),$E$6+SQRT(P583*($G$6-$E$6)*($F$6-$E$6)),$G$6-SQRT((1-P583)*($G$6-$E$6)*($G$6-$F$6))))</f>
        <v>0.944190343549814</v>
      </c>
      <c r="C583" s="51" t="n">
        <f aca="false">1+IF($G$7=$E$7,$F$7,IF(Q583&lt;($F$7-$E$7)/($G$7-$E$7),$E$7+SQRT(Q583*($G$7-$E$7)*($F$7-$E$7)),$G$7-SQRT((1-Q583)*($G$7-$E$7)*($G$7-$F$7))))</f>
        <v>1.08638361361833</v>
      </c>
      <c r="D583" s="51" t="n">
        <f aca="false">1+IF($G$8=$E$8,$F$8,IF(R583&lt;($F$8-$E$8)/($G$8-$E$8),$E$8+SQRT(R583*($G$8-$E$8)*($F$8-$E$8)),$G$8-SQRT((1-R583)*($G$8-$E$8)*($G$8-$F$8))))</f>
        <v>1.06898463256509</v>
      </c>
      <c r="E583" s="51" t="n">
        <f aca="false">1+IF($G$9=$E$9,$F$9,IF(S583&lt;($F$9-$E$9)/($G$9-$E$9),$E$9+SQRT(S583*($G$9-$E$9)*($F$9-$E$9)),$G$9-SQRT((1-S583)*($G$9-$E$9)*($G$9-$F$9))))</f>
        <v>0.962351529530831</v>
      </c>
      <c r="F583" s="51" t="n">
        <f aca="false">1+IF($G$10=$E$10,$F$10,IF(T583&lt;($F$10-$E$10)/($G$10-$E$10),$E$10+SQRT(T583*($G$10-$E$10)*($F$10-$E$10)),$G$10-SQRT((1-T583)*($G$10-$E$10)*($G$10-$F$10))))</f>
        <v>1.09947535723244</v>
      </c>
      <c r="G583" s="52" t="n">
        <f aca="false">IF($G$11=$E$11,$F$11,IF(U583&lt;($F$11-$E$11)/($G$11-$E$11),$E$11+SQRT(U583*($G$11-$E$11)*($F$11-$E$11)),$G$11-SQRT((1-U583)*($G$11-$E$11)*($G$11-$F$11))))</f>
        <v>0.0960603014780631</v>
      </c>
      <c r="H583" s="53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-2198950714.46488</v>
      </c>
      <c r="I583" s="53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-54310177.4031037</v>
      </c>
      <c r="J583" s="53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191348599.652739</v>
      </c>
      <c r="K583" s="53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491981144.570204</v>
      </c>
      <c r="L583" s="53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609317424.413097</v>
      </c>
      <c r="M583" s="53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804292538.946631</v>
      </c>
      <c r="N583" s="53" t="n">
        <f aca="false">IF(COUNT('Business Case'!B11:G11)=0,"",H583+NPV(G583,I583:M583))</f>
        <v>-784959580.08134</v>
      </c>
      <c r="P583" s="54" t="n">
        <f aca="true">RAND()</f>
        <v>0.13018576420337</v>
      </c>
      <c r="Q583" s="54" t="n">
        <f aca="true">RAND()</f>
        <v>0.940043783462786</v>
      </c>
      <c r="R583" s="54" t="n">
        <f aca="true">RAND()</f>
        <v>0.93586979885852</v>
      </c>
      <c r="S583" s="54" t="n">
        <f aca="true">RAND()</f>
        <v>0.155508529393365</v>
      </c>
      <c r="T583" s="54" t="n">
        <f aca="true">RAND()</f>
        <v>0.697897758929319</v>
      </c>
      <c r="U583" s="54" t="n">
        <f aca="true">RAND()</f>
        <v>0.257933283566274</v>
      </c>
    </row>
    <row r="584" customFormat="false" ht="15" hidden="false" customHeight="false" outlineLevel="0" collapsed="false">
      <c r="A584" s="50" t="n">
        <v>504</v>
      </c>
      <c r="B584" s="51" t="n">
        <f aca="false">1+IF($G$6=$E$6,$F$6,IF(P584&lt;($F$6-$E$6)/($G$6-$E$6),$E$6+SQRT(P584*($G$6-$E$6)*($F$6-$E$6)),$G$6-SQRT((1-P584)*($G$6-$E$6)*($G$6-$F$6))))</f>
        <v>0.964184651398359</v>
      </c>
      <c r="C584" s="51" t="n">
        <f aca="false">1+IF($G$7=$E$7,$F$7,IF(Q584&lt;($F$7-$E$7)/($G$7-$E$7),$E$7+SQRT(Q584*($G$7-$E$7)*($F$7-$E$7)),$G$7-SQRT((1-Q584)*($G$7-$E$7)*($G$7-$F$7))))</f>
        <v>0.926648960229129</v>
      </c>
      <c r="D584" s="51" t="n">
        <f aca="false">1+IF($G$8=$E$8,$F$8,IF(R584&lt;($F$8-$E$8)/($G$8-$E$8),$E$8+SQRT(R584*($G$8-$E$8)*($F$8-$E$8)),$G$8-SQRT((1-R584)*($G$8-$E$8)*($G$8-$F$8))))</f>
        <v>1.00472153025128</v>
      </c>
      <c r="E584" s="51" t="n">
        <f aca="false">1+IF($G$9=$E$9,$F$9,IF(S584&lt;($F$9-$E$9)/($G$9-$E$9),$E$9+SQRT(S584*($G$9-$E$9)*($F$9-$E$9)),$G$9-SQRT((1-S584)*($G$9-$E$9)*($G$9-$F$9))))</f>
        <v>0.953229449711275</v>
      </c>
      <c r="F584" s="51" t="n">
        <f aca="false">1+IF($G$10=$E$10,$F$10,IF(T584&lt;($F$10-$E$10)/($G$10-$E$10),$E$10+SQRT(T584*($G$10-$E$10)*($F$10-$E$10)),$G$10-SQRT((1-T584)*($G$10-$E$10)*($G$10-$F$10))))</f>
        <v>1.07086772783562</v>
      </c>
      <c r="G584" s="52" t="n">
        <f aca="false">IF($G$11=$E$11,$F$11,IF(U584&lt;($F$11-$E$11)/($G$11-$E$11),$E$11+SQRT(U584*($G$11-$E$11)*($F$11-$E$11)),$G$11-SQRT((1-U584)*($G$11-$E$11)*($G$11-$F$11))))</f>
        <v>0.118702294048587</v>
      </c>
      <c r="H584" s="53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-2141735455.67125</v>
      </c>
      <c r="I584" s="53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-33754245.8205611</v>
      </c>
      <c r="J584" s="53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221444511.822367</v>
      </c>
      <c r="K584" s="53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530186655.857075</v>
      </c>
      <c r="L584" s="53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646130910.358707</v>
      </c>
      <c r="M584" s="53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815959921.105645</v>
      </c>
      <c r="N584" s="53" t="n">
        <f aca="false">IF(COUNT('Business Case'!B11:G11)=0,"",H584+NPV(G584,I584:M584))</f>
        <v>-738047189.655894</v>
      </c>
      <c r="P584" s="54" t="n">
        <f aca="true">RAND()</f>
        <v>0.274644631675261</v>
      </c>
      <c r="Q584" s="54" t="n">
        <f aca="true">RAND()</f>
        <v>0.38051667535515</v>
      </c>
      <c r="R584" s="54" t="n">
        <f aca="true">RAND()</f>
        <v>0.394800880156206</v>
      </c>
      <c r="S584" s="54" t="n">
        <f aca="true">RAND()</f>
        <v>0.113334972662607</v>
      </c>
      <c r="T584" s="54" t="n">
        <f aca="true">RAND()</f>
        <v>0.572155054256371</v>
      </c>
      <c r="U584" s="54" t="n">
        <f aca="true">RAND()</f>
        <v>0.914907893490277</v>
      </c>
    </row>
    <row r="585" customFormat="false" ht="15" hidden="false" customHeight="false" outlineLevel="0" collapsed="false">
      <c r="A585" s="50" t="n">
        <v>505</v>
      </c>
      <c r="B585" s="51" t="n">
        <f aca="false">1+IF($G$6=$E$6,$F$6,IF(P585&lt;($F$6-$E$6)/($G$6-$E$6),$E$6+SQRT(P585*($G$6-$E$6)*($F$6-$E$6)),$G$6-SQRT((1-P585)*($G$6-$E$6)*($G$6-$F$6))))</f>
        <v>1.02131987698671</v>
      </c>
      <c r="C585" s="51" t="n">
        <f aca="false">1+IF($G$7=$E$7,$F$7,IF(Q585&lt;($F$7-$E$7)/($G$7-$E$7),$E$7+SQRT(Q585*($G$7-$E$7)*($F$7-$E$7)),$G$7-SQRT((1-Q585)*($G$7-$E$7)*($G$7-$F$7))))</f>
        <v>1.09421672011968</v>
      </c>
      <c r="D585" s="51" t="n">
        <f aca="false">1+IF($G$8=$E$8,$F$8,IF(R585&lt;($F$8-$E$8)/($G$8-$E$8),$E$8+SQRT(R585*($G$8-$E$8)*($F$8-$E$8)),$G$8-SQRT((1-R585)*($G$8-$E$8)*($G$8-$F$8))))</f>
        <v>1.04457182144209</v>
      </c>
      <c r="E585" s="51" t="n">
        <f aca="false">1+IF($G$9=$E$9,$F$9,IF(S585&lt;($F$9-$E$9)/($G$9-$E$9),$E$9+SQRT(S585*($G$9-$E$9)*($F$9-$E$9)),$G$9-SQRT((1-S585)*($G$9-$E$9)*($G$9-$F$9))))</f>
        <v>0.943887792085461</v>
      </c>
      <c r="F585" s="51" t="n">
        <f aca="false">1+IF($G$10=$E$10,$F$10,IF(T585&lt;($F$10-$E$10)/($G$10-$E$10),$E$10+SQRT(T585*($G$10-$E$10)*($F$10-$E$10)),$G$10-SQRT((1-T585)*($G$10-$E$10)*($G$10-$F$10))))</f>
        <v>1.15274798405307</v>
      </c>
      <c r="G585" s="52" t="n">
        <f aca="false">IF($G$11=$E$11,$F$11,IF(U585&lt;($F$11-$E$11)/($G$11-$E$11),$E$11+SQRT(U585*($G$11-$E$11)*($F$11-$E$11)),$G$11-SQRT((1-U585)*($G$11-$E$11)*($G$11-$F$11))))</f>
        <v>0.0858120722519766</v>
      </c>
      <c r="H585" s="53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-2305495968.10615</v>
      </c>
      <c r="I585" s="53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22802469.8340171</v>
      </c>
      <c r="J585" s="53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353034129.733586</v>
      </c>
      <c r="K585" s="53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740903188.83581</v>
      </c>
      <c r="L585" s="53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889602773.886127</v>
      </c>
      <c r="M585" s="53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1102025781.847</v>
      </c>
      <c r="N585" s="53" t="n">
        <f aca="false">IF(COUNT('Business Case'!B11:G11)=0,"",H585+NPV(G585,I585:M585))</f>
        <v>-36141709.7445087</v>
      </c>
      <c r="P585" s="54" t="n">
        <f aca="true">RAND()</f>
        <v>0.890326739192322</v>
      </c>
      <c r="Q585" s="54" t="n">
        <f aca="true">RAND()</f>
        <v>0.953899639789547</v>
      </c>
      <c r="R585" s="54" t="n">
        <f aca="true">RAND()</f>
        <v>0.795181134783527</v>
      </c>
      <c r="S585" s="54" t="n">
        <f aca="true">RAND()</f>
        <v>0.0770455317654652</v>
      </c>
      <c r="T585" s="54" t="n">
        <f aca="true">RAND()</f>
        <v>0.873893938590116</v>
      </c>
      <c r="U585" s="54" t="n">
        <f aca="true">RAND()</f>
        <v>0.0337801838621968</v>
      </c>
    </row>
    <row r="586" customFormat="false" ht="15" hidden="false" customHeight="false" outlineLevel="0" collapsed="false">
      <c r="A586" s="50" t="n">
        <v>506</v>
      </c>
      <c r="B586" s="51" t="n">
        <f aca="false">1+IF($G$6=$E$6,$F$6,IF(P586&lt;($F$6-$E$6)/($G$6-$E$6),$E$6+SQRT(P586*($G$6-$E$6)*($F$6-$E$6)),$G$6-SQRT((1-P586)*($G$6-$E$6)*($G$6-$F$6))))</f>
        <v>0.911219342655024</v>
      </c>
      <c r="C586" s="51" t="n">
        <f aca="false">1+IF($G$7=$E$7,$F$7,IF(Q586&lt;($F$7-$E$7)/($G$7-$E$7),$E$7+SQRT(Q586*($G$7-$E$7)*($F$7-$E$7)),$G$7-SQRT((1-Q586)*($G$7-$E$7)*($G$7-$F$7))))</f>
        <v>1.02650851275782</v>
      </c>
      <c r="D586" s="51" t="n">
        <f aca="false">1+IF($G$8=$E$8,$F$8,IF(R586&lt;($F$8-$E$8)/($G$8-$E$8),$E$8+SQRT(R586*($G$8-$E$8)*($F$8-$E$8)),$G$8-SQRT((1-R586)*($G$8-$E$8)*($G$8-$F$8))))</f>
        <v>0.963473877909554</v>
      </c>
      <c r="E586" s="51" t="n">
        <f aca="false">1+IF($G$9=$E$9,$F$9,IF(S586&lt;($F$9-$E$9)/($G$9-$E$9),$E$9+SQRT(S586*($G$9-$E$9)*($F$9-$E$9)),$G$9-SQRT((1-S586)*($G$9-$E$9)*($G$9-$F$9))))</f>
        <v>1.02225363168034</v>
      </c>
      <c r="F586" s="51" t="n">
        <f aca="false">1+IF($G$10=$E$10,$F$10,IF(T586&lt;($F$10-$E$10)/($G$10-$E$10),$E$10+SQRT(T586*($G$10-$E$10)*($F$10-$E$10)),$G$10-SQRT((1-T586)*($G$10-$E$10)*($G$10-$F$10))))</f>
        <v>1.13201071901432</v>
      </c>
      <c r="G586" s="52" t="n">
        <f aca="false">IF($G$11=$E$11,$F$11,IF(U586&lt;($F$11-$E$11)/($G$11-$E$11),$E$11+SQRT(U586*($G$11-$E$11)*($F$11-$E$11)),$G$11-SQRT((1-U586)*($G$11-$E$11)*($G$11-$F$11))))</f>
        <v>0.100615244752739</v>
      </c>
      <c r="H586" s="53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-2264021438.02864</v>
      </c>
      <c r="I586" s="53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-47212474.5520903</v>
      </c>
      <c r="J586" s="53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212630398.751938</v>
      </c>
      <c r="K586" s="53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529073808.006682</v>
      </c>
      <c r="L586" s="53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648014638.79452</v>
      </c>
      <c r="M586" s="53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825810607.070242</v>
      </c>
      <c r="N586" s="53" t="n">
        <f aca="false">IF(COUNT('Business Case'!B11:G11)=0,"",H586+NPV(G586,I586:M586))</f>
        <v>-781606211.646698</v>
      </c>
      <c r="P586" s="54" t="n">
        <f aca="true">RAND()</f>
        <v>0.00839157664072212</v>
      </c>
      <c r="Q586" s="54" t="n">
        <f aca="true">RAND()</f>
        <v>0.774071890055041</v>
      </c>
      <c r="R586" s="54" t="n">
        <f aca="true">RAND()</f>
        <v>0.0242060514562073</v>
      </c>
      <c r="S586" s="54" t="n">
        <f aca="true">RAND()</f>
        <v>0.56482307683033</v>
      </c>
      <c r="T586" s="54" t="n">
        <f aca="true">RAND()</f>
        <v>0.814380394299761</v>
      </c>
      <c r="U586" s="54" t="n">
        <f aca="true">RAND()</f>
        <v>0.424357439372362</v>
      </c>
    </row>
    <row r="587" customFormat="false" ht="15" hidden="false" customHeight="false" outlineLevel="0" collapsed="false">
      <c r="A587" s="50" t="n">
        <v>507</v>
      </c>
      <c r="B587" s="51" t="n">
        <f aca="false">1+IF($G$6=$E$6,$F$6,IF(P587&lt;($F$6-$E$6)/($G$6-$E$6),$E$6+SQRT(P587*($G$6-$E$6)*($F$6-$E$6)),$G$6-SQRT((1-P587)*($G$6-$E$6)*($G$6-$F$6))))</f>
        <v>1.01667350658455</v>
      </c>
      <c r="C587" s="51" t="n">
        <f aca="false">1+IF($G$7=$E$7,$F$7,IF(Q587&lt;($F$7-$E$7)/($G$7-$E$7),$E$7+SQRT(Q587*($G$7-$E$7)*($F$7-$E$7)),$G$7-SQRT((1-Q587)*($G$7-$E$7)*($G$7-$F$7))))</f>
        <v>1.0057111515889</v>
      </c>
      <c r="D587" s="51" t="n">
        <f aca="false">1+IF($G$8=$E$8,$F$8,IF(R587&lt;($F$8-$E$8)/($G$8-$E$8),$E$8+SQRT(R587*($G$8-$E$8)*($F$8-$E$8)),$G$8-SQRT((1-R587)*($G$8-$E$8)*($G$8-$F$8))))</f>
        <v>1.04124792312371</v>
      </c>
      <c r="E587" s="51" t="n">
        <f aca="false">1+IF($G$9=$E$9,$F$9,IF(S587&lt;($F$9-$E$9)/($G$9-$E$9),$E$9+SQRT(S587*($G$9-$E$9)*($F$9-$E$9)),$G$9-SQRT((1-S587)*($G$9-$E$9)*($G$9-$F$9))))</f>
        <v>1.01433311923642</v>
      </c>
      <c r="F587" s="51" t="n">
        <f aca="false">1+IF($G$10=$E$10,$F$10,IF(T587&lt;($F$10-$E$10)/($G$10-$E$10),$E$10+SQRT(T587*($G$10-$E$10)*($F$10-$E$10)),$G$10-SQRT((1-T587)*($G$10-$E$10)*($G$10-$F$10))))</f>
        <v>0.997417903149327</v>
      </c>
      <c r="G587" s="52" t="n">
        <f aca="false">IF($G$11=$E$11,$F$11,IF(U587&lt;($F$11-$E$11)/($G$11-$E$11),$E$11+SQRT(U587*($G$11-$E$11)*($F$11-$E$11)),$G$11-SQRT((1-U587)*($G$11-$E$11)*($G$11-$F$11))))</f>
        <v>0.10503470081676</v>
      </c>
      <c r="H587" s="53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-1994835806.29865</v>
      </c>
      <c r="I587" s="53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4419441.66841468</v>
      </c>
      <c r="J587" s="53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305824200.346934</v>
      </c>
      <c r="K587" s="53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657099854.182918</v>
      </c>
      <c r="L587" s="53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792905011.835593</v>
      </c>
      <c r="M587" s="53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987257988.014686</v>
      </c>
      <c r="N587" s="53" t="n">
        <f aca="false">IF(COUNT('Business Case'!B11:G11)=0,"",H587+NPV(G587,I587:M587))</f>
        <v>-122481793.813712</v>
      </c>
      <c r="P587" s="54" t="n">
        <f aca="true">RAND()</f>
        <v>0.85191264488401</v>
      </c>
      <c r="Q587" s="54" t="n">
        <f aca="true">RAND()</f>
        <v>0.691566344062214</v>
      </c>
      <c r="R587" s="54" t="n">
        <f aca="true">RAND()</f>
        <v>0.769879564181461</v>
      </c>
      <c r="S587" s="54" t="n">
        <f aca="true">RAND()</f>
        <v>0.509186599036817</v>
      </c>
      <c r="T587" s="54" t="n">
        <f aca="true">RAND()</f>
        <v>0.149897169271927</v>
      </c>
      <c r="U587" s="54" t="n">
        <f aca="true">RAND()</f>
        <v>0.584489224460892</v>
      </c>
    </row>
    <row r="588" customFormat="false" ht="15" hidden="false" customHeight="false" outlineLevel="0" collapsed="false">
      <c r="A588" s="50" t="n">
        <v>508</v>
      </c>
      <c r="B588" s="51" t="n">
        <f aca="false">1+IF($G$6=$E$6,$F$6,IF(P588&lt;($F$6-$E$6)/($G$6-$E$6),$E$6+SQRT(P588*($G$6-$E$6)*($F$6-$E$6)),$G$6-SQRT((1-P588)*($G$6-$E$6)*($G$6-$F$6))))</f>
        <v>0.982191240227013</v>
      </c>
      <c r="C588" s="51" t="n">
        <f aca="false">1+IF($G$7=$E$7,$F$7,IF(Q588&lt;($F$7-$E$7)/($G$7-$E$7),$E$7+SQRT(Q588*($G$7-$E$7)*($F$7-$E$7)),$G$7-SQRT((1-Q588)*($G$7-$E$7)*($G$7-$F$7))))</f>
        <v>0.770893832952809</v>
      </c>
      <c r="D588" s="51" t="n">
        <f aca="false">1+IF($G$8=$E$8,$F$8,IF(R588&lt;($F$8-$E$8)/($G$8-$E$8),$E$8+SQRT(R588*($G$8-$E$8)*($F$8-$E$8)),$G$8-SQRT((1-R588)*($G$8-$E$8)*($G$8-$F$8))))</f>
        <v>1.00080965890403</v>
      </c>
      <c r="E588" s="51" t="n">
        <f aca="false">1+IF($G$9=$E$9,$F$9,IF(S588&lt;($F$9-$E$9)/($G$9-$E$9),$E$9+SQRT(S588*($G$9-$E$9)*($F$9-$E$9)),$G$9-SQRT((1-S588)*($G$9-$E$9)*($G$9-$F$9))))</f>
        <v>1.03927123374005</v>
      </c>
      <c r="F588" s="51" t="n">
        <f aca="false">1+IF($G$10=$E$10,$F$10,IF(T588&lt;($F$10-$E$10)/($G$10-$E$10),$E$10+SQRT(T588*($G$10-$E$10)*($F$10-$E$10)),$G$10-SQRT((1-T588)*($G$10-$E$10)*($G$10-$F$10))))</f>
        <v>1.16716028484122</v>
      </c>
      <c r="G588" s="52" t="n">
        <f aca="false">IF($G$11=$E$11,$F$11,IF(U588&lt;($F$11-$E$11)/($G$11-$E$11),$E$11+SQRT(U588*($G$11-$E$11)*($F$11-$E$11)),$G$11-SQRT((1-U588)*($G$11-$E$11)*($G$11-$F$11))))</f>
        <v>0.110699813003234</v>
      </c>
      <c r="H588" s="53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-2334320569.68245</v>
      </c>
      <c r="I588" s="53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-78534541.8042246</v>
      </c>
      <c r="J588" s="53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146682756.719635</v>
      </c>
      <c r="K588" s="53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430258069.485556</v>
      </c>
      <c r="L588" s="53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531498130.597595</v>
      </c>
      <c r="M588" s="53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675420086.086726</v>
      </c>
      <c r="N588" s="53" t="n">
        <f aca="false">IF(COUNT('Business Case'!B11:G11)=0,"",H588+NPV(G588,I588:M588))</f>
        <v>-1223319545.90396</v>
      </c>
      <c r="P588" s="54" t="n">
        <f aca="true">RAND()</f>
        <v>0.450359998003636</v>
      </c>
      <c r="Q588" s="54" t="n">
        <f aca="true">RAND()</f>
        <v>0.0372291522277093</v>
      </c>
      <c r="R588" s="54" t="n">
        <f aca="true">RAND()</f>
        <v>0.344085082217696</v>
      </c>
      <c r="S588" s="54" t="n">
        <f aca="true">RAND()</f>
        <v>0.673043741934659</v>
      </c>
      <c r="T588" s="54" t="n">
        <f aca="true">RAND()</f>
        <v>0.908501087898836</v>
      </c>
      <c r="U588" s="54" t="n">
        <f aca="true">RAND()</f>
        <v>0.751668521259911</v>
      </c>
    </row>
    <row r="589" customFormat="false" ht="15" hidden="false" customHeight="false" outlineLevel="0" collapsed="false">
      <c r="A589" s="50" t="n">
        <v>509</v>
      </c>
      <c r="B589" s="51" t="n">
        <f aca="false">1+IF($G$6=$E$6,$F$6,IF(P589&lt;($F$6-$E$6)/($G$6-$E$6),$E$6+SQRT(P589*($G$6-$E$6)*($F$6-$E$6)),$G$6-SQRT((1-P589)*($G$6-$E$6)*($G$6-$F$6))))</f>
        <v>1.00102598819768</v>
      </c>
      <c r="C589" s="51" t="n">
        <f aca="false">1+IF($G$7=$E$7,$F$7,IF(Q589&lt;($F$7-$E$7)/($G$7-$E$7),$E$7+SQRT(Q589*($G$7-$E$7)*($F$7-$E$7)),$G$7-SQRT((1-Q589)*($G$7-$E$7)*($G$7-$F$7))))</f>
        <v>0.931780381842593</v>
      </c>
      <c r="D589" s="51" t="n">
        <f aca="false">1+IF($G$8=$E$8,$F$8,IF(R589&lt;($F$8-$E$8)/($G$8-$E$8),$E$8+SQRT(R589*($G$8-$E$8)*($F$8-$E$8)),$G$8-SQRT((1-R589)*($G$8-$E$8)*($G$8-$F$8))))</f>
        <v>1.06645862308358</v>
      </c>
      <c r="E589" s="51" t="n">
        <f aca="false">1+IF($G$9=$E$9,$F$9,IF(S589&lt;($F$9-$E$9)/($G$9-$E$9),$E$9+SQRT(S589*($G$9-$E$9)*($F$9-$E$9)),$G$9-SQRT((1-S589)*($G$9-$E$9)*($G$9-$F$9))))</f>
        <v>1.07452377949215</v>
      </c>
      <c r="F589" s="51" t="n">
        <f aca="false">1+IF($G$10=$E$10,$F$10,IF(T589&lt;($F$10-$E$10)/($G$10-$E$10),$E$10+SQRT(T589*($G$10-$E$10)*($F$10-$E$10)),$G$10-SQRT((1-T589)*($G$10-$E$10)*($G$10-$F$10))))</f>
        <v>1.10416258841114</v>
      </c>
      <c r="G589" s="52" t="n">
        <f aca="false">IF($G$11=$E$11,$F$11,IF(U589&lt;($F$11-$E$11)/($G$11-$E$11),$E$11+SQRT(U589*($G$11-$E$11)*($F$11-$E$11)),$G$11-SQRT((1-U589)*($G$11-$E$11)*($G$11-$F$11))))</f>
        <v>0.123077723309651</v>
      </c>
      <c r="H589" s="53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-2208325176.82228</v>
      </c>
      <c r="I589" s="53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-56285921.6662918</v>
      </c>
      <c r="J589" s="53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198994750.762805</v>
      </c>
      <c r="K589" s="53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509483552.612458</v>
      </c>
      <c r="L589" s="53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626812479.295818</v>
      </c>
      <c r="M589" s="53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804107009.934285</v>
      </c>
      <c r="N589" s="53" t="n">
        <f aca="false">IF(COUNT('Business Case'!B11:G11)=0,"",H589+NPV(G589,I589:M589))</f>
        <v>-896950388.516887</v>
      </c>
      <c r="P589" s="54" t="n">
        <f aca="true">RAND()</f>
        <v>0.680206155731453</v>
      </c>
      <c r="Q589" s="54" t="n">
        <f aca="true">RAND()</f>
        <v>0.397941817830356</v>
      </c>
      <c r="R589" s="54" t="n">
        <f aca="true">RAND()</f>
        <v>0.924998402303381</v>
      </c>
      <c r="S589" s="54" t="n">
        <f aca="true">RAND()</f>
        <v>0.848089070342658</v>
      </c>
      <c r="T589" s="54" t="n">
        <f aca="true">RAND()</f>
        <v>0.716419325080821</v>
      </c>
      <c r="U589" s="54" t="n">
        <f aca="true">RAND()</f>
        <v>0.968054723614838</v>
      </c>
    </row>
    <row r="590" customFormat="false" ht="15" hidden="false" customHeight="false" outlineLevel="0" collapsed="false">
      <c r="A590" s="50" t="n">
        <v>510</v>
      </c>
      <c r="B590" s="51" t="n">
        <f aca="false">1+IF($G$6=$E$6,$F$6,IF(P590&lt;($F$6-$E$6)/($G$6-$E$6),$E$6+SQRT(P590*($G$6-$E$6)*($F$6-$E$6)),$G$6-SQRT((1-P590)*($G$6-$E$6)*($G$6-$F$6))))</f>
        <v>0.986011622631226</v>
      </c>
      <c r="C590" s="51" t="n">
        <f aca="false">1+IF($G$7=$E$7,$F$7,IF(Q590&lt;($F$7-$E$7)/($G$7-$E$7),$E$7+SQRT(Q590*($G$7-$E$7)*($F$7-$E$7)),$G$7-SQRT((1-Q590)*($G$7-$E$7)*($G$7-$F$7))))</f>
        <v>0.965028119017326</v>
      </c>
      <c r="D590" s="51" t="n">
        <f aca="false">1+IF($G$8=$E$8,$F$8,IF(R590&lt;($F$8-$E$8)/($G$8-$E$8),$E$8+SQRT(R590*($G$8-$E$8)*($F$8-$E$8)),$G$8-SQRT((1-R590)*($G$8-$E$8)*($G$8-$F$8))))</f>
        <v>1.03468141646843</v>
      </c>
      <c r="E590" s="51" t="n">
        <f aca="false">1+IF($G$9=$E$9,$F$9,IF(S590&lt;($F$9-$E$9)/($G$9-$E$9),$E$9+SQRT(S590*($G$9-$E$9)*($F$9-$E$9)),$G$9-SQRT((1-S590)*($G$9-$E$9)*($G$9-$F$9))))</f>
        <v>1.10521774596237</v>
      </c>
      <c r="F590" s="51" t="n">
        <f aca="false">1+IF($G$10=$E$10,$F$10,IF(T590&lt;($F$10-$E$10)/($G$10-$E$10),$E$10+SQRT(T590*($G$10-$E$10)*($F$10-$E$10)),$G$10-SQRT((1-T590)*($G$10-$E$10)*($G$10-$F$10))))</f>
        <v>1.00697201085293</v>
      </c>
      <c r="G590" s="52" t="n">
        <f aca="false">IF($G$11=$E$11,$F$11,IF(U590&lt;($F$11-$E$11)/($G$11-$E$11),$E$11+SQRT(U590*($G$11-$E$11)*($F$11-$E$11)),$G$11-SQRT((1-U590)*($G$11-$E$11)*($G$11-$F$11))))</f>
        <v>0.113964719584154</v>
      </c>
      <c r="H590" s="53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-2013944021.70586</v>
      </c>
      <c r="I590" s="53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-38966122.4620143</v>
      </c>
      <c r="J590" s="53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229254179.965356</v>
      </c>
      <c r="K590" s="53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547823082.935374</v>
      </c>
      <c r="L590" s="53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670114690.629993</v>
      </c>
      <c r="M590" s="53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850981311.833551</v>
      </c>
      <c r="N590" s="53" t="n">
        <f aca="false">IF(COUNT('Business Case'!B11:G11)=0,"",H590+NPV(G590,I590:M590))</f>
        <v>-536609040.040001</v>
      </c>
      <c r="P590" s="54" t="n">
        <f aca="true">RAND()</f>
        <v>0.493199948510426</v>
      </c>
      <c r="Q590" s="54" t="n">
        <f aca="true">RAND()</f>
        <v>0.5202955842212</v>
      </c>
      <c r="R590" s="54" t="n">
        <f aca="true">RAND()</f>
        <v>0.71556550969532</v>
      </c>
      <c r="S590" s="54" t="n">
        <f aca="true">RAND()</f>
        <v>0.94652132595491</v>
      </c>
      <c r="T590" s="54" t="n">
        <f aca="true">RAND()</f>
        <v>0.212498619881758</v>
      </c>
      <c r="U590" s="54" t="n">
        <f aca="true">RAND()</f>
        <v>0.828579854656781</v>
      </c>
    </row>
    <row r="591" customFormat="false" ht="15" hidden="false" customHeight="false" outlineLevel="0" collapsed="false">
      <c r="A591" s="50" t="n">
        <v>511</v>
      </c>
      <c r="B591" s="51" t="n">
        <f aca="false">1+IF($G$6=$E$6,$F$6,IF(P591&lt;($F$6-$E$6)/($G$6-$E$6),$E$6+SQRT(P591*($G$6-$E$6)*($F$6-$E$6)),$G$6-SQRT((1-P591)*($G$6-$E$6)*($G$6-$F$6))))</f>
        <v>0.973361776939235</v>
      </c>
      <c r="C591" s="51" t="n">
        <f aca="false">1+IF($G$7=$E$7,$F$7,IF(Q591&lt;($F$7-$E$7)/($G$7-$E$7),$E$7+SQRT(Q591*($G$7-$E$7)*($F$7-$E$7)),$G$7-SQRT((1-Q591)*($G$7-$E$7)*($G$7-$F$7))))</f>
        <v>1.05292929727226</v>
      </c>
      <c r="D591" s="51" t="n">
        <f aca="false">1+IF($G$8=$E$8,$F$8,IF(R591&lt;($F$8-$E$8)/($G$8-$E$8),$E$8+SQRT(R591*($G$8-$E$8)*($F$8-$E$8)),$G$8-SQRT((1-R591)*($G$8-$E$8)*($G$8-$F$8))))</f>
        <v>1.04805338727088</v>
      </c>
      <c r="E591" s="51" t="n">
        <f aca="false">1+IF($G$9=$E$9,$F$9,IF(S591&lt;($F$9-$E$9)/($G$9-$E$9),$E$9+SQRT(S591*($G$9-$E$9)*($F$9-$E$9)),$G$9-SQRT((1-S591)*($G$9-$E$9)*($G$9-$F$9))))</f>
        <v>0.936448451520827</v>
      </c>
      <c r="F591" s="51" t="n">
        <f aca="false">1+IF($G$10=$E$10,$F$10,IF(T591&lt;($F$10-$E$10)/($G$10-$E$10),$E$10+SQRT(T591*($G$10-$E$10)*($F$10-$E$10)),$G$10-SQRT((1-T591)*($G$10-$E$10)*($G$10-$F$10))))</f>
        <v>1.05276628989506</v>
      </c>
      <c r="G591" s="52" t="n">
        <f aca="false">IF($G$11=$E$11,$F$11,IF(U591&lt;($F$11-$E$11)/($G$11-$E$11),$E$11+SQRT(U591*($G$11-$E$11)*($F$11-$E$11)),$G$11-SQRT((1-U591)*($G$11-$E$11)*($G$11-$F$11))))</f>
        <v>0.087245108191875</v>
      </c>
      <c r="H591" s="53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-2105532579.79012</v>
      </c>
      <c r="I591" s="53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-17035087.8855321</v>
      </c>
      <c r="J591" s="53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257499260.896402</v>
      </c>
      <c r="K591" s="53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584671924.173089</v>
      </c>
      <c r="L591" s="53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711603265.681532</v>
      </c>
      <c r="M591" s="53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906412671.211093</v>
      </c>
      <c r="N591" s="53" t="n">
        <f aca="false">IF(COUNT('Business Case'!B11:G11)=0,"",H591+NPV(G591,I591:M591))</f>
        <v>-342600469.967805</v>
      </c>
      <c r="P591" s="54" t="n">
        <f aca="true">RAND()</f>
        <v>0.358796687712136</v>
      </c>
      <c r="Q591" s="54" t="n">
        <f aca="true">RAND()</f>
        <v>0.860404128473217</v>
      </c>
      <c r="R591" s="54" t="n">
        <f aca="true">RAND()</f>
        <v>0.820103295064735</v>
      </c>
      <c r="S591" s="54" t="n">
        <f aca="true">RAND()</f>
        <v>0.0531395847306422</v>
      </c>
      <c r="T591" s="54" t="n">
        <f aca="true">RAND()</f>
        <v>0.481318181309877</v>
      </c>
      <c r="U591" s="54" t="n">
        <f aca="true">RAND()</f>
        <v>0.052491592711974</v>
      </c>
    </row>
    <row r="592" customFormat="false" ht="15" hidden="false" customHeight="false" outlineLevel="0" collapsed="false">
      <c r="A592" s="50" t="n">
        <v>512</v>
      </c>
      <c r="B592" s="51" t="n">
        <f aca="false">1+IF($G$6=$E$6,$F$6,IF(P592&lt;($F$6-$E$6)/($G$6-$E$6),$E$6+SQRT(P592*($G$6-$E$6)*($F$6-$E$6)),$G$6-SQRT((1-P592)*($G$6-$E$6)*($G$6-$F$6))))</f>
        <v>1.02693509283715</v>
      </c>
      <c r="C592" s="51" t="n">
        <f aca="false">1+IF($G$7=$E$7,$F$7,IF(Q592&lt;($F$7-$E$7)/($G$7-$E$7),$E$7+SQRT(Q592*($G$7-$E$7)*($F$7-$E$7)),$G$7-SQRT((1-Q592)*($G$7-$E$7)*($G$7-$F$7))))</f>
        <v>1.02338749124702</v>
      </c>
      <c r="D592" s="51" t="n">
        <f aca="false">1+IF($G$8=$E$8,$F$8,IF(R592&lt;($F$8-$E$8)/($G$8-$E$8),$E$8+SQRT(R592*($G$8-$E$8)*($F$8-$E$8)),$G$8-SQRT((1-R592)*($G$8-$E$8)*($G$8-$F$8))))</f>
        <v>1.01436615856919</v>
      </c>
      <c r="E592" s="51" t="n">
        <f aca="false">1+IF($G$9=$E$9,$F$9,IF(S592&lt;($F$9-$E$9)/($G$9-$E$9),$E$9+SQRT(S592*($G$9-$E$9)*($F$9-$E$9)),$G$9-SQRT((1-S592)*($G$9-$E$9)*($G$9-$F$9))))</f>
        <v>0.997327104967416</v>
      </c>
      <c r="F592" s="51" t="n">
        <f aca="false">1+IF($G$10=$E$10,$F$10,IF(T592&lt;($F$10-$E$10)/($G$10-$E$10),$E$10+SQRT(T592*($G$10-$E$10)*($F$10-$E$10)),$G$10-SQRT((1-T592)*($G$10-$E$10)*($G$10-$F$10))))</f>
        <v>1.09933570067476</v>
      </c>
      <c r="G592" s="52" t="n">
        <f aca="false">IF($G$11=$E$11,$F$11,IF(U592&lt;($F$11-$E$11)/($G$11-$E$11),$E$11+SQRT(U592*($G$11-$E$11)*($F$11-$E$11)),$G$11-SQRT((1-U592)*($G$11-$E$11)*($G$11-$F$11))))</f>
        <v>0.10730434784274</v>
      </c>
      <c r="H592" s="53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-2198671401.34951</v>
      </c>
      <c r="I592" s="53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23152078.2238498</v>
      </c>
      <c r="J592" s="53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352539019.91028</v>
      </c>
      <c r="K592" s="53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736892746.630448</v>
      </c>
      <c r="L592" s="53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883009313.238416</v>
      </c>
      <c r="M592" s="53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1082774369.82379</v>
      </c>
      <c r="N592" s="53" t="n">
        <f aca="false">IF(COUNT('Business Case'!B11:G11)=0,"",H592+NPV(G592,I592:M592))</f>
        <v>-109701260.801862</v>
      </c>
      <c r="P592" s="54" t="n">
        <f aca="true">RAND()</f>
        <v>0.929068007675899</v>
      </c>
      <c r="Q592" s="54" t="n">
        <f aca="true">RAND()</f>
        <v>0.762507742626312</v>
      </c>
      <c r="R592" s="54" t="n">
        <f aca="true">RAND()</f>
        <v>0.511123013453553</v>
      </c>
      <c r="S592" s="54" t="n">
        <f aca="true">RAND()</f>
        <v>0.378902614453535</v>
      </c>
      <c r="T592" s="54" t="n">
        <f aca="true">RAND()</f>
        <v>0.697336918784447</v>
      </c>
      <c r="U592" s="54" t="n">
        <f aca="true">RAND()</f>
        <v>0.656604915437771</v>
      </c>
    </row>
    <row r="593" customFormat="false" ht="15" hidden="false" customHeight="false" outlineLevel="0" collapsed="false">
      <c r="A593" s="50" t="n">
        <v>513</v>
      </c>
      <c r="B593" s="51" t="n">
        <f aca="false">1+IF($G$6=$E$6,$F$6,IF(P593&lt;($F$6-$E$6)/($G$6-$E$6),$E$6+SQRT(P593*($G$6-$E$6)*($F$6-$E$6)),$G$6-SQRT((1-P593)*($G$6-$E$6)*($G$6-$F$6))))</f>
        <v>0.954127019423339</v>
      </c>
      <c r="C593" s="51" t="n">
        <f aca="false">1+IF($G$7=$E$7,$F$7,IF(Q593&lt;($F$7-$E$7)/($G$7-$E$7),$E$7+SQRT(Q593*($G$7-$E$7)*($F$7-$E$7)),$G$7-SQRT((1-Q593)*($G$7-$E$7)*($G$7-$F$7))))</f>
        <v>0.89359211558309</v>
      </c>
      <c r="D593" s="51" t="n">
        <f aca="false">1+IF($G$8=$E$8,$F$8,IF(R593&lt;($F$8-$E$8)/($G$8-$E$8),$E$8+SQRT(R593*($G$8-$E$8)*($F$8-$E$8)),$G$8-SQRT((1-R593)*($G$8-$E$8)*($G$8-$F$8))))</f>
        <v>1.00981162383309</v>
      </c>
      <c r="E593" s="51" t="n">
        <f aca="false">1+IF($G$9=$E$9,$F$9,IF(S593&lt;($F$9-$E$9)/($G$9-$E$9),$E$9+SQRT(S593*($G$9-$E$9)*($F$9-$E$9)),$G$9-SQRT((1-S593)*($G$9-$E$9)*($G$9-$F$9))))</f>
        <v>0.99635902353774</v>
      </c>
      <c r="F593" s="51" t="n">
        <f aca="false">1+IF($G$10=$E$10,$F$10,IF(T593&lt;($F$10-$E$10)/($G$10-$E$10),$E$10+SQRT(T593*($G$10-$E$10)*($F$10-$E$10)),$G$10-SQRT((1-T593)*($G$10-$E$10)*($G$10-$F$10))))</f>
        <v>1.09117835713437</v>
      </c>
      <c r="G593" s="52" t="n">
        <f aca="false">IF($G$11=$E$11,$F$11,IF(U593&lt;($F$11-$E$11)/($G$11-$E$11),$E$11+SQRT(U593*($G$11-$E$11)*($F$11-$E$11)),$G$11-SQRT((1-U593)*($G$11-$E$11)*($G$11-$F$11))))</f>
        <v>0.0891773962583183</v>
      </c>
      <c r="H593" s="53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-2182356714.26874</v>
      </c>
      <c r="I593" s="53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-58593773.0424967</v>
      </c>
      <c r="J593" s="53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177811346.569136</v>
      </c>
      <c r="K593" s="53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468775384.037488</v>
      </c>
      <c r="L593" s="53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577042959.77045</v>
      </c>
      <c r="M593" s="53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739105240.347079</v>
      </c>
      <c r="N593" s="53" t="n">
        <f aca="false">IF(COUNT('Business Case'!B11:G11)=0,"",H593+NPV(G593,I593:M593))</f>
        <v>-831252706.875318</v>
      </c>
      <c r="P593" s="54" t="n">
        <f aca="true">RAND()</f>
        <v>0.195315615443636</v>
      </c>
      <c r="Q593" s="54" t="n">
        <f aca="true">RAND()</f>
        <v>0.277614127525456</v>
      </c>
      <c r="R593" s="54" t="n">
        <f aca="true">RAND()</f>
        <v>0.457737120291747</v>
      </c>
      <c r="S593" s="54" t="n">
        <f aca="true">RAND()</f>
        <v>0.371402456685868</v>
      </c>
      <c r="T593" s="54" t="n">
        <f aca="true">RAND()</f>
        <v>0.663675810099505</v>
      </c>
      <c r="U593" s="54" t="n">
        <f aca="true">RAND()</f>
        <v>0.0842246020821941</v>
      </c>
    </row>
    <row r="594" customFormat="false" ht="15" hidden="false" customHeight="false" outlineLevel="0" collapsed="false">
      <c r="A594" s="50" t="n">
        <v>514</v>
      </c>
      <c r="B594" s="51" t="n">
        <f aca="false">1+IF($G$6=$E$6,$F$6,IF(P594&lt;($F$6-$E$6)/($G$6-$E$6),$E$6+SQRT(P594*($G$6-$E$6)*($F$6-$E$6)),$G$6-SQRT((1-P594)*($G$6-$E$6)*($G$6-$F$6))))</f>
        <v>0.994034505187965</v>
      </c>
      <c r="C594" s="51" t="n">
        <f aca="false">1+IF($G$7=$E$7,$F$7,IF(Q594&lt;($F$7-$E$7)/($G$7-$E$7),$E$7+SQRT(Q594*($G$7-$E$7)*($F$7-$E$7)),$G$7-SQRT((1-Q594)*($G$7-$E$7)*($G$7-$F$7))))</f>
        <v>0.941977535851253</v>
      </c>
      <c r="D594" s="51" t="n">
        <f aca="false">1+IF($G$8=$E$8,$F$8,IF(R594&lt;($F$8-$E$8)/($G$8-$E$8),$E$8+SQRT(R594*($G$8-$E$8)*($F$8-$E$8)),$G$8-SQRT((1-R594)*($G$8-$E$8)*($G$8-$F$8))))</f>
        <v>0.982877705876591</v>
      </c>
      <c r="E594" s="51" t="n">
        <f aca="false">1+IF($G$9=$E$9,$F$9,IF(S594&lt;($F$9-$E$9)/($G$9-$E$9),$E$9+SQRT(S594*($G$9-$E$9)*($F$9-$E$9)),$G$9-SQRT((1-S594)*($G$9-$E$9)*($G$9-$F$9))))</f>
        <v>0.966842617381064</v>
      </c>
      <c r="F594" s="51" t="n">
        <f aca="false">1+IF($G$10=$E$10,$F$10,IF(T594&lt;($F$10-$E$10)/($G$10-$E$10),$E$10+SQRT(T594*($G$10-$E$10)*($F$10-$E$10)),$G$10-SQRT((1-T594)*($G$10-$E$10)*($G$10-$F$10))))</f>
        <v>1.11677717962996</v>
      </c>
      <c r="G594" s="52" t="n">
        <f aca="false">IF($G$11=$E$11,$F$11,IF(U594&lt;($F$11-$E$11)/($G$11-$E$11),$E$11+SQRT(U594*($G$11-$E$11)*($F$11-$E$11)),$G$11-SQRT((1-U594)*($G$11-$E$11)*($G$11-$F$11))))</f>
        <v>0.109863297140528</v>
      </c>
      <c r="H594" s="53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-2233554359.25992</v>
      </c>
      <c r="I594" s="53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-4719260.24142239</v>
      </c>
      <c r="J594" s="53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288265025.398839</v>
      </c>
      <c r="K594" s="53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637088170.020598</v>
      </c>
      <c r="L594" s="53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767110137.052086</v>
      </c>
      <c r="M594" s="53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945093098.718121</v>
      </c>
      <c r="N594" s="53" t="n">
        <f aca="false">IF(COUNT('Business Case'!B11:G11)=0,"",H594+NPV(G594,I594:M594))</f>
        <v>-471000469.220588</v>
      </c>
      <c r="P594" s="54" t="n">
        <f aca="true">RAND()</f>
        <v>0.58949921106303</v>
      </c>
      <c r="Q594" s="54" t="n">
        <f aca="true">RAND()</f>
        <v>0.433726873012181</v>
      </c>
      <c r="R594" s="54" t="n">
        <f aca="true">RAND()</f>
        <v>0.144125805827687</v>
      </c>
      <c r="S594" s="54" t="n">
        <f aca="true">RAND()</f>
        <v>0.178717419934052</v>
      </c>
      <c r="T594" s="54" t="n">
        <f aca="true">RAND()</f>
        <v>0.763355735102027</v>
      </c>
      <c r="U594" s="54" t="n">
        <f aca="true">RAND()</f>
        <v>0.729675465299548</v>
      </c>
    </row>
    <row r="595" customFormat="false" ht="15" hidden="false" customHeight="false" outlineLevel="0" collapsed="false">
      <c r="A595" s="50" t="n">
        <v>515</v>
      </c>
      <c r="B595" s="51" t="n">
        <f aca="false">1+IF($G$6=$E$6,$F$6,IF(P595&lt;($F$6-$E$6)/($G$6-$E$6),$E$6+SQRT(P595*($G$6-$E$6)*($F$6-$E$6)),$G$6-SQRT((1-P595)*($G$6-$E$6)*($G$6-$F$6))))</f>
        <v>0.995788879269035</v>
      </c>
      <c r="C595" s="51" t="n">
        <f aca="false">1+IF($G$7=$E$7,$F$7,IF(Q595&lt;($F$7-$E$7)/($G$7-$E$7),$E$7+SQRT(Q595*($G$7-$E$7)*($F$7-$E$7)),$G$7-SQRT((1-Q595)*($G$7-$E$7)*($G$7-$F$7))))</f>
        <v>1.13033787699688</v>
      </c>
      <c r="D595" s="51" t="n">
        <f aca="false">1+IF($G$8=$E$8,$F$8,IF(R595&lt;($F$8-$E$8)/($G$8-$E$8),$E$8+SQRT(R595*($G$8-$E$8)*($F$8-$E$8)),$G$8-SQRT((1-R595)*($G$8-$E$8)*($G$8-$F$8))))</f>
        <v>1.01110286692283</v>
      </c>
      <c r="E595" s="51" t="n">
        <f aca="false">1+IF($G$9=$E$9,$F$9,IF(S595&lt;($F$9-$E$9)/($G$9-$E$9),$E$9+SQRT(S595*($G$9-$E$9)*($F$9-$E$9)),$G$9-SQRT((1-S595)*($G$9-$E$9)*($G$9-$F$9))))</f>
        <v>1.02412788355852</v>
      </c>
      <c r="F595" s="51" t="n">
        <f aca="false">1+IF($G$10=$E$10,$F$10,IF(T595&lt;($F$10-$E$10)/($G$10-$E$10),$E$10+SQRT(T595*($G$10-$E$10)*($F$10-$E$10)),$G$10-SQRT((1-T595)*($G$10-$E$10)*($G$10-$F$10))))</f>
        <v>1.04077224399788</v>
      </c>
      <c r="G595" s="52" t="n">
        <f aca="false">IF($G$11=$E$11,$F$11,IF(U595&lt;($F$11-$E$11)/($G$11-$E$11),$E$11+SQRT(U595*($G$11-$E$11)*($F$11-$E$11)),$G$11-SQRT((1-U595)*($G$11-$E$11)*($G$11-$F$11))))</f>
        <v>0.111574836947653</v>
      </c>
      <c r="H595" s="53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-2081544487.99577</v>
      </c>
      <c r="I595" s="53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28804007.1187612</v>
      </c>
      <c r="J595" s="53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365666181.379259</v>
      </c>
      <c r="K595" s="53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754566967.83965</v>
      </c>
      <c r="L595" s="53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905754331.059767</v>
      </c>
      <c r="M595" s="53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1119704175.9595</v>
      </c>
      <c r="N595" s="53" t="n">
        <f aca="false">IF(COUNT('Business Case'!B11:G11)=0,"",H595+NPV(G595,I595:M595))</f>
        <v>42772500.9632037</v>
      </c>
      <c r="P595" s="54" t="n">
        <f aca="true">RAND()</f>
        <v>0.611700626107852</v>
      </c>
      <c r="Q595" s="54" t="n">
        <f aca="true">RAND()</f>
        <v>0.994272606207556</v>
      </c>
      <c r="R595" s="54" t="n">
        <f aca="true">RAND()</f>
        <v>0.473153315377332</v>
      </c>
      <c r="S595" s="54" t="n">
        <f aca="true">RAND()</f>
        <v>0.577498941401144</v>
      </c>
      <c r="T595" s="54" t="n">
        <f aca="true">RAND()</f>
        <v>0.416316614910925</v>
      </c>
      <c r="U595" s="54" t="n">
        <f aca="true">RAND()</f>
        <v>0.773675577662943</v>
      </c>
    </row>
    <row r="596" customFormat="false" ht="15" hidden="false" customHeight="false" outlineLevel="0" collapsed="false">
      <c r="A596" s="50" t="n">
        <v>516</v>
      </c>
      <c r="B596" s="51" t="n">
        <f aca="false">1+IF($G$6=$E$6,$F$6,IF(P596&lt;($F$6-$E$6)/($G$6-$E$6),$E$6+SQRT(P596*($G$6-$E$6)*($F$6-$E$6)),$G$6-SQRT((1-P596)*($G$6-$E$6)*($G$6-$F$6))))</f>
        <v>1.00891435651725</v>
      </c>
      <c r="C596" s="51" t="n">
        <f aca="false">1+IF($G$7=$E$7,$F$7,IF(Q596&lt;($F$7-$E$7)/($G$7-$E$7),$E$7+SQRT(Q596*($G$7-$E$7)*($F$7-$E$7)),$G$7-SQRT((1-Q596)*($G$7-$E$7)*($G$7-$F$7))))</f>
        <v>0.922975811562222</v>
      </c>
      <c r="D596" s="51" t="n">
        <f aca="false">1+IF($G$8=$E$8,$F$8,IF(R596&lt;($F$8-$E$8)/($G$8-$E$8),$E$8+SQRT(R596*($G$8-$E$8)*($F$8-$E$8)),$G$8-SQRT((1-R596)*($G$8-$E$8)*($G$8-$F$8))))</f>
        <v>0.983983167755958</v>
      </c>
      <c r="E596" s="51" t="n">
        <f aca="false">1+IF($G$9=$E$9,$F$9,IF(S596&lt;($F$9-$E$9)/($G$9-$E$9),$E$9+SQRT(S596*($G$9-$E$9)*($F$9-$E$9)),$G$9-SQRT((1-S596)*($G$9-$E$9)*($G$9-$F$9))))</f>
        <v>0.926585474955152</v>
      </c>
      <c r="F596" s="51" t="n">
        <f aca="false">1+IF($G$10=$E$10,$F$10,IF(T596&lt;($F$10-$E$10)/($G$10-$E$10),$E$10+SQRT(T596*($G$10-$E$10)*($F$10-$E$10)),$G$10-SQRT((1-T596)*($G$10-$E$10)*($G$10-$F$10))))</f>
        <v>1.05824210363745</v>
      </c>
      <c r="G596" s="52" t="n">
        <f aca="false">IF($G$11=$E$11,$F$11,IF(U596&lt;($F$11-$E$11)/($G$11-$E$11),$E$11+SQRT(U596*($G$11-$E$11)*($F$11-$E$11)),$G$11-SQRT((1-U596)*($G$11-$E$11)*($G$11-$F$11))))</f>
        <v>0.102782289066537</v>
      </c>
      <c r="H596" s="53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-2116484207.27491</v>
      </c>
      <c r="I596" s="53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11942506.919647</v>
      </c>
      <c r="J596" s="53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309743270.618313</v>
      </c>
      <c r="K596" s="53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660456139.498851</v>
      </c>
      <c r="L596" s="53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791905455.316173</v>
      </c>
      <c r="M596" s="53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968908625.530559</v>
      </c>
      <c r="N596" s="53" t="n">
        <f aca="false">IF(COUNT('Business Case'!B11:G11)=0,"",H596+NPV(G596,I596:M596))</f>
        <v>-228985393.580189</v>
      </c>
      <c r="P596" s="54" t="n">
        <f aca="true">RAND()</f>
        <v>0.774929319947817</v>
      </c>
      <c r="Q596" s="54" t="n">
        <f aca="true">RAND()</f>
        <v>0.368283055865418</v>
      </c>
      <c r="R596" s="54" t="n">
        <f aca="true">RAND()</f>
        <v>0.15398075876394</v>
      </c>
      <c r="S596" s="54" t="n">
        <f aca="true">RAND()</f>
        <v>0.0282714991436413</v>
      </c>
      <c r="T596" s="54" t="n">
        <f aca="true">RAND()</f>
        <v>0.509718789101481</v>
      </c>
      <c r="U596" s="54" t="n">
        <f aca="true">RAND()</f>
        <v>0.506130807694978</v>
      </c>
    </row>
    <row r="597" customFormat="false" ht="15" hidden="false" customHeight="false" outlineLevel="0" collapsed="false">
      <c r="A597" s="50" t="n">
        <v>517</v>
      </c>
      <c r="B597" s="51" t="n">
        <f aca="false">1+IF($G$6=$E$6,$F$6,IF(P597&lt;($F$6-$E$6)/($G$6-$E$6),$E$6+SQRT(P597*($G$6-$E$6)*($F$6-$E$6)),$G$6-SQRT((1-P597)*($G$6-$E$6)*($G$6-$F$6))))</f>
        <v>0.972798102159745</v>
      </c>
      <c r="C597" s="51" t="n">
        <f aca="false">1+IF($G$7=$E$7,$F$7,IF(Q597&lt;($F$7-$E$7)/($G$7-$E$7),$E$7+SQRT(Q597*($G$7-$E$7)*($F$7-$E$7)),$G$7-SQRT((1-Q597)*($G$7-$E$7)*($G$7-$F$7))))</f>
        <v>1.05370208825611</v>
      </c>
      <c r="D597" s="51" t="n">
        <f aca="false">1+IF($G$8=$E$8,$F$8,IF(R597&lt;($F$8-$E$8)/($G$8-$E$8),$E$8+SQRT(R597*($G$8-$E$8)*($F$8-$E$8)),$G$8-SQRT((1-R597)*($G$8-$E$8)*($G$8-$F$8))))</f>
        <v>1.00072467851759</v>
      </c>
      <c r="E597" s="51" t="n">
        <f aca="false">1+IF($G$9=$E$9,$F$9,IF(S597&lt;($F$9-$E$9)/($G$9-$E$9),$E$9+SQRT(S597*($G$9-$E$9)*($F$9-$E$9)),$G$9-SQRT((1-S597)*($G$9-$E$9)*($G$9-$F$9))))</f>
        <v>1.04428867020542</v>
      </c>
      <c r="F597" s="51" t="n">
        <f aca="false">1+IF($G$10=$E$10,$F$10,IF(T597&lt;($F$10-$E$10)/($G$10-$E$10),$E$10+SQRT(T597*($G$10-$E$10)*($F$10-$E$10)),$G$10-SQRT((1-T597)*($G$10-$E$10)*($G$10-$F$10))))</f>
        <v>0.994770021185437</v>
      </c>
      <c r="G597" s="52" t="n">
        <f aca="false">IF($G$11=$E$11,$F$11,IF(U597&lt;($F$11-$E$11)/($G$11-$E$11),$E$11+SQRT(U597*($G$11-$E$11)*($F$11-$E$11)),$G$11-SQRT((1-U597)*($G$11-$E$11)*($G$11-$F$11))))</f>
        <v>0.10319748398261</v>
      </c>
      <c r="H597" s="53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-1989540042.37087</v>
      </c>
      <c r="I597" s="53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-1333901.16035247</v>
      </c>
      <c r="J597" s="53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298445090.766638</v>
      </c>
      <c r="K597" s="53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647962583.752899</v>
      </c>
      <c r="L597" s="53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783314275.772288</v>
      </c>
      <c r="M597" s="53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978153763.346111</v>
      </c>
      <c r="N597" s="53" t="n">
        <f aca="false">IF(COUNT('Business Case'!B11:G11)=0,"",H597+NPV(G597,I597:M597))</f>
        <v>-135480817.393616</v>
      </c>
      <c r="P597" s="54" t="n">
        <f aca="true">RAND()</f>
        <v>0.353304245204045</v>
      </c>
      <c r="Q597" s="54" t="n">
        <f aca="true">RAND()</f>
        <v>0.862617958426152</v>
      </c>
      <c r="R597" s="54" t="n">
        <f aca="true">RAND()</f>
        <v>0.342960702970933</v>
      </c>
      <c r="S597" s="54" t="n">
        <f aca="true">RAND()</f>
        <v>0.702003060081652</v>
      </c>
      <c r="T597" s="54" t="n">
        <f aca="true">RAND()</f>
        <v>0.133623653129631</v>
      </c>
      <c r="U597" s="54" t="n">
        <f aca="true">RAND()</f>
        <v>0.521083423425046</v>
      </c>
    </row>
    <row r="598" customFormat="false" ht="15" hidden="false" customHeight="false" outlineLevel="0" collapsed="false">
      <c r="A598" s="50" t="n">
        <v>518</v>
      </c>
      <c r="B598" s="51" t="n">
        <f aca="false">1+IF($G$6=$E$6,$F$6,IF(P598&lt;($F$6-$E$6)/($G$6-$E$6),$E$6+SQRT(P598*($G$6-$E$6)*($F$6-$E$6)),$G$6-SQRT((1-P598)*($G$6-$E$6)*($G$6-$F$6))))</f>
        <v>1.01850778025909</v>
      </c>
      <c r="C598" s="51" t="n">
        <f aca="false">1+IF($G$7=$E$7,$F$7,IF(Q598&lt;($F$7-$E$7)/($G$7-$E$7),$E$7+SQRT(Q598*($G$7-$E$7)*($F$7-$E$7)),$G$7-SQRT((1-Q598)*($G$7-$E$7)*($G$7-$F$7))))</f>
        <v>1.03403187519735</v>
      </c>
      <c r="D598" s="51" t="n">
        <f aca="false">1+IF($G$8=$E$8,$F$8,IF(R598&lt;($F$8-$E$8)/($G$8-$E$8),$E$8+SQRT(R598*($G$8-$E$8)*($F$8-$E$8)),$G$8-SQRT((1-R598)*($G$8-$E$8)*($G$8-$F$8))))</f>
        <v>0.983789887159995</v>
      </c>
      <c r="E598" s="51" t="n">
        <f aca="false">1+IF($G$9=$E$9,$F$9,IF(S598&lt;($F$9-$E$9)/($G$9-$E$9),$E$9+SQRT(S598*($G$9-$E$9)*($F$9-$E$9)),$G$9-SQRT((1-S598)*($G$9-$E$9)*($G$9-$F$9))))</f>
        <v>1.01391500009273</v>
      </c>
      <c r="F598" s="51" t="n">
        <f aca="false">1+IF($G$10=$E$10,$F$10,IF(T598&lt;($F$10-$E$10)/($G$10-$E$10),$E$10+SQRT(T598*($G$10-$E$10)*($F$10-$E$10)),$G$10-SQRT((1-T598)*($G$10-$E$10)*($G$10-$F$10))))</f>
        <v>1.11373071391733</v>
      </c>
      <c r="G598" s="52" t="n">
        <f aca="false">IF($G$11=$E$11,$F$11,IF(U598&lt;($F$11-$E$11)/($G$11-$E$11),$E$11+SQRT(U598*($G$11-$E$11)*($F$11-$E$11)),$G$11-SQRT((1-U598)*($G$11-$E$11)*($G$11-$F$11))))</f>
        <v>0.10205793815326</v>
      </c>
      <c r="H598" s="53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-2227461427.83466</v>
      </c>
      <c r="I598" s="53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31712654.5095818</v>
      </c>
      <c r="J598" s="53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373573400.818563</v>
      </c>
      <c r="K598" s="53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771120682.823412</v>
      </c>
      <c r="L598" s="53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921471803.189393</v>
      </c>
      <c r="M598" s="53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1121658263.63582</v>
      </c>
      <c r="N598" s="53" t="n">
        <f aca="false">IF(COUNT('Business Case'!B11:G11)=0,"",H598+NPV(G598,I598:M598))</f>
        <v>-311603.952432632</v>
      </c>
      <c r="P598" s="54" t="n">
        <f aca="true">RAND()</f>
        <v>0.867765346105403</v>
      </c>
      <c r="Q598" s="54" t="n">
        <f aca="true">RAND()</f>
        <v>0.80076139303342</v>
      </c>
      <c r="R598" s="54" t="n">
        <f aca="true">RAND()</f>
        <v>0.152234196571355</v>
      </c>
      <c r="S598" s="54" t="n">
        <f aca="true">RAND()</f>
        <v>0.506156608006361</v>
      </c>
      <c r="T598" s="54" t="n">
        <f aca="true">RAND()</f>
        <v>0.75240908894025</v>
      </c>
      <c r="U598" s="54" t="n">
        <f aca="true">RAND()</f>
        <v>0.479494119835312</v>
      </c>
    </row>
    <row r="599" customFormat="false" ht="15" hidden="false" customHeight="false" outlineLevel="0" collapsed="false">
      <c r="A599" s="50" t="n">
        <v>519</v>
      </c>
      <c r="B599" s="51" t="n">
        <f aca="false">1+IF($G$6=$E$6,$F$6,IF(P599&lt;($F$6-$E$6)/($G$6-$E$6),$E$6+SQRT(P599*($G$6-$E$6)*($F$6-$E$6)),$G$6-SQRT((1-P599)*($G$6-$E$6)*($G$6-$F$6))))</f>
        <v>1.02535325355479</v>
      </c>
      <c r="C599" s="51" t="n">
        <f aca="false">1+IF($G$7=$E$7,$F$7,IF(Q599&lt;($F$7-$E$7)/($G$7-$E$7),$E$7+SQRT(Q599*($G$7-$E$7)*($F$7-$E$7)),$G$7-SQRT((1-Q599)*($G$7-$E$7)*($G$7-$F$7))))</f>
        <v>0.868130172006936</v>
      </c>
      <c r="D599" s="51" t="n">
        <f aca="false">1+IF($G$8=$E$8,$F$8,IF(R599&lt;($F$8-$E$8)/($G$8-$E$8),$E$8+SQRT(R599*($G$8-$E$8)*($F$8-$E$8)),$G$8-SQRT((1-R599)*($G$8-$E$8)*($G$8-$F$8))))</f>
        <v>0.975777706793827</v>
      </c>
      <c r="E599" s="51" t="n">
        <f aca="false">1+IF($G$9=$E$9,$F$9,IF(S599&lt;($F$9-$E$9)/($G$9-$E$9),$E$9+SQRT(S599*($G$9-$E$9)*($F$9-$E$9)),$G$9-SQRT((1-S599)*($G$9-$E$9)*($G$9-$F$9))))</f>
        <v>1.0316233706859</v>
      </c>
      <c r="F599" s="51" t="n">
        <f aca="false">1+IF($G$10=$E$10,$F$10,IF(T599&lt;($F$10-$E$10)/($G$10-$E$10),$E$10+SQRT(T599*($G$10-$E$10)*($F$10-$E$10)),$G$10-SQRT((1-T599)*($G$10-$E$10)*($G$10-$F$10))))</f>
        <v>1.06754715997411</v>
      </c>
      <c r="G599" s="52" t="n">
        <f aca="false">IF($G$11=$E$11,$F$11,IF(U599&lt;($F$11-$E$11)/($G$11-$E$11),$E$11+SQRT(U599*($G$11-$E$11)*($F$11-$E$11)),$G$11-SQRT((1-U599)*($G$11-$E$11)*($G$11-$F$11))))</f>
        <v>0.0965662387785324</v>
      </c>
      <c r="H599" s="53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-2135094319.94822</v>
      </c>
      <c r="I599" s="53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-4156083.76142156</v>
      </c>
      <c r="J599" s="53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291284254.382255</v>
      </c>
      <c r="K599" s="53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640101950.524636</v>
      </c>
      <c r="L599" s="53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769345304.969963</v>
      </c>
      <c r="M599" s="53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938543134.489188</v>
      </c>
      <c r="N599" s="53" t="n">
        <f aca="false">IF(COUNT('Business Case'!B11:G11)=0,"",H599+NPV(G599,I599:M599))</f>
        <v>-287164601.009545</v>
      </c>
      <c r="P599" s="54" t="n">
        <f aca="true">RAND()</f>
        <v>0.919005051955405</v>
      </c>
      <c r="Q599" s="54" t="n">
        <f aca="true">RAND()</f>
        <v>0.209390775845052</v>
      </c>
      <c r="R599" s="54" t="n">
        <f aca="true">RAND()</f>
        <v>0.0885986890064683</v>
      </c>
      <c r="S599" s="54" t="n">
        <f aca="true">RAND()</f>
        <v>0.626319296859525</v>
      </c>
      <c r="T599" s="54" t="n">
        <f aca="true">RAND()</f>
        <v>0.556146148886486</v>
      </c>
      <c r="U599" s="54" t="n">
        <f aca="true">RAND()</f>
        <v>0.27444026726735</v>
      </c>
    </row>
    <row r="600" customFormat="false" ht="15" hidden="false" customHeight="false" outlineLevel="0" collapsed="false">
      <c r="A600" s="50" t="n">
        <v>520</v>
      </c>
      <c r="B600" s="51" t="n">
        <f aca="false">1+IF($G$6=$E$6,$F$6,IF(P600&lt;($F$6-$E$6)/($G$6-$E$6),$E$6+SQRT(P600*($G$6-$E$6)*($F$6-$E$6)),$G$6-SQRT((1-P600)*($G$6-$E$6)*($G$6-$F$6))))</f>
        <v>0.990500589791665</v>
      </c>
      <c r="C600" s="51" t="n">
        <f aca="false">1+IF($G$7=$E$7,$F$7,IF(Q600&lt;($F$7-$E$7)/($G$7-$E$7),$E$7+SQRT(Q600*($G$7-$E$7)*($F$7-$E$7)),$G$7-SQRT((1-Q600)*($G$7-$E$7)*($G$7-$F$7))))</f>
        <v>0.956855299129647</v>
      </c>
      <c r="D600" s="51" t="n">
        <f aca="false">1+IF($G$8=$E$8,$F$8,IF(R600&lt;($F$8-$E$8)/($G$8-$E$8),$E$8+SQRT(R600*($G$8-$E$8)*($F$8-$E$8)),$G$8-SQRT((1-R600)*($G$8-$E$8)*($G$8-$F$8))))</f>
        <v>0.995527343489201</v>
      </c>
      <c r="E600" s="51" t="n">
        <f aca="false">1+IF($G$9=$E$9,$F$9,IF(S600&lt;($F$9-$E$9)/($G$9-$E$9),$E$9+SQRT(S600*($G$9-$E$9)*($F$9-$E$9)),$G$9-SQRT((1-S600)*($G$9-$E$9)*($G$9-$F$9))))</f>
        <v>1.11738468521583</v>
      </c>
      <c r="F600" s="51" t="n">
        <f aca="false">1+IF($G$10=$E$10,$F$10,IF(T600&lt;($F$10-$E$10)/($G$10-$E$10),$E$10+SQRT(T600*($G$10-$E$10)*($F$10-$E$10)),$G$10-SQRT((1-T600)*($G$10-$E$10)*($G$10-$F$10))))</f>
        <v>1.12658848034767</v>
      </c>
      <c r="G600" s="52" t="n">
        <f aca="false">IF($G$11=$E$11,$F$11,IF(U600&lt;($F$11-$E$11)/($G$11-$E$11),$E$11+SQRT(U600*($G$11-$E$11)*($F$11-$E$11)),$G$11-SQRT((1-U600)*($G$11-$E$11)*($G$11-$F$11))))</f>
        <v>0.11227301107875</v>
      </c>
      <c r="H600" s="53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-2253176960.69534</v>
      </c>
      <c r="I600" s="53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-32037255.81553</v>
      </c>
      <c r="J600" s="53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256608614.506222</v>
      </c>
      <c r="K600" s="53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601583908.845358</v>
      </c>
      <c r="L600" s="53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730553982.862492</v>
      </c>
      <c r="M600" s="53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910705294.36685</v>
      </c>
      <c r="N600" s="53" t="n">
        <f aca="false">IF(COUNT('Business Case'!B11:G11)=0,"",H600+NPV(G600,I600:M600))</f>
        <v>-625103435.456729</v>
      </c>
      <c r="P600" s="54" t="n">
        <f aca="true">RAND()</f>
        <v>0.546023783509285</v>
      </c>
      <c r="Q600" s="54" t="n">
        <f aca="true">RAND()</f>
        <v>0.488701071785042</v>
      </c>
      <c r="R600" s="54" t="n">
        <f aca="true">RAND()</f>
        <v>0.276365200691164</v>
      </c>
      <c r="S600" s="54" t="n">
        <f aca="true">RAND()</f>
        <v>0.971633099774113</v>
      </c>
      <c r="T600" s="54" t="n">
        <f aca="true">RAND()</f>
        <v>0.796927957561362</v>
      </c>
      <c r="U600" s="54" t="n">
        <f aca="true">RAND()</f>
        <v>0.790502575857249</v>
      </c>
    </row>
    <row r="601" customFormat="false" ht="15" hidden="false" customHeight="false" outlineLevel="0" collapsed="false">
      <c r="A601" s="50" t="n">
        <v>521</v>
      </c>
      <c r="B601" s="51" t="n">
        <f aca="false">1+IF($G$6=$E$6,$F$6,IF(P601&lt;($F$6-$E$6)/($G$6-$E$6),$E$6+SQRT(P601*($G$6-$E$6)*($F$6-$E$6)),$G$6-SQRT((1-P601)*($G$6-$E$6)*($G$6-$F$6))))</f>
        <v>0.963644031744703</v>
      </c>
      <c r="C601" s="51" t="n">
        <f aca="false">1+IF($G$7=$E$7,$F$7,IF(Q601&lt;($F$7-$E$7)/($G$7-$E$7),$E$7+SQRT(Q601*($G$7-$E$7)*($F$7-$E$7)),$G$7-SQRT((1-Q601)*($G$7-$E$7)*($G$7-$F$7))))</f>
        <v>1.07860536350452</v>
      </c>
      <c r="D601" s="51" t="n">
        <f aca="false">1+IF($G$8=$E$8,$F$8,IF(R601&lt;($F$8-$E$8)/($G$8-$E$8),$E$8+SQRT(R601*($G$8-$E$8)*($F$8-$E$8)),$G$8-SQRT((1-R601)*($G$8-$E$8)*($G$8-$F$8))))</f>
        <v>1.04796027263287</v>
      </c>
      <c r="E601" s="51" t="n">
        <f aca="false">1+IF($G$9=$E$9,$F$9,IF(S601&lt;($F$9-$E$9)/($G$9-$E$9),$E$9+SQRT(S601*($G$9-$E$9)*($F$9-$E$9)),$G$9-SQRT((1-S601)*($G$9-$E$9)*($G$9-$F$9))))</f>
        <v>0.92964631506361</v>
      </c>
      <c r="F601" s="51" t="n">
        <f aca="false">1+IF($G$10=$E$10,$F$10,IF(T601&lt;($F$10-$E$10)/($G$10-$E$10),$E$10+SQRT(T601*($G$10-$E$10)*($F$10-$E$10)),$G$10-SQRT((1-T601)*($G$10-$E$10)*($G$10-$F$10))))</f>
        <v>1.0636937351802</v>
      </c>
      <c r="G601" s="52" t="n">
        <f aca="false">IF($G$11=$E$11,$F$11,IF(U601&lt;($F$11-$E$11)/($G$11-$E$11),$E$11+SQRT(U601*($G$11-$E$11)*($F$11-$E$11)),$G$11-SQRT((1-U601)*($G$11-$E$11)*($G$11-$F$11))))</f>
        <v>0.104784026739717</v>
      </c>
      <c r="H601" s="53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-2127387470.3604</v>
      </c>
      <c r="I601" s="53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-19751952.6473994</v>
      </c>
      <c r="J601" s="53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252943235.865629</v>
      </c>
      <c r="K601" s="53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578823111.137667</v>
      </c>
      <c r="L601" s="53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705642881.735585</v>
      </c>
      <c r="M601" s="53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903210441.083579</v>
      </c>
      <c r="N601" s="53" t="n">
        <f aca="false">IF(COUNT('Business Case'!B11:G11)=0,"",H601+NPV(G601,I601:M601))</f>
        <v>-486320971.283233</v>
      </c>
      <c r="P601" s="54" t="n">
        <f aca="true">RAND()</f>
        <v>0.270037518448048</v>
      </c>
      <c r="Q601" s="54" t="n">
        <f aca="true">RAND()</f>
        <v>0.92448601303228</v>
      </c>
      <c r="R601" s="54" t="n">
        <f aca="true">RAND()</f>
        <v>0.819457785036997</v>
      </c>
      <c r="S601" s="54" t="n">
        <f aca="true">RAND()</f>
        <v>0.035156159874033</v>
      </c>
      <c r="T601" s="54" t="n">
        <f aca="true">RAND()</f>
        <v>0.537199675851928</v>
      </c>
      <c r="U601" s="54" t="n">
        <f aca="true">RAND()</f>
        <v>0.576103128357789</v>
      </c>
    </row>
    <row r="602" customFormat="false" ht="15" hidden="false" customHeight="false" outlineLevel="0" collapsed="false">
      <c r="A602" s="50" t="n">
        <v>522</v>
      </c>
      <c r="B602" s="51" t="n">
        <f aca="false">1+IF($G$6=$E$6,$F$6,IF(P602&lt;($F$6-$E$6)/($G$6-$E$6),$E$6+SQRT(P602*($G$6-$E$6)*($F$6-$E$6)),$G$6-SQRT((1-P602)*($G$6-$E$6)*($G$6-$F$6))))</f>
        <v>1.01897953151674</v>
      </c>
      <c r="C602" s="51" t="n">
        <f aca="false">1+IF($G$7=$E$7,$F$7,IF(Q602&lt;($F$7-$E$7)/($G$7-$E$7),$E$7+SQRT(Q602*($G$7-$E$7)*($F$7-$E$7)),$G$7-SQRT((1-Q602)*($G$7-$E$7)*($G$7-$F$7))))</f>
        <v>0.883473229881058</v>
      </c>
      <c r="D602" s="51" t="n">
        <f aca="false">1+IF($G$8=$E$8,$F$8,IF(R602&lt;($F$8-$E$8)/($G$8-$E$8),$E$8+SQRT(R602*($G$8-$E$8)*($F$8-$E$8)),$G$8-SQRT((1-R602)*($G$8-$E$8)*($G$8-$F$8))))</f>
        <v>0.963694790337303</v>
      </c>
      <c r="E602" s="51" t="n">
        <f aca="false">1+IF($G$9=$E$9,$F$9,IF(S602&lt;($F$9-$E$9)/($G$9-$E$9),$E$9+SQRT(S602*($G$9-$E$9)*($F$9-$E$9)),$G$9-SQRT((1-S602)*($G$9-$E$9)*($G$9-$F$9))))</f>
        <v>0.9682288055398</v>
      </c>
      <c r="F602" s="51" t="n">
        <f aca="false">1+IF($G$10=$E$10,$F$10,IF(T602&lt;($F$10-$E$10)/($G$10-$E$10),$E$10+SQRT(T602*($G$10-$E$10)*($F$10-$E$10)),$G$10-SQRT((1-T602)*($G$10-$E$10)*($G$10-$F$10))))</f>
        <v>1.04037083409629</v>
      </c>
      <c r="G602" s="52" t="n">
        <f aca="false">IF($G$11=$E$11,$F$11,IF(U602&lt;($F$11-$E$11)/($G$11-$E$11),$E$11+SQRT(U602*($G$11-$E$11)*($F$11-$E$11)),$G$11-SQRT((1-U602)*($G$11-$E$11)*($G$11-$F$11))))</f>
        <v>0.111630057693754</v>
      </c>
      <c r="H602" s="53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-2080741668.19258</v>
      </c>
      <c r="I602" s="53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13126643.9256305</v>
      </c>
      <c r="J602" s="53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314641007.996959</v>
      </c>
      <c r="K602" s="53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668173913.773103</v>
      </c>
      <c r="L602" s="53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799791035.522419</v>
      </c>
      <c r="M602" s="53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970908871.012888</v>
      </c>
      <c r="N602" s="53" t="n">
        <f aca="false">IF(COUNT('Business Case'!B11:G11)=0,"",H602+NPV(G602,I602:M602))</f>
        <v>-232156232.668435</v>
      </c>
      <c r="P602" s="54" t="n">
        <f aca="true">RAND()</f>
        <v>0.871697404677184</v>
      </c>
      <c r="Q602" s="54" t="n">
        <f aca="true">RAND()</f>
        <v>0.249351304318426</v>
      </c>
      <c r="R602" s="54" t="n">
        <f aca="true">RAND()</f>
        <v>0.0250063043176923</v>
      </c>
      <c r="S602" s="54" t="n">
        <f aca="true">RAND()</f>
        <v>0.186206796215516</v>
      </c>
      <c r="T602" s="54" t="n">
        <f aca="true">RAND()</f>
        <v>0.41407483736686</v>
      </c>
      <c r="U602" s="54" t="n">
        <f aca="true">RAND()</f>
        <v>0.775030146443456</v>
      </c>
    </row>
    <row r="603" customFormat="false" ht="15" hidden="false" customHeight="false" outlineLevel="0" collapsed="false">
      <c r="A603" s="50" t="n">
        <v>523</v>
      </c>
      <c r="B603" s="51" t="n">
        <f aca="false">1+IF($G$6=$E$6,$F$6,IF(P603&lt;($F$6-$E$6)/($G$6-$E$6),$E$6+SQRT(P603*($G$6-$E$6)*($F$6-$E$6)),$G$6-SQRT((1-P603)*($G$6-$E$6)*($G$6-$F$6))))</f>
        <v>1.01079351925828</v>
      </c>
      <c r="C603" s="51" t="n">
        <f aca="false">1+IF($G$7=$E$7,$F$7,IF(Q603&lt;($F$7-$E$7)/($G$7-$E$7),$E$7+SQRT(Q603*($G$7-$E$7)*($F$7-$E$7)),$G$7-SQRT((1-Q603)*($G$7-$E$7)*($G$7-$F$7))))</f>
        <v>1.11183074880741</v>
      </c>
      <c r="D603" s="51" t="n">
        <f aca="false">1+IF($G$8=$E$8,$F$8,IF(R603&lt;($F$8-$E$8)/($G$8-$E$8),$E$8+SQRT(R603*($G$8-$E$8)*($F$8-$E$8)),$G$8-SQRT((1-R603)*($G$8-$E$8)*($G$8-$F$8))))</f>
        <v>0.973179846128551</v>
      </c>
      <c r="E603" s="51" t="n">
        <f aca="false">1+IF($G$9=$E$9,$F$9,IF(S603&lt;($F$9-$E$9)/($G$9-$E$9),$E$9+SQRT(S603*($G$9-$E$9)*($F$9-$E$9)),$G$9-SQRT((1-S603)*($G$9-$E$9)*($G$9-$F$9))))</f>
        <v>0.923055114162745</v>
      </c>
      <c r="F603" s="51" t="n">
        <f aca="false">1+IF($G$10=$E$10,$F$10,IF(T603&lt;($F$10-$E$10)/($G$10-$E$10),$E$10+SQRT(T603*($G$10-$E$10)*($F$10-$E$10)),$G$10-SQRT((1-T603)*($G$10-$E$10)*($G$10-$F$10))))</f>
        <v>1.03548913641553</v>
      </c>
      <c r="G603" s="52" t="n">
        <f aca="false">IF($G$11=$E$11,$F$11,IF(U603&lt;($F$11-$E$11)/($G$11-$E$11),$E$11+SQRT(U603*($G$11-$E$11)*($F$11-$E$11)),$G$11-SQRT((1-U603)*($G$11-$E$11)*($G$11-$F$11))))</f>
        <v>0.095568627251343</v>
      </c>
      <c r="H603" s="53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-2070978272.83105</v>
      </c>
      <c r="I603" s="53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73528783.9614708</v>
      </c>
      <c r="J603" s="53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440124334.189115</v>
      </c>
      <c r="K603" s="53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858494341.237534</v>
      </c>
      <c r="L603" s="53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1019532468.24053</v>
      </c>
      <c r="M603" s="53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1233150324.67302</v>
      </c>
      <c r="N603" s="53" t="n">
        <f aca="false">IF(COUNT('Business Case'!B11:G11)=0,"",H603+NPV(G603,I603:M603))</f>
        <v>504671855.274164</v>
      </c>
      <c r="P603" s="54" t="n">
        <f aca="true">RAND()</f>
        <v>0.795046915713175</v>
      </c>
      <c r="Q603" s="54" t="n">
        <f aca="true">RAND()</f>
        <v>0.978416418716987</v>
      </c>
      <c r="R603" s="54" t="n">
        <f aca="true">RAND()</f>
        <v>0.0716407022057714</v>
      </c>
      <c r="S603" s="54" t="n">
        <f aca="true">RAND()</f>
        <v>0.0212615315622882</v>
      </c>
      <c r="T603" s="54" t="n">
        <f aca="true">RAND()</f>
        <v>0.386467858723237</v>
      </c>
      <c r="U603" s="54" t="n">
        <f aca="true">RAND()</f>
        <v>0.242382154491259</v>
      </c>
    </row>
    <row r="604" customFormat="false" ht="15" hidden="false" customHeight="false" outlineLevel="0" collapsed="false">
      <c r="A604" s="50" t="n">
        <v>524</v>
      </c>
      <c r="B604" s="51" t="n">
        <f aca="false">1+IF($G$6=$E$6,$F$6,IF(P604&lt;($F$6-$E$6)/($G$6-$E$6),$E$6+SQRT(P604*($G$6-$E$6)*($F$6-$E$6)),$G$6-SQRT((1-P604)*($G$6-$E$6)*($G$6-$F$6))))</f>
        <v>0.914387162063288</v>
      </c>
      <c r="C604" s="51" t="n">
        <f aca="false">1+IF($G$7=$E$7,$F$7,IF(Q604&lt;($F$7-$E$7)/($G$7-$E$7),$E$7+SQRT(Q604*($G$7-$E$7)*($F$7-$E$7)),$G$7-SQRT((1-Q604)*($G$7-$E$7)*($G$7-$F$7))))</f>
        <v>0.948456432323349</v>
      </c>
      <c r="D604" s="51" t="n">
        <f aca="false">1+IF($G$8=$E$8,$F$8,IF(R604&lt;($F$8-$E$8)/($G$8-$E$8),$E$8+SQRT(R604*($G$8-$E$8)*($F$8-$E$8)),$G$8-SQRT((1-R604)*($G$8-$E$8)*($G$8-$F$8))))</f>
        <v>0.987147253363315</v>
      </c>
      <c r="E604" s="51" t="n">
        <f aca="false">1+IF($G$9=$E$9,$F$9,IF(S604&lt;($F$9-$E$9)/($G$9-$E$9),$E$9+SQRT(S604*($G$9-$E$9)*($F$9-$E$9)),$G$9-SQRT((1-S604)*($G$9-$E$9)*($G$9-$F$9))))</f>
        <v>1.08321411588657</v>
      </c>
      <c r="F604" s="51" t="n">
        <f aca="false">1+IF($G$10=$E$10,$F$10,IF(T604&lt;($F$10-$E$10)/($G$10-$E$10),$E$10+SQRT(T604*($G$10-$E$10)*($F$10-$E$10)),$G$10-SQRT((1-T604)*($G$10-$E$10)*($G$10-$F$10))))</f>
        <v>1.1135536548187</v>
      </c>
      <c r="G604" s="52" t="n">
        <f aca="false">IF($G$11=$E$11,$F$11,IF(U604&lt;($F$11-$E$11)/($G$11-$E$11),$E$11+SQRT(U604*($G$11-$E$11)*($F$11-$E$11)),$G$11-SQRT((1-U604)*($G$11-$E$11)*($G$11-$F$11))))</f>
        <v>0.0953716754972332</v>
      </c>
      <c r="H604" s="53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-2227107309.6374</v>
      </c>
      <c r="I604" s="53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-79294935.3101605</v>
      </c>
      <c r="J604" s="53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151757113.164567</v>
      </c>
      <c r="K604" s="53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438486844.380229</v>
      </c>
      <c r="L604" s="53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545476574.554437</v>
      </c>
      <c r="M604" s="53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710324668.308912</v>
      </c>
      <c r="N604" s="53" t="n">
        <f aca="false">IF(COUNT('Business Case'!B11:G11)=0,"",H604+NPV(G604,I604:M604))</f>
        <v>-1010023992.61209</v>
      </c>
      <c r="P604" s="54" t="n">
        <f aca="true">RAND()</f>
        <v>0.0137993621490214</v>
      </c>
      <c r="Q604" s="54" t="n">
        <f aca="true">RAND()</f>
        <v>0.457263694539605</v>
      </c>
      <c r="R604" s="54" t="n">
        <f aca="true">RAND()</f>
        <v>0.183989124325107</v>
      </c>
      <c r="S604" s="54" t="n">
        <f aca="true">RAND()</f>
        <v>0.881057218218326</v>
      </c>
      <c r="T604" s="54" t="n">
        <f aca="true">RAND()</f>
        <v>0.751765265155546</v>
      </c>
      <c r="U604" s="54" t="n">
        <f aca="true">RAND()</f>
        <v>0.23628840759224</v>
      </c>
    </row>
    <row r="605" customFormat="false" ht="15" hidden="false" customHeight="false" outlineLevel="0" collapsed="false">
      <c r="A605" s="50" t="n">
        <v>525</v>
      </c>
      <c r="B605" s="51" t="n">
        <f aca="false">1+IF($G$6=$E$6,$F$6,IF(P605&lt;($F$6-$E$6)/($G$6-$E$6),$E$6+SQRT(P605*($G$6-$E$6)*($F$6-$E$6)),$G$6-SQRT((1-P605)*($G$6-$E$6)*($G$6-$F$6))))</f>
        <v>1.00607418110034</v>
      </c>
      <c r="C605" s="51" t="n">
        <f aca="false">1+IF($G$7=$E$7,$F$7,IF(Q605&lt;($F$7-$E$7)/($G$7-$E$7),$E$7+SQRT(Q605*($G$7-$E$7)*($F$7-$E$7)),$G$7-SQRT((1-Q605)*($G$7-$E$7)*($G$7-$F$7))))</f>
        <v>0.914883346483436</v>
      </c>
      <c r="D605" s="51" t="n">
        <f aca="false">1+IF($G$8=$E$8,$F$8,IF(R605&lt;($F$8-$E$8)/($G$8-$E$8),$E$8+SQRT(R605*($G$8-$E$8)*($F$8-$E$8)),$G$8-SQRT((1-R605)*($G$8-$E$8)*($G$8-$F$8))))</f>
        <v>0.990683964766159</v>
      </c>
      <c r="E605" s="51" t="n">
        <f aca="false">1+IF($G$9=$E$9,$F$9,IF(S605&lt;($F$9-$E$9)/($G$9-$E$9),$E$9+SQRT(S605*($G$9-$E$9)*($F$9-$E$9)),$G$9-SQRT((1-S605)*($G$9-$E$9)*($G$9-$F$9))))</f>
        <v>1.05330188566812</v>
      </c>
      <c r="F605" s="51" t="n">
        <f aca="false">1+IF($G$10=$E$10,$F$10,IF(T605&lt;($F$10-$E$10)/($G$10-$E$10),$E$10+SQRT(T605*($G$10-$E$10)*($F$10-$E$10)),$G$10-SQRT((1-T605)*($G$10-$E$10)*($G$10-$F$10))))</f>
        <v>1.14844978569275</v>
      </c>
      <c r="G605" s="52" t="n">
        <f aca="false">IF($G$11=$E$11,$F$11,IF(U605&lt;($F$11-$E$11)/($G$11-$E$11),$E$11+SQRT(U605*($G$11-$E$11)*($F$11-$E$11)),$G$11-SQRT((1-U605)*($G$11-$E$11)*($G$11-$F$11))))</f>
        <v>0.0979575614820039</v>
      </c>
      <c r="H605" s="53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-2296899571.3855</v>
      </c>
      <c r="I605" s="53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-22417035.3763151</v>
      </c>
      <c r="J605" s="53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267506072.184487</v>
      </c>
      <c r="K605" s="53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614851669.029928</v>
      </c>
      <c r="L605" s="53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743303129.034086</v>
      </c>
      <c r="M605" s="53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918260461.862151</v>
      </c>
      <c r="N605" s="53" t="n">
        <f aca="false">IF(COUNT('Business Case'!B11:G11)=0,"",H605+NPV(G605,I605:M605))</f>
        <v>-543919349.043837</v>
      </c>
      <c r="P605" s="54" t="n">
        <f aca="true">RAND()</f>
        <v>0.74273632453257</v>
      </c>
      <c r="Q605" s="54" t="n">
        <f aca="true">RAND()</f>
        <v>0.342035945154965</v>
      </c>
      <c r="R605" s="54" t="n">
        <f aca="true">RAND()</f>
        <v>0.220691331879205</v>
      </c>
      <c r="S605" s="54" t="n">
        <f aca="true">RAND()</f>
        <v>0.750652658257564</v>
      </c>
      <c r="T605" s="54" t="n">
        <f aca="true">RAND()</f>
        <v>0.862500719655361</v>
      </c>
      <c r="U605" s="54" t="n">
        <f aca="true">RAND()</f>
        <v>0.322474014379951</v>
      </c>
    </row>
    <row r="606" customFormat="false" ht="15" hidden="false" customHeight="false" outlineLevel="0" collapsed="false">
      <c r="A606" s="50" t="n">
        <v>526</v>
      </c>
      <c r="B606" s="51" t="n">
        <f aca="false">1+IF($G$6=$E$6,$F$6,IF(P606&lt;($F$6-$E$6)/($G$6-$E$6),$E$6+SQRT(P606*($G$6-$E$6)*($F$6-$E$6)),$G$6-SQRT((1-P606)*($G$6-$E$6)*($G$6-$F$6))))</f>
        <v>1.0245304137395</v>
      </c>
      <c r="C606" s="51" t="n">
        <f aca="false">1+IF($G$7=$E$7,$F$7,IF(Q606&lt;($F$7-$E$7)/($G$7-$E$7),$E$7+SQRT(Q606*($G$7-$E$7)*($F$7-$E$7)),$G$7-SQRT((1-Q606)*($G$7-$E$7)*($G$7-$F$7))))</f>
        <v>0.805815341521856</v>
      </c>
      <c r="D606" s="51" t="n">
        <f aca="false">1+IF($G$8=$E$8,$F$8,IF(R606&lt;($F$8-$E$8)/($G$8-$E$8),$E$8+SQRT(R606*($G$8-$E$8)*($F$8-$E$8)),$G$8-SQRT((1-R606)*($G$8-$E$8)*($G$8-$F$8))))</f>
        <v>0.993792925186374</v>
      </c>
      <c r="E606" s="51" t="n">
        <f aca="false">1+IF($G$9=$E$9,$F$9,IF(S606&lt;($F$9-$E$9)/($G$9-$E$9),$E$9+SQRT(S606*($G$9-$E$9)*($F$9-$E$9)),$G$9-SQRT((1-S606)*($G$9-$E$9)*($G$9-$F$9))))</f>
        <v>1.0476300831389</v>
      </c>
      <c r="F606" s="51" t="n">
        <f aca="false">1+IF($G$10=$E$10,$F$10,IF(T606&lt;($F$10-$E$10)/($G$10-$E$10),$E$10+SQRT(T606*($G$10-$E$10)*($F$10-$E$10)),$G$10-SQRT((1-T606)*($G$10-$E$10)*($G$10-$F$10))))</f>
        <v>1.0899589118777</v>
      </c>
      <c r="G606" s="52" t="n">
        <f aca="false">IF($G$11=$E$11,$F$11,IF(U606&lt;($F$11-$E$11)/($G$11-$E$11),$E$11+SQRT(U606*($G$11-$E$11)*($F$11-$E$11)),$G$11-SQRT((1-U606)*($G$11-$E$11)*($G$11-$F$11))))</f>
        <v>0.108288612000135</v>
      </c>
      <c r="H606" s="53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-2179917823.75541</v>
      </c>
      <c r="I606" s="53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-34508201.0898291</v>
      </c>
      <c r="J606" s="53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231750674.57127</v>
      </c>
      <c r="K606" s="53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552507495.826253</v>
      </c>
      <c r="L606" s="53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669792579.54049</v>
      </c>
      <c r="M606" s="53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826719267.923444</v>
      </c>
      <c r="N606" s="53" t="n">
        <f aca="false">IF(COUNT('Business Case'!B11:G11)=0,"",H606+NPV(G606,I606:M606))</f>
        <v>-678153784.391743</v>
      </c>
      <c r="P606" s="54" t="n">
        <f aca="true">RAND()</f>
        <v>0.913506690095854</v>
      </c>
      <c r="Q606" s="54" t="n">
        <f aca="true">RAND()</f>
        <v>0.0829399000102743</v>
      </c>
      <c r="R606" s="54" t="n">
        <f aca="true">RAND()</f>
        <v>0.25570937285058</v>
      </c>
      <c r="S606" s="54" t="n">
        <f aca="true">RAND()</f>
        <v>0.720544003249378</v>
      </c>
      <c r="T606" s="54" t="n">
        <f aca="true">RAND()</f>
        <v>0.658491334835082</v>
      </c>
      <c r="U606" s="54" t="n">
        <f aca="true">RAND()</f>
        <v>0.68574375407955</v>
      </c>
    </row>
    <row r="607" customFormat="false" ht="15" hidden="false" customHeight="false" outlineLevel="0" collapsed="false">
      <c r="A607" s="50" t="n">
        <v>527</v>
      </c>
      <c r="B607" s="51" t="n">
        <f aca="false">1+IF($G$6=$E$6,$F$6,IF(P607&lt;($F$6-$E$6)/($G$6-$E$6),$E$6+SQRT(P607*($G$6-$E$6)*($F$6-$E$6)),$G$6-SQRT((1-P607)*($G$6-$E$6)*($G$6-$F$6))))</f>
        <v>0.999189469194011</v>
      </c>
      <c r="C607" s="51" t="n">
        <f aca="false">1+IF($G$7=$E$7,$F$7,IF(Q607&lt;($F$7-$E$7)/($G$7-$E$7),$E$7+SQRT(Q607*($G$7-$E$7)*($F$7-$E$7)),$G$7-SQRT((1-Q607)*($G$7-$E$7)*($G$7-$F$7))))</f>
        <v>1.07269680420807</v>
      </c>
      <c r="D607" s="51" t="n">
        <f aca="false">1+IF($G$8=$E$8,$F$8,IF(R607&lt;($F$8-$E$8)/($G$8-$E$8),$E$8+SQRT(R607*($G$8-$E$8)*($F$8-$E$8)),$G$8-SQRT((1-R607)*($G$8-$E$8)*($G$8-$F$8))))</f>
        <v>1.08714761907228</v>
      </c>
      <c r="E607" s="51" t="n">
        <f aca="false">1+IF($G$9=$E$9,$F$9,IF(S607&lt;($F$9-$E$9)/($G$9-$E$9),$E$9+SQRT(S607*($G$9-$E$9)*($F$9-$E$9)),$G$9-SQRT((1-S607)*($G$9-$E$9)*($G$9-$F$9))))</f>
        <v>0.990992162401354</v>
      </c>
      <c r="F607" s="51" t="n">
        <f aca="false">1+IF($G$10=$E$10,$F$10,IF(T607&lt;($F$10-$E$10)/($G$10-$E$10),$E$10+SQRT(T607*($G$10-$E$10)*($F$10-$E$10)),$G$10-SQRT((1-T607)*($G$10-$E$10)*($G$10-$F$10))))</f>
        <v>1.06658947969741</v>
      </c>
      <c r="G607" s="52" t="n">
        <f aca="false">IF($G$11=$E$11,$F$11,IF(U607&lt;($F$11-$E$11)/($G$11-$E$11),$E$11+SQRT(U607*($G$11-$E$11)*($F$11-$E$11)),$G$11-SQRT((1-U607)*($G$11-$E$11)*($G$11-$F$11))))</f>
        <v>0.0919511860222072</v>
      </c>
      <c r="H607" s="53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-2133178959.39481</v>
      </c>
      <c r="I607" s="53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-22228543.0376538</v>
      </c>
      <c r="J607" s="53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258684477.232786</v>
      </c>
      <c r="K607" s="53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592926971.488096</v>
      </c>
      <c r="L607" s="53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723606998.141496</v>
      </c>
      <c r="M607" s="53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927339940.906056</v>
      </c>
      <c r="N607" s="53" t="n">
        <f aca="false">IF(COUNT('Business Case'!B11:G11)=0,"",H607+NPV(G607,I607:M607))</f>
        <v>-374876121.915166</v>
      </c>
      <c r="P607" s="54" t="n">
        <f aca="true">RAND()</f>
        <v>0.655903386599308</v>
      </c>
      <c r="Q607" s="54" t="n">
        <f aca="true">RAND()</f>
        <v>0.911469865486744</v>
      </c>
      <c r="R607" s="54" t="n">
        <f aca="true">RAND()</f>
        <v>0.988987753632579</v>
      </c>
      <c r="S607" s="54" t="n">
        <f aca="true">RAND()</f>
        <v>0.331182944738978</v>
      </c>
      <c r="T607" s="54" t="n">
        <f aca="true">RAND()</f>
        <v>0.551474413897758</v>
      </c>
      <c r="U607" s="54" t="n">
        <f aca="true">RAND()</f>
        <v>0.1428308473374</v>
      </c>
    </row>
    <row r="608" customFormat="false" ht="15" hidden="false" customHeight="false" outlineLevel="0" collapsed="false">
      <c r="A608" s="50" t="n">
        <v>528</v>
      </c>
      <c r="B608" s="51" t="n">
        <f aca="false">1+IF($G$6=$E$6,$F$6,IF(P608&lt;($F$6-$E$6)/($G$6-$E$6),$E$6+SQRT(P608*($G$6-$E$6)*($F$6-$E$6)),$G$6-SQRT((1-P608)*($G$6-$E$6)*($G$6-$F$6))))</f>
        <v>0.999751972052022</v>
      </c>
      <c r="C608" s="51" t="n">
        <f aca="false">1+IF($G$7=$E$7,$F$7,IF(Q608&lt;($F$7-$E$7)/($G$7-$E$7),$E$7+SQRT(Q608*($G$7-$E$7)*($F$7-$E$7)),$G$7-SQRT((1-Q608)*($G$7-$E$7)*($G$7-$F$7))))</f>
        <v>0.962477889923393</v>
      </c>
      <c r="D608" s="51" t="n">
        <f aca="false">1+IF($G$8=$E$8,$F$8,IF(R608&lt;($F$8-$E$8)/($G$8-$E$8),$E$8+SQRT(R608*($G$8-$E$8)*($F$8-$E$8)),$G$8-SQRT((1-R608)*($G$8-$E$8)*($G$8-$F$8))))</f>
        <v>1.02051364610339</v>
      </c>
      <c r="E608" s="51" t="n">
        <f aca="false">1+IF($G$9=$E$9,$F$9,IF(S608&lt;($F$9-$E$9)/($G$9-$E$9),$E$9+SQRT(S608*($G$9-$E$9)*($F$9-$E$9)),$G$9-SQRT((1-S608)*($G$9-$E$9)*($G$9-$F$9))))</f>
        <v>1.00717319060459</v>
      </c>
      <c r="F608" s="51" t="n">
        <f aca="false">1+IF($G$10=$E$10,$F$10,IF(T608&lt;($F$10-$E$10)/($G$10-$E$10),$E$10+SQRT(T608*($G$10-$E$10)*($F$10-$E$10)),$G$10-SQRT((1-T608)*($G$10-$E$10)*($G$10-$F$10))))</f>
        <v>1.03603275695702</v>
      </c>
      <c r="G608" s="52" t="n">
        <f aca="false">IF($G$11=$E$11,$F$11,IF(U608&lt;($F$11-$E$11)/($G$11-$E$11),$E$11+SQRT(U608*($G$11-$E$11)*($F$11-$E$11)),$G$11-SQRT((1-U608)*($G$11-$E$11)*($G$11-$F$11))))</f>
        <v>0.103582066626204</v>
      </c>
      <c r="H608" s="53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-2072065513.91403</v>
      </c>
      <c r="I608" s="53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-11381616.1404459</v>
      </c>
      <c r="J608" s="53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273942549.614205</v>
      </c>
      <c r="K608" s="53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611068353.216706</v>
      </c>
      <c r="L608" s="53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739431394.131871</v>
      </c>
      <c r="M608" s="53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922333815.281754</v>
      </c>
      <c r="N608" s="53" t="n">
        <f aca="false">IF(COUNT('Business Case'!B11:G11)=0,"",H608+NPV(G608,I608:M608))</f>
        <v>-340820043.708522</v>
      </c>
      <c r="P608" s="54" t="n">
        <f aca="true">RAND()</f>
        <v>0.663363728551158</v>
      </c>
      <c r="Q608" s="54" t="n">
        <f aca="true">RAND()</f>
        <v>0.510330686656569</v>
      </c>
      <c r="R608" s="54" t="n">
        <f aca="true">RAND()</f>
        <v>0.578794636281552</v>
      </c>
      <c r="S608" s="54" t="n">
        <f aca="true">RAND()</f>
        <v>0.456013400478031</v>
      </c>
      <c r="T608" s="54" t="n">
        <f aca="true">RAND()</f>
        <v>0.38957358539447</v>
      </c>
      <c r="U608" s="54" t="n">
        <f aca="true">RAND()</f>
        <v>0.534728530838439</v>
      </c>
    </row>
    <row r="609" customFormat="false" ht="15" hidden="false" customHeight="false" outlineLevel="0" collapsed="false">
      <c r="A609" s="50" t="n">
        <v>529</v>
      </c>
      <c r="B609" s="51" t="n">
        <f aca="false">1+IF($G$6=$E$6,$F$6,IF(P609&lt;($F$6-$E$6)/($G$6-$E$6),$E$6+SQRT(P609*($G$6-$E$6)*($F$6-$E$6)),$G$6-SQRT((1-P609)*($G$6-$E$6)*($G$6-$F$6))))</f>
        <v>0.964805891902741</v>
      </c>
      <c r="C609" s="51" t="n">
        <f aca="false">1+IF($G$7=$E$7,$F$7,IF(Q609&lt;($F$7-$E$7)/($G$7-$E$7),$E$7+SQRT(Q609*($G$7-$E$7)*($F$7-$E$7)),$G$7-SQRT((1-Q609)*($G$7-$E$7)*($G$7-$F$7))))</f>
        <v>0.948833631147618</v>
      </c>
      <c r="D609" s="51" t="n">
        <f aca="false">1+IF($G$8=$E$8,$F$8,IF(R609&lt;($F$8-$E$8)/($G$8-$E$8),$E$8+SQRT(R609*($G$8-$E$8)*($F$8-$E$8)),$G$8-SQRT((1-R609)*($G$8-$E$8)*($G$8-$F$8))))</f>
        <v>0.957022126006127</v>
      </c>
      <c r="E609" s="51" t="n">
        <f aca="false">1+IF($G$9=$E$9,$F$9,IF(S609&lt;($F$9-$E$9)/($G$9-$E$9),$E$9+SQRT(S609*($G$9-$E$9)*($F$9-$E$9)),$G$9-SQRT((1-S609)*($G$9-$E$9)*($G$9-$F$9))))</f>
        <v>0.964887869295082</v>
      </c>
      <c r="F609" s="51" t="n">
        <f aca="false">1+IF($G$10=$E$10,$F$10,IF(T609&lt;($F$10-$E$10)/($G$10-$E$10),$E$10+SQRT(T609*($G$10-$E$10)*($F$10-$E$10)),$G$10-SQRT((1-T609)*($G$10-$E$10)*($G$10-$F$10))))</f>
        <v>1.03487257995261</v>
      </c>
      <c r="G609" s="52" t="n">
        <f aca="false">IF($G$11=$E$11,$F$11,IF(U609&lt;($F$11-$E$11)/($G$11-$E$11),$E$11+SQRT(U609*($G$11-$E$11)*($F$11-$E$11)),$G$11-SQRT((1-U609)*($G$11-$E$11)*($G$11-$F$11))))</f>
        <v>0.123647689907457</v>
      </c>
      <c r="H609" s="53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-2069745159.90521</v>
      </c>
      <c r="I609" s="53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-3190640.23560022</v>
      </c>
      <c r="J609" s="53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281769456.537246</v>
      </c>
      <c r="K609" s="53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618473182.307723</v>
      </c>
      <c r="L609" s="53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745097497.231622</v>
      </c>
      <c r="M609" s="53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919104385.229515</v>
      </c>
      <c r="N609" s="53" t="n">
        <f aca="false">IF(COUNT('Business Case'!B11:G11)=0,"",H609+NPV(G609,I609:M609))</f>
        <v>-432953949.33011</v>
      </c>
      <c r="P609" s="54" t="n">
        <f aca="true">RAND()</f>
        <v>0.27998690835398</v>
      </c>
      <c r="Q609" s="54" t="n">
        <f aca="true">RAND()</f>
        <v>0.458653155482289</v>
      </c>
      <c r="R609" s="54" t="n">
        <f aca="true">RAND()</f>
        <v>0.00657470048612365</v>
      </c>
      <c r="S609" s="54" t="n">
        <f aca="true">RAND()</f>
        <v>0.168417423266224</v>
      </c>
      <c r="T609" s="54" t="n">
        <f aca="true">RAND()</f>
        <v>0.382935908583364</v>
      </c>
      <c r="U609" s="54" t="n">
        <f aca="true">RAND()</f>
        <v>0.973098770992116</v>
      </c>
    </row>
    <row r="610" customFormat="false" ht="15" hidden="false" customHeight="false" outlineLevel="0" collapsed="false">
      <c r="A610" s="50" t="n">
        <v>530</v>
      </c>
      <c r="B610" s="51" t="n">
        <f aca="false">1+IF($G$6=$E$6,$F$6,IF(P610&lt;($F$6-$E$6)/($G$6-$E$6),$E$6+SQRT(P610*($G$6-$E$6)*($F$6-$E$6)),$G$6-SQRT((1-P610)*($G$6-$E$6)*($G$6-$F$6))))</f>
        <v>0.980148901633924</v>
      </c>
      <c r="C610" s="51" t="n">
        <f aca="false">1+IF($G$7=$E$7,$F$7,IF(Q610&lt;($F$7-$E$7)/($G$7-$E$7),$E$7+SQRT(Q610*($G$7-$E$7)*($F$7-$E$7)),$G$7-SQRT((1-Q610)*($G$7-$E$7)*($G$7-$F$7))))</f>
        <v>1.02796206700531</v>
      </c>
      <c r="D610" s="51" t="n">
        <f aca="false">1+IF($G$8=$E$8,$F$8,IF(R610&lt;($F$8-$E$8)/($G$8-$E$8),$E$8+SQRT(R610*($G$8-$E$8)*($F$8-$E$8)),$G$8-SQRT((1-R610)*($G$8-$E$8)*($G$8-$F$8))))</f>
        <v>1.03503671116417</v>
      </c>
      <c r="E610" s="51" t="n">
        <f aca="false">1+IF($G$9=$E$9,$F$9,IF(S610&lt;($F$9-$E$9)/($G$9-$E$9),$E$9+SQRT(S610*($G$9-$E$9)*($F$9-$E$9)),$G$9-SQRT((1-S610)*($G$9-$E$9)*($G$9-$F$9))))</f>
        <v>1.03546929356063</v>
      </c>
      <c r="F610" s="51" t="n">
        <f aca="false">1+IF($G$10=$E$10,$F$10,IF(T610&lt;($F$10-$E$10)/($G$10-$E$10),$E$10+SQRT(T610*($G$10-$E$10)*($F$10-$E$10)),$G$10-SQRT((1-T610)*($G$10-$E$10)*($G$10-$F$10))))</f>
        <v>1.10441261990392</v>
      </c>
      <c r="G610" s="52" t="n">
        <f aca="false">IF($G$11=$E$11,$F$11,IF(U610&lt;($F$11-$E$11)/($G$11-$E$11),$E$11+SQRT(U610*($G$11-$E$11)*($F$11-$E$11)),$G$11-SQRT((1-U610)*($G$11-$E$11)*($G$11-$F$11))))</f>
        <v>0.0920708565231608</v>
      </c>
      <c r="H610" s="53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-2208825239.80785</v>
      </c>
      <c r="I610" s="53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-29327736.2139416</v>
      </c>
      <c r="J610" s="53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251261220.49091</v>
      </c>
      <c r="K610" s="53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587070808.190959</v>
      </c>
      <c r="L610" s="53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715421592.015296</v>
      </c>
      <c r="M610" s="53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906937815.756921</v>
      </c>
      <c r="N610" s="53" t="n">
        <f aca="false">IF(COUNT('Business Case'!B11:G11)=0,"",H610+NPV(G610,I610:M610))</f>
        <v>-487378666.684985</v>
      </c>
      <c r="P610" s="54" t="n">
        <f aca="true">RAND()</f>
        <v>0.428256428874957</v>
      </c>
      <c r="Q610" s="54" t="n">
        <f aca="true">RAND()</f>
        <v>0.779359154227916</v>
      </c>
      <c r="R610" s="54" t="n">
        <f aca="true">RAND()</f>
        <v>0.718651406908831</v>
      </c>
      <c r="S610" s="54" t="n">
        <f aca="true">RAND()</f>
        <v>0.650205794199978</v>
      </c>
      <c r="T610" s="54" t="n">
        <f aca="true">RAND()</f>
        <v>0.717390863423471</v>
      </c>
      <c r="U610" s="54" t="n">
        <f aca="true">RAND()</f>
        <v>0.145705577202733</v>
      </c>
    </row>
    <row r="611" customFormat="false" ht="15" hidden="false" customHeight="false" outlineLevel="0" collapsed="false">
      <c r="A611" s="50" t="n">
        <v>531</v>
      </c>
      <c r="B611" s="51" t="n">
        <f aca="false">1+IF($G$6=$E$6,$F$6,IF(P611&lt;($F$6-$E$6)/($G$6-$E$6),$E$6+SQRT(P611*($G$6-$E$6)*($F$6-$E$6)),$G$6-SQRT((1-P611)*($G$6-$E$6)*($G$6-$F$6))))</f>
        <v>0.988812149325493</v>
      </c>
      <c r="C611" s="51" t="n">
        <f aca="false">1+IF($G$7=$E$7,$F$7,IF(Q611&lt;($F$7-$E$7)/($G$7-$E$7),$E$7+SQRT(Q611*($G$7-$E$7)*($F$7-$E$7)),$G$7-SQRT((1-Q611)*($G$7-$E$7)*($G$7-$F$7))))</f>
        <v>0.992184229139695</v>
      </c>
      <c r="D611" s="51" t="n">
        <f aca="false">1+IF($G$8=$E$8,$F$8,IF(R611&lt;($F$8-$E$8)/($G$8-$E$8),$E$8+SQRT(R611*($G$8-$E$8)*($F$8-$E$8)),$G$8-SQRT((1-R611)*($G$8-$E$8)*($G$8-$F$8))))</f>
        <v>1.03886712846149</v>
      </c>
      <c r="E611" s="51" t="n">
        <f aca="false">1+IF($G$9=$E$9,$F$9,IF(S611&lt;($F$9-$E$9)/($G$9-$E$9),$E$9+SQRT(S611*($G$9-$E$9)*($F$9-$E$9)),$G$9-SQRT((1-S611)*($G$9-$E$9)*($G$9-$F$9))))</f>
        <v>1.01611600537791</v>
      </c>
      <c r="F611" s="51" t="n">
        <f aca="false">1+IF($G$10=$E$10,$F$10,IF(T611&lt;($F$10-$E$10)/($G$10-$E$10),$E$10+SQRT(T611*($G$10-$E$10)*($F$10-$E$10)),$G$10-SQRT((1-T611)*($G$10-$E$10)*($G$10-$F$10))))</f>
        <v>1.01229961337052</v>
      </c>
      <c r="G611" s="52" t="n">
        <f aca="false">IF($G$11=$E$11,$F$11,IF(U611&lt;($F$11-$E$11)/($G$11-$E$11),$E$11+SQRT(U611*($G$11-$E$11)*($F$11-$E$11)),$G$11-SQRT((1-U611)*($G$11-$E$11)*($G$11-$F$11))))</f>
        <v>0.115101656636099</v>
      </c>
      <c r="H611" s="53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-2024599226.74105</v>
      </c>
      <c r="I611" s="53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-20663057.4876929</v>
      </c>
      <c r="J611" s="53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255254927.562592</v>
      </c>
      <c r="K611" s="53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581787893.281403</v>
      </c>
      <c r="L611" s="53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707666811.788955</v>
      </c>
      <c r="M611" s="53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894151224.321637</v>
      </c>
      <c r="N611" s="53" t="n">
        <f aca="false">IF(COUNT('Business Case'!B11:G11)=0,"",H611+NPV(G611,I611:M611))</f>
        <v>-441966914.040761</v>
      </c>
      <c r="P611" s="54" t="n">
        <f aca="true">RAND()</f>
        <v>0.525839857854248</v>
      </c>
      <c r="Q611" s="54" t="n">
        <f aca="true">RAND()</f>
        <v>0.632382398207096</v>
      </c>
      <c r="R611" s="54" t="n">
        <f aca="true">RAND()</f>
        <v>0.750851467830393</v>
      </c>
      <c r="S611" s="54" t="n">
        <f aca="true">RAND()</f>
        <v>0.522002026240863</v>
      </c>
      <c r="T611" s="54" t="n">
        <f aca="true">RAND()</f>
        <v>0.246647015949307</v>
      </c>
      <c r="U611" s="54" t="n">
        <f aca="true">RAND()</f>
        <v>0.852026243340881</v>
      </c>
    </row>
    <row r="612" customFormat="false" ht="15" hidden="false" customHeight="false" outlineLevel="0" collapsed="false">
      <c r="A612" s="50" t="n">
        <v>532</v>
      </c>
      <c r="B612" s="51" t="n">
        <f aca="false">1+IF($G$6=$E$6,$F$6,IF(P612&lt;($F$6-$E$6)/($G$6-$E$6),$E$6+SQRT(P612*($G$6-$E$6)*($F$6-$E$6)),$G$6-SQRT((1-P612)*($G$6-$E$6)*($G$6-$F$6))))</f>
        <v>0.994594920582225</v>
      </c>
      <c r="C612" s="51" t="n">
        <f aca="false">1+IF($G$7=$E$7,$F$7,IF(Q612&lt;($F$7-$E$7)/($G$7-$E$7),$E$7+SQRT(Q612*($G$7-$E$7)*($F$7-$E$7)),$G$7-SQRT((1-Q612)*($G$7-$E$7)*($G$7-$F$7))))</f>
        <v>0.851271142383007</v>
      </c>
      <c r="D612" s="51" t="n">
        <f aca="false">1+IF($G$8=$E$8,$F$8,IF(R612&lt;($F$8-$E$8)/($G$8-$E$8),$E$8+SQRT(R612*($G$8-$E$8)*($F$8-$E$8)),$G$8-SQRT((1-R612)*($G$8-$E$8)*($G$8-$F$8))))</f>
        <v>0.969794473066282</v>
      </c>
      <c r="E612" s="51" t="n">
        <f aca="false">1+IF($G$9=$E$9,$F$9,IF(S612&lt;($F$9-$E$9)/($G$9-$E$9),$E$9+SQRT(S612*($G$9-$E$9)*($F$9-$E$9)),$G$9-SQRT((1-S612)*($G$9-$E$9)*($G$9-$F$9))))</f>
        <v>1.07093878545377</v>
      </c>
      <c r="F612" s="51" t="n">
        <f aca="false">1+IF($G$10=$E$10,$F$10,IF(T612&lt;($F$10-$E$10)/($G$10-$E$10),$E$10+SQRT(T612*($G$10-$E$10)*($F$10-$E$10)),$G$10-SQRT((1-T612)*($G$10-$E$10)*($G$10-$F$10))))</f>
        <v>1.17573232460273</v>
      </c>
      <c r="G612" s="52" t="n">
        <f aca="false">IF($G$11=$E$11,$F$11,IF(U612&lt;($F$11-$E$11)/($G$11-$E$11),$E$11+SQRT(U612*($G$11-$E$11)*($F$11-$E$11)),$G$11-SQRT((1-U612)*($G$11-$E$11)*($G$11-$F$11))))</f>
        <v>0.108778552917247</v>
      </c>
      <c r="H612" s="53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-2351464649.20547</v>
      </c>
      <c r="I612" s="53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-42888121.836427</v>
      </c>
      <c r="J612" s="53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227975854.507388</v>
      </c>
      <c r="K612" s="53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557626447.08134</v>
      </c>
      <c r="L612" s="53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677175352.814907</v>
      </c>
      <c r="M612" s="53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838110377.719197</v>
      </c>
      <c r="N612" s="53" t="n">
        <f aca="false">IF(COUNT('Business Case'!B11:G11)=0,"",H612+NPV(G612,I612:M612))</f>
        <v>-847457726.291664</v>
      </c>
      <c r="P612" s="54" t="n">
        <f aca="true">RAND()</f>
        <v>0.596546599997164</v>
      </c>
      <c r="Q612" s="54" t="n">
        <f aca="true">RAND()</f>
        <v>0.169503396428592</v>
      </c>
      <c r="R612" s="54" t="n">
        <f aca="true">RAND()</f>
        <v>0.0522428218629038</v>
      </c>
      <c r="S612" s="54" t="n">
        <f aca="true">RAND()</f>
        <v>0.833315316119333</v>
      </c>
      <c r="T612" s="54" t="n">
        <f aca="true">RAND()</f>
        <v>0.926457498547815</v>
      </c>
      <c r="U612" s="54" t="n">
        <f aca="true">RAND()</f>
        <v>0.699766789142608</v>
      </c>
    </row>
    <row r="613" customFormat="false" ht="15" hidden="false" customHeight="false" outlineLevel="0" collapsed="false">
      <c r="A613" s="50" t="n">
        <v>533</v>
      </c>
      <c r="B613" s="51" t="n">
        <f aca="false">1+IF($G$6=$E$6,$F$6,IF(P613&lt;($F$6-$E$6)/($G$6-$E$6),$E$6+SQRT(P613*($G$6-$E$6)*($F$6-$E$6)),$G$6-SQRT((1-P613)*($G$6-$E$6)*($G$6-$F$6))))</f>
        <v>0.991831151003324</v>
      </c>
      <c r="C613" s="51" t="n">
        <f aca="false">1+IF($G$7=$E$7,$F$7,IF(Q613&lt;($F$7-$E$7)/($G$7-$E$7),$E$7+SQRT(Q613*($G$7-$E$7)*($F$7-$E$7)),$G$7-SQRT((1-Q613)*($G$7-$E$7)*($G$7-$F$7))))</f>
        <v>0.722752490623176</v>
      </c>
      <c r="D613" s="51" t="n">
        <f aca="false">1+IF($G$8=$E$8,$F$8,IF(R613&lt;($F$8-$E$8)/($G$8-$E$8),$E$8+SQRT(R613*($G$8-$E$8)*($F$8-$E$8)),$G$8-SQRT((1-R613)*($G$8-$E$8)*($G$8-$F$8))))</f>
        <v>1.06494643936497</v>
      </c>
      <c r="E613" s="51" t="n">
        <f aca="false">1+IF($G$9=$E$9,$F$9,IF(S613&lt;($F$9-$E$9)/($G$9-$E$9),$E$9+SQRT(S613*($G$9-$E$9)*($F$9-$E$9)),$G$9-SQRT((1-S613)*($G$9-$E$9)*($G$9-$F$9))))</f>
        <v>1.06961980660066</v>
      </c>
      <c r="F613" s="51" t="n">
        <f aca="false">1+IF($G$10=$E$10,$F$10,IF(T613&lt;($F$10-$E$10)/($G$10-$E$10),$E$10+SQRT(T613*($G$10-$E$10)*($F$10-$E$10)),$G$10-SQRT((1-T613)*($G$10-$E$10)*($G$10-$F$10))))</f>
        <v>1.02968348579825</v>
      </c>
      <c r="G613" s="52" t="n">
        <f aca="false">IF($G$11=$E$11,$F$11,IF(U613&lt;($F$11-$E$11)/($G$11-$E$11),$E$11+SQRT(U613*($G$11-$E$11)*($F$11-$E$11)),$G$11-SQRT((1-U613)*($G$11-$E$11)*($G$11-$F$11))))</f>
        <v>0.117674672188857</v>
      </c>
      <c r="H613" s="53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-2059366971.59649</v>
      </c>
      <c r="I613" s="53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-99100309.4508254</v>
      </c>
      <c r="J613" s="53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94029089.0298366</v>
      </c>
      <c r="K613" s="53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338642661.800411</v>
      </c>
      <c r="L613" s="53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427793409.862665</v>
      </c>
      <c r="M613" s="53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564051960.323846</v>
      </c>
      <c r="N613" s="53" t="n">
        <f aca="false">IF(COUNT('Business Case'!B11:G11)=0,"",H613+NPV(G613,I613:M613))</f>
        <v>-1232673539.54152</v>
      </c>
      <c r="P613" s="54" t="n">
        <f aca="true">RAND()</f>
        <v>0.56219735297302</v>
      </c>
      <c r="Q613" s="54" t="n">
        <f aca="true">RAND()</f>
        <v>0.00383463577450157</v>
      </c>
      <c r="R613" s="54" t="n">
        <f aca="true">RAND()</f>
        <v>0.918083192453737</v>
      </c>
      <c r="S613" s="54" t="n">
        <f aca="true">RAND()</f>
        <v>0.827707320242247</v>
      </c>
      <c r="T613" s="54" t="n">
        <f aca="true">RAND()</f>
        <v>0.352808447599847</v>
      </c>
      <c r="U613" s="54" t="n">
        <f aca="true">RAND()</f>
        <v>0.898724196231905</v>
      </c>
    </row>
    <row r="614" customFormat="false" ht="15" hidden="false" customHeight="false" outlineLevel="0" collapsed="false">
      <c r="A614" s="50" t="n">
        <v>534</v>
      </c>
      <c r="B614" s="51" t="n">
        <f aca="false">1+IF($G$6=$E$6,$F$6,IF(P614&lt;($F$6-$E$6)/($G$6-$E$6),$E$6+SQRT(P614*($G$6-$E$6)*($F$6-$E$6)),$G$6-SQRT((1-P614)*($G$6-$E$6)*($G$6-$F$6))))</f>
        <v>0.920009708694314</v>
      </c>
      <c r="C614" s="51" t="n">
        <f aca="false">1+IF($G$7=$E$7,$F$7,IF(Q614&lt;($F$7-$E$7)/($G$7-$E$7),$E$7+SQRT(Q614*($G$7-$E$7)*($F$7-$E$7)),$G$7-SQRT((1-Q614)*($G$7-$E$7)*($G$7-$F$7))))</f>
        <v>1.11227360090072</v>
      </c>
      <c r="D614" s="51" t="n">
        <f aca="false">1+IF($G$8=$E$8,$F$8,IF(R614&lt;($F$8-$E$8)/($G$8-$E$8),$E$8+SQRT(R614*($G$8-$E$8)*($F$8-$E$8)),$G$8-SQRT((1-R614)*($G$8-$E$8)*($G$8-$F$8))))</f>
        <v>1.04189076313661</v>
      </c>
      <c r="E614" s="51" t="n">
        <f aca="false">1+IF($G$9=$E$9,$F$9,IF(S614&lt;($F$9-$E$9)/($G$9-$E$9),$E$9+SQRT(S614*($G$9-$E$9)*($F$9-$E$9)),$G$9-SQRT((1-S614)*($G$9-$E$9)*($G$9-$F$9))))</f>
        <v>1.00965563180992</v>
      </c>
      <c r="F614" s="51" t="n">
        <f aca="false">1+IF($G$10=$E$10,$F$10,IF(T614&lt;($F$10-$E$10)/($G$10-$E$10),$E$10+SQRT(T614*($G$10-$E$10)*($F$10-$E$10)),$G$10-SQRT((1-T614)*($G$10-$E$10)*($G$10-$F$10))))</f>
        <v>0.979761083734529</v>
      </c>
      <c r="G614" s="52" t="n">
        <f aca="false">IF($G$11=$E$11,$F$11,IF(U614&lt;($F$11-$E$11)/($G$11-$E$11),$E$11+SQRT(U614*($G$11-$E$11)*($F$11-$E$11)),$G$11-SQRT((1-U614)*($G$11-$E$11)*($G$11-$F$11))))</f>
        <v>0.113770139828839</v>
      </c>
      <c r="H614" s="53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-1959522167.46906</v>
      </c>
      <c r="I614" s="53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-49686203.7855732</v>
      </c>
      <c r="J614" s="53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195224733.844587</v>
      </c>
      <c r="K614" s="53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489123725.661474</v>
      </c>
      <c r="L614" s="53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606126039.6708</v>
      </c>
      <c r="M614" s="53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800635381.066804</v>
      </c>
      <c r="N614" s="53" t="n">
        <f aca="false">IF(COUNT('Business Case'!B11:G11)=0,"",H614+NPV(G614,I614:M614))</f>
        <v>-631685875.920821</v>
      </c>
      <c r="P614" s="54" t="n">
        <f aca="true">RAND()</f>
        <v>0.0266925628020882</v>
      </c>
      <c r="Q614" s="54" t="n">
        <f aca="true">RAND()</f>
        <v>0.978914352755583</v>
      </c>
      <c r="R614" s="54" t="n">
        <f aca="true">RAND()</f>
        <v>0.774887772743605</v>
      </c>
      <c r="S614" s="54" t="n">
        <f aca="true">RAND()</f>
        <v>0.474758888462064</v>
      </c>
      <c r="T614" s="54" t="n">
        <f aca="true">RAND()</f>
        <v>0.0590481403369093</v>
      </c>
      <c r="U614" s="54" t="n">
        <f aca="true">RAND()</f>
        <v>0.824394425883032</v>
      </c>
    </row>
    <row r="615" customFormat="false" ht="15" hidden="false" customHeight="false" outlineLevel="0" collapsed="false">
      <c r="A615" s="50" t="n">
        <v>535</v>
      </c>
      <c r="B615" s="51" t="n">
        <f aca="false">1+IF($G$6=$E$6,$F$6,IF(P615&lt;($F$6-$E$6)/($G$6-$E$6),$E$6+SQRT(P615*($G$6-$E$6)*($F$6-$E$6)),$G$6-SQRT((1-P615)*($G$6-$E$6)*($G$6-$F$6))))</f>
        <v>1.03999931986174</v>
      </c>
      <c r="C615" s="51" t="n">
        <f aca="false">1+IF($G$7=$E$7,$F$7,IF(Q615&lt;($F$7-$E$7)/($G$7-$E$7),$E$7+SQRT(Q615*($G$7-$E$7)*($F$7-$E$7)),$G$7-SQRT((1-Q615)*($G$7-$E$7)*($G$7-$F$7))))</f>
        <v>0.972234570334687</v>
      </c>
      <c r="D615" s="51" t="n">
        <f aca="false">1+IF($G$8=$E$8,$F$8,IF(R615&lt;($F$8-$E$8)/($G$8-$E$8),$E$8+SQRT(R615*($G$8-$E$8)*($F$8-$E$8)),$G$8-SQRT((1-R615)*($G$8-$E$8)*($G$8-$F$8))))</f>
        <v>1.08553780323937</v>
      </c>
      <c r="E615" s="51" t="n">
        <f aca="false">1+IF($G$9=$E$9,$F$9,IF(S615&lt;($F$9-$E$9)/($G$9-$E$9),$E$9+SQRT(S615*($G$9-$E$9)*($F$9-$E$9)),$G$9-SQRT((1-S615)*($G$9-$E$9)*($G$9-$F$9))))</f>
        <v>0.978840624524044</v>
      </c>
      <c r="F615" s="51" t="n">
        <f aca="false">1+IF($G$10=$E$10,$F$10,IF(T615&lt;($F$10-$E$10)/($G$10-$E$10),$E$10+SQRT(T615*($G$10-$E$10)*($F$10-$E$10)),$G$10-SQRT((1-T615)*($G$10-$E$10)*($G$10-$F$10))))</f>
        <v>1.1054753005832</v>
      </c>
      <c r="G615" s="52" t="n">
        <f aca="false">IF($G$11=$E$11,$F$11,IF(U615&lt;($F$11-$E$11)/($G$11-$E$11),$E$11+SQRT(U615*($G$11-$E$11)*($F$11-$E$11)),$G$11-SQRT((1-U615)*($G$11-$E$11)*($G$11-$F$11))))</f>
        <v>0.0994109172388593</v>
      </c>
      <c r="H615" s="53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-2210950601.1664</v>
      </c>
      <c r="I615" s="53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-14251548.0025529</v>
      </c>
      <c r="J615" s="53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273652202.312326</v>
      </c>
      <c r="K615" s="53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616829717.656364</v>
      </c>
      <c r="L615" s="53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747742055.395852</v>
      </c>
      <c r="M615" s="53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939936370.719091</v>
      </c>
      <c r="N615" s="53" t="n">
        <f aca="false">IF(COUNT('Business Case'!B11:G11)=0,"",H615+NPV(G615,I615:M615))</f>
        <v>-436328419.547371</v>
      </c>
      <c r="P615" s="54" t="n">
        <f aca="true">RAND()</f>
        <v>0.986664852902956</v>
      </c>
      <c r="Q615" s="54" t="n">
        <f aca="true">RAND()</f>
        <v>0.548975268780087</v>
      </c>
      <c r="R615" s="54" t="n">
        <f aca="true">RAND()</f>
        <v>0.986056324323789</v>
      </c>
      <c r="S615" s="54" t="n">
        <f aca="true">RAND()</f>
        <v>0.248633763013654</v>
      </c>
      <c r="T615" s="54" t="n">
        <f aca="true">RAND()</f>
        <v>0.721501483446445</v>
      </c>
      <c r="U615" s="54" t="n">
        <f aca="true">RAND()</f>
        <v>0.376783708053844</v>
      </c>
    </row>
    <row r="616" customFormat="false" ht="15" hidden="false" customHeight="false" outlineLevel="0" collapsed="false">
      <c r="A616" s="50" t="n">
        <v>536</v>
      </c>
      <c r="B616" s="51" t="n">
        <f aca="false">1+IF($G$6=$E$6,$F$6,IF(P616&lt;($F$6-$E$6)/($G$6-$E$6),$E$6+SQRT(P616*($G$6-$E$6)*($F$6-$E$6)),$G$6-SQRT((1-P616)*($G$6-$E$6)*($G$6-$F$6))))</f>
        <v>0.938058483971936</v>
      </c>
      <c r="C616" s="51" t="n">
        <f aca="false">1+IF($G$7=$E$7,$F$7,IF(Q616&lt;($F$7-$E$7)/($G$7-$E$7),$E$7+SQRT(Q616*($G$7-$E$7)*($F$7-$E$7)),$G$7-SQRT((1-Q616)*($G$7-$E$7)*($G$7-$F$7))))</f>
        <v>0.979080664413913</v>
      </c>
      <c r="D616" s="51" t="n">
        <f aca="false">1+IF($G$8=$E$8,$F$8,IF(R616&lt;($F$8-$E$8)/($G$8-$E$8),$E$8+SQRT(R616*($G$8-$E$8)*($F$8-$E$8)),$G$8-SQRT((1-R616)*($G$8-$E$8)*($G$8-$F$8))))</f>
        <v>0.987771636409164</v>
      </c>
      <c r="E616" s="51" t="n">
        <f aca="false">1+IF($G$9=$E$9,$F$9,IF(S616&lt;($F$9-$E$9)/($G$9-$E$9),$E$9+SQRT(S616*($G$9-$E$9)*($F$9-$E$9)),$G$9-SQRT((1-S616)*($G$9-$E$9)*($G$9-$F$9))))</f>
        <v>1.1108348517024</v>
      </c>
      <c r="F616" s="51" t="n">
        <f aca="false">1+IF($G$10=$E$10,$F$10,IF(T616&lt;($F$10-$E$10)/($G$10-$E$10),$E$10+SQRT(T616*($G$10-$E$10)*($F$10-$E$10)),$G$10-SQRT((1-T616)*($G$10-$E$10)*($G$10-$F$10))))</f>
        <v>1.00084746644279</v>
      </c>
      <c r="G616" s="52" t="n">
        <f aca="false">IF($G$11=$E$11,$F$11,IF(U616&lt;($F$11-$E$11)/($G$11-$E$11),$E$11+SQRT(U616*($G$11-$E$11)*($F$11-$E$11)),$G$11-SQRT((1-U616)*($G$11-$E$11)*($G$11-$F$11))))</f>
        <v>0.0991936620828548</v>
      </c>
      <c r="H616" s="53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-2001694932.88558</v>
      </c>
      <c r="I616" s="53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-48474782.8449223</v>
      </c>
      <c r="J616" s="53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208707563.313527</v>
      </c>
      <c r="K616" s="53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515932282.794115</v>
      </c>
      <c r="L616" s="53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633400842.478272</v>
      </c>
      <c r="M616" s="53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807976952.783979</v>
      </c>
      <c r="N616" s="53" t="n">
        <f aca="false">IF(COUNT('Business Case'!B11:G11)=0,"",H616+NPV(G616,I616:M616))</f>
        <v>-547150174.78918</v>
      </c>
      <c r="P616" s="54" t="n">
        <f aca="true">RAND()</f>
        <v>0.0965632134828068</v>
      </c>
      <c r="Q616" s="54" t="n">
        <f aca="true">RAND()</f>
        <v>0.576933461108971</v>
      </c>
      <c r="R616" s="54" t="n">
        <f aca="true">RAND()</f>
        <v>0.190226202270142</v>
      </c>
      <c r="S616" s="54" t="n">
        <f aca="true">RAND()</f>
        <v>0.959095764235384</v>
      </c>
      <c r="T616" s="54" t="n">
        <f aca="true">RAND()</f>
        <v>0.172306866960325</v>
      </c>
      <c r="U616" s="54" t="n">
        <f aca="true">RAND()</f>
        <v>0.368396664150817</v>
      </c>
    </row>
    <row r="617" customFormat="false" ht="15" hidden="false" customHeight="false" outlineLevel="0" collapsed="false">
      <c r="A617" s="50" t="n">
        <v>537</v>
      </c>
      <c r="B617" s="51" t="n">
        <f aca="false">1+IF($G$6=$E$6,$F$6,IF(P617&lt;($F$6-$E$6)/($G$6-$E$6),$E$6+SQRT(P617*($G$6-$E$6)*($F$6-$E$6)),$G$6-SQRT((1-P617)*($G$6-$E$6)*($G$6-$F$6))))</f>
        <v>0.96887502431085</v>
      </c>
      <c r="C617" s="51" t="n">
        <f aca="false">1+IF($G$7=$E$7,$F$7,IF(Q617&lt;($F$7-$E$7)/($G$7-$E$7),$E$7+SQRT(Q617*($G$7-$E$7)*($F$7-$E$7)),$G$7-SQRT((1-Q617)*($G$7-$E$7)*($G$7-$F$7))))</f>
        <v>0.839656372145263</v>
      </c>
      <c r="D617" s="51" t="n">
        <f aca="false">1+IF($G$8=$E$8,$F$8,IF(R617&lt;($F$8-$E$8)/($G$8-$E$8),$E$8+SQRT(R617*($G$8-$E$8)*($F$8-$E$8)),$G$8-SQRT((1-R617)*($G$8-$E$8)*($G$8-$F$8))))</f>
        <v>1.03905171510574</v>
      </c>
      <c r="E617" s="51" t="n">
        <f aca="false">1+IF($G$9=$E$9,$F$9,IF(S617&lt;($F$9-$E$9)/($G$9-$E$9),$E$9+SQRT(S617*($G$9-$E$9)*($F$9-$E$9)),$G$9-SQRT((1-S617)*($G$9-$E$9)*($G$9-$F$9))))</f>
        <v>1.03895162153401</v>
      </c>
      <c r="F617" s="51" t="n">
        <f aca="false">1+IF($G$10=$E$10,$F$10,IF(T617&lt;($F$10-$E$10)/($G$10-$E$10),$E$10+SQRT(T617*($G$10-$E$10)*($F$10-$E$10)),$G$10-SQRT((1-T617)*($G$10-$E$10)*($G$10-$F$10))))</f>
        <v>1.04990584436992</v>
      </c>
      <c r="G617" s="52" t="n">
        <f aca="false">IF($G$11=$E$11,$F$11,IF(U617&lt;($F$11-$E$11)/($G$11-$E$11),$E$11+SQRT(U617*($G$11-$E$11)*($F$11-$E$11)),$G$11-SQRT((1-U617)*($G$11-$E$11)*($G$11-$F$11))))</f>
        <v>0.0934542599184688</v>
      </c>
      <c r="H617" s="53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-2099811688.73984</v>
      </c>
      <c r="I617" s="53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-75192084.2178296</v>
      </c>
      <c r="J617" s="53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144518321.624093</v>
      </c>
      <c r="K617" s="53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416724019.684512</v>
      </c>
      <c r="L617" s="53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518076144.992236</v>
      </c>
      <c r="M617" s="53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672710423.474524</v>
      </c>
      <c r="N617" s="53" t="n">
        <f aca="false">IF(COUNT('Business Case'!B11:G11)=0,"",H617+NPV(G617,I617:M617))</f>
        <v>-936203385.529945</v>
      </c>
      <c r="P617" s="54" t="n">
        <f aca="true">RAND()</f>
        <v>0.316251264921342</v>
      </c>
      <c r="Q617" s="54" t="n">
        <f aca="true">RAND()</f>
        <v>0.144473350227973</v>
      </c>
      <c r="R617" s="54" t="n">
        <f aca="true">RAND()</f>
        <v>0.752353771229886</v>
      </c>
      <c r="S617" s="54" t="n">
        <f aca="true">RAND()</f>
        <v>0.671153537068631</v>
      </c>
      <c r="T617" s="54" t="n">
        <f aca="true">RAND()</f>
        <v>0.466164385102483</v>
      </c>
      <c r="U617" s="54" t="n">
        <f aca="true">RAND()</f>
        <v>0.181017109953716</v>
      </c>
    </row>
    <row r="618" customFormat="false" ht="15" hidden="false" customHeight="false" outlineLevel="0" collapsed="false">
      <c r="A618" s="50" t="n">
        <v>538</v>
      </c>
      <c r="B618" s="51" t="n">
        <f aca="false">1+IF($G$6=$E$6,$F$6,IF(P618&lt;($F$6-$E$6)/($G$6-$E$6),$E$6+SQRT(P618*($G$6-$E$6)*($F$6-$E$6)),$G$6-SQRT((1-P618)*($G$6-$E$6)*($G$6-$F$6))))</f>
        <v>0.916115885015539</v>
      </c>
      <c r="C618" s="51" t="n">
        <f aca="false">1+IF($G$7=$E$7,$F$7,IF(Q618&lt;($F$7-$E$7)/($G$7-$E$7),$E$7+SQRT(Q618*($G$7-$E$7)*($F$7-$E$7)),$G$7-SQRT((1-Q618)*($G$7-$E$7)*($G$7-$F$7))))</f>
        <v>0.856202526819252</v>
      </c>
      <c r="D618" s="51" t="n">
        <f aca="false">1+IF($G$8=$E$8,$F$8,IF(R618&lt;($F$8-$E$8)/($G$8-$E$8),$E$8+SQRT(R618*($G$8-$E$8)*($F$8-$E$8)),$G$8-SQRT((1-R618)*($G$8-$E$8)*($G$8-$F$8))))</f>
        <v>1.01668374644102</v>
      </c>
      <c r="E618" s="51" t="n">
        <f aca="false">1+IF($G$9=$E$9,$F$9,IF(S618&lt;($F$9-$E$9)/($G$9-$E$9),$E$9+SQRT(S618*($G$9-$E$9)*($F$9-$E$9)),$G$9-SQRT((1-S618)*($G$9-$E$9)*($G$9-$F$9))))</f>
        <v>1.00723109251946</v>
      </c>
      <c r="F618" s="51" t="n">
        <f aca="false">1+IF($G$10=$E$10,$F$10,IF(T618&lt;($F$10-$E$10)/($G$10-$E$10),$E$10+SQRT(T618*($G$10-$E$10)*($F$10-$E$10)),$G$10-SQRT((1-T618)*($G$10-$E$10)*($G$10-$F$10))))</f>
        <v>0.996430901690831</v>
      </c>
      <c r="G618" s="52" t="n">
        <f aca="false">IF($G$11=$E$11,$F$11,IF(U618&lt;($F$11-$E$11)/($G$11-$E$11),$E$11+SQRT(U618*($G$11-$E$11)*($F$11-$E$11)),$G$11-SQRT((1-U618)*($G$11-$E$11)*($G$11-$F$11))))</f>
        <v>0.0939524694893381</v>
      </c>
      <c r="H618" s="53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-1992861803.38166</v>
      </c>
      <c r="I618" s="53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-86689154.6583227</v>
      </c>
      <c r="J618" s="53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110155339.542704</v>
      </c>
      <c r="K618" s="53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356821378.828273</v>
      </c>
      <c r="L618" s="53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449544408.451281</v>
      </c>
      <c r="M618" s="53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598639498.675946</v>
      </c>
      <c r="N618" s="53" t="n">
        <f aca="false">IF(COUNT('Business Case'!B11:G11)=0,"",H618+NPV(G618,I618:M618))</f>
        <v>-1011515665.61583</v>
      </c>
      <c r="P618" s="54" t="n">
        <f aca="true">RAND()</f>
        <v>0.0173147833222719</v>
      </c>
      <c r="Q618" s="54" t="n">
        <f aca="true">RAND()</f>
        <v>0.1807350324794</v>
      </c>
      <c r="R618" s="54" t="n">
        <f aca="true">RAND()</f>
        <v>0.537226792859766</v>
      </c>
      <c r="S618" s="54" t="n">
        <f aca="true">RAND()</f>
        <v>0.456454374848329</v>
      </c>
      <c r="T618" s="54" t="n">
        <f aca="true">RAND()</f>
        <v>0.143721908788239</v>
      </c>
      <c r="U618" s="54" t="n">
        <f aca="true">RAND()</f>
        <v>0.194671404850912</v>
      </c>
    </row>
    <row r="619" customFormat="false" ht="15" hidden="false" customHeight="false" outlineLevel="0" collapsed="false">
      <c r="A619" s="50" t="n">
        <v>539</v>
      </c>
      <c r="B619" s="51" t="n">
        <f aca="false">1+IF($G$6=$E$6,$F$6,IF(P619&lt;($F$6-$E$6)/($G$6-$E$6),$E$6+SQRT(P619*($G$6-$E$6)*($F$6-$E$6)),$G$6-SQRT((1-P619)*($G$6-$E$6)*($G$6-$F$6))))</f>
        <v>0.976520401871159</v>
      </c>
      <c r="C619" s="51" t="n">
        <f aca="false">1+IF($G$7=$E$7,$F$7,IF(Q619&lt;($F$7-$E$7)/($G$7-$E$7),$E$7+SQRT(Q619*($G$7-$E$7)*($F$7-$E$7)),$G$7-SQRT((1-Q619)*($G$7-$E$7)*($G$7-$F$7))))</f>
        <v>0.799232857697146</v>
      </c>
      <c r="D619" s="51" t="n">
        <f aca="false">1+IF($G$8=$E$8,$F$8,IF(R619&lt;($F$8-$E$8)/($G$8-$E$8),$E$8+SQRT(R619*($G$8-$E$8)*($F$8-$E$8)),$G$8-SQRT((1-R619)*($G$8-$E$8)*($G$8-$F$8))))</f>
        <v>1.0441581093486</v>
      </c>
      <c r="E619" s="51" t="n">
        <f aca="false">1+IF($G$9=$E$9,$F$9,IF(S619&lt;($F$9-$E$9)/($G$9-$E$9),$E$9+SQRT(S619*($G$9-$E$9)*($F$9-$E$9)),$G$9-SQRT((1-S619)*($G$9-$E$9)*($G$9-$F$9))))</f>
        <v>1.06660963610151</v>
      </c>
      <c r="F619" s="51" t="n">
        <f aca="false">1+IF($G$10=$E$10,$F$10,IF(T619&lt;($F$10-$E$10)/($G$10-$E$10),$E$10+SQRT(T619*($G$10-$E$10)*($F$10-$E$10)),$G$10-SQRT((1-T619)*($G$10-$E$10)*($G$10-$F$10))))</f>
        <v>0.983126016841844</v>
      </c>
      <c r="G619" s="52" t="n">
        <f aca="false">IF($G$11=$E$11,$F$11,IF(U619&lt;($F$11-$E$11)/($G$11-$E$11),$E$11+SQRT(U619*($G$11-$E$11)*($F$11-$E$11)),$G$11-SQRT((1-U619)*($G$11-$E$11)*($G$11-$F$11))))</f>
        <v>0.117014353950534</v>
      </c>
      <c r="H619" s="53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-1966252033.68369</v>
      </c>
      <c r="I619" s="53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-78395366.1646097</v>
      </c>
      <c r="J619" s="53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133653178.810104</v>
      </c>
      <c r="K619" s="53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394858024.62691</v>
      </c>
      <c r="L619" s="53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492513819.086151</v>
      </c>
      <c r="M619" s="53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640865022.825002</v>
      </c>
      <c r="N619" s="53" t="n">
        <f aca="false">IF(COUNT('Business Case'!B11:G11)=0,"",H619+NPV(G619,I619:M619))</f>
        <v>-961114025.803475</v>
      </c>
      <c r="P619" s="54" t="n">
        <f aca="true">RAND()</f>
        <v>0.390358126834912</v>
      </c>
      <c r="Q619" s="54" t="n">
        <f aca="true">RAND()</f>
        <v>0.0729419262721638</v>
      </c>
      <c r="R619" s="54" t="n">
        <f aca="true">RAND()</f>
        <v>0.792112216565103</v>
      </c>
      <c r="S619" s="54" t="n">
        <f aca="true">RAND()</f>
        <v>0.814561258903387</v>
      </c>
      <c r="T619" s="54" t="n">
        <f aca="true">RAND()</f>
        <v>0.0731555327870767</v>
      </c>
      <c r="U619" s="54" t="n">
        <f aca="true">RAND()</f>
        <v>0.887581997785324</v>
      </c>
    </row>
    <row r="620" customFormat="false" ht="15" hidden="false" customHeight="false" outlineLevel="0" collapsed="false">
      <c r="A620" s="50" t="n">
        <v>540</v>
      </c>
      <c r="B620" s="51" t="n">
        <f aca="false">1+IF($G$6=$E$6,$F$6,IF(P620&lt;($F$6-$E$6)/($G$6-$E$6),$E$6+SQRT(P620*($G$6-$E$6)*($F$6-$E$6)),$G$6-SQRT((1-P620)*($G$6-$E$6)*($G$6-$F$6))))</f>
        <v>0.954526591248014</v>
      </c>
      <c r="C620" s="51" t="n">
        <f aca="false">1+IF($G$7=$E$7,$F$7,IF(Q620&lt;($F$7-$E$7)/($G$7-$E$7),$E$7+SQRT(Q620*($G$7-$E$7)*($F$7-$E$7)),$G$7-SQRT((1-Q620)*($G$7-$E$7)*($G$7-$F$7))))</f>
        <v>1.14465699401795</v>
      </c>
      <c r="D620" s="51" t="n">
        <f aca="false">1+IF($G$8=$E$8,$F$8,IF(R620&lt;($F$8-$E$8)/($G$8-$E$8),$E$8+SQRT(R620*($G$8-$E$8)*($F$8-$E$8)),$G$8-SQRT((1-R620)*($G$8-$E$8)*($G$8-$F$8))))</f>
        <v>1.0074583594173</v>
      </c>
      <c r="E620" s="51" t="n">
        <f aca="false">1+IF($G$9=$E$9,$F$9,IF(S620&lt;($F$9-$E$9)/($G$9-$E$9),$E$9+SQRT(S620*($G$9-$E$9)*($F$9-$E$9)),$G$9-SQRT((1-S620)*($G$9-$E$9)*($G$9-$F$9))))</f>
        <v>1.01840338871803</v>
      </c>
      <c r="F620" s="51" t="n">
        <f aca="false">1+IF($G$10=$E$10,$F$10,IF(T620&lt;($F$10-$E$10)/($G$10-$E$10),$E$10+SQRT(T620*($G$10-$E$10)*($F$10-$E$10)),$G$10-SQRT((1-T620)*($G$10-$E$10)*($G$10-$F$10))))</f>
        <v>1.03495174547894</v>
      </c>
      <c r="G620" s="52" t="n">
        <f aca="false">IF($G$11=$E$11,$F$11,IF(U620&lt;($F$11-$E$11)/($G$11-$E$11),$E$11+SQRT(U620*($G$11-$E$11)*($F$11-$E$11)),$G$11-SQRT((1-U620)*($G$11-$E$11)*($G$11-$F$11))))</f>
        <v>0.098929693564614</v>
      </c>
      <c r="H620" s="53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-2069903490.95788</v>
      </c>
      <c r="I620" s="53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-373407.986810952</v>
      </c>
      <c r="J620" s="53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304205991.573496</v>
      </c>
      <c r="K620" s="53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660532978.407749</v>
      </c>
      <c r="L620" s="53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799819892.343532</v>
      </c>
      <c r="M620" s="53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1007502353.12977</v>
      </c>
      <c r="N620" s="53" t="n">
        <f aca="false">IF(COUNT('Business Case'!B11:G11)=0,"",H620+NPV(G620,I620:M620))</f>
        <v>-143572612.238546</v>
      </c>
      <c r="P620" s="54" t="n">
        <f aca="true">RAND()</f>
        <v>0.198209943541866</v>
      </c>
      <c r="Q620" s="54" t="n">
        <f aca="true">RAND()</f>
        <v>0.999577070919641</v>
      </c>
      <c r="R620" s="54" t="n">
        <f aca="true">RAND()</f>
        <v>0.42906965055078</v>
      </c>
      <c r="S620" s="54" t="n">
        <f aca="true">RAND()</f>
        <v>0.538195517309368</v>
      </c>
      <c r="T620" s="54" t="n">
        <f aca="true">RAND()</f>
        <v>0.383389976365932</v>
      </c>
      <c r="U620" s="54" t="n">
        <f aca="true">RAND()</f>
        <v>0.35833329845019</v>
      </c>
    </row>
    <row r="621" customFormat="false" ht="15" hidden="false" customHeight="false" outlineLevel="0" collapsed="false">
      <c r="A621" s="50" t="n">
        <v>541</v>
      </c>
      <c r="B621" s="51" t="n">
        <f aca="false">1+IF($G$6=$E$6,$F$6,IF(P621&lt;($F$6-$E$6)/($G$6-$E$6),$E$6+SQRT(P621*($G$6-$E$6)*($F$6-$E$6)),$G$6-SQRT((1-P621)*($G$6-$E$6)*($G$6-$F$6))))</f>
        <v>0.951555156199737</v>
      </c>
      <c r="C621" s="51" t="n">
        <f aca="false">1+IF($G$7=$E$7,$F$7,IF(Q621&lt;($F$7-$E$7)/($G$7-$E$7),$E$7+SQRT(Q621*($G$7-$E$7)*($F$7-$E$7)),$G$7-SQRT((1-Q621)*($G$7-$E$7)*($G$7-$F$7))))</f>
        <v>1.12308945811944</v>
      </c>
      <c r="D621" s="51" t="n">
        <f aca="false">1+IF($G$8=$E$8,$F$8,IF(R621&lt;($F$8-$E$8)/($G$8-$E$8),$E$8+SQRT(R621*($G$8-$E$8)*($F$8-$E$8)),$G$8-SQRT((1-R621)*($G$8-$E$8)*($G$8-$F$8))))</f>
        <v>1.02105336370517</v>
      </c>
      <c r="E621" s="51" t="n">
        <f aca="false">1+IF($G$9=$E$9,$F$9,IF(S621&lt;($F$9-$E$9)/($G$9-$E$9),$E$9+SQRT(S621*($G$9-$E$9)*($F$9-$E$9)),$G$9-SQRT((1-S621)*($G$9-$E$9)*($G$9-$F$9))))</f>
        <v>1.05647524680332</v>
      </c>
      <c r="F621" s="51" t="n">
        <f aca="false">1+IF($G$10=$E$10,$F$10,IF(T621&lt;($F$10-$E$10)/($G$10-$E$10),$E$10+SQRT(T621*($G$10-$E$10)*($F$10-$E$10)),$G$10-SQRT((1-T621)*($G$10-$E$10)*($G$10-$F$10))))</f>
        <v>1.08744646580686</v>
      </c>
      <c r="G621" s="52" t="n">
        <f aca="false">IF($G$11=$E$11,$F$11,IF(U621&lt;($F$11-$E$11)/($G$11-$E$11),$E$11+SQRT(U621*($G$11-$E$11)*($F$11-$E$11)),$G$11-SQRT((1-U621)*($G$11-$E$11)*($G$11-$F$11))))</f>
        <v>0.0860287732030545</v>
      </c>
      <c r="H621" s="53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-2174892931.61373</v>
      </c>
      <c r="I621" s="53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-26084939.3553291</v>
      </c>
      <c r="J621" s="53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262206000.28195</v>
      </c>
      <c r="K621" s="53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604869263.209572</v>
      </c>
      <c r="L621" s="53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737899877.966326</v>
      </c>
      <c r="M621" s="53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941034869.793459</v>
      </c>
      <c r="N621" s="53" t="n">
        <f aca="false">IF(COUNT('Business Case'!B11:G11)=0,"",H621+NPV(G621,I621:M621))</f>
        <v>-351081252.368737</v>
      </c>
      <c r="P621" s="54" t="n">
        <f aca="true">RAND()</f>
        <v>0.177195608718622</v>
      </c>
      <c r="Q621" s="54" t="n">
        <f aca="true">RAND()</f>
        <v>0.989271447936215</v>
      </c>
      <c r="R621" s="54" t="n">
        <f aca="true">RAND()</f>
        <v>0.58449524118212</v>
      </c>
      <c r="S621" s="54" t="n">
        <f aca="true">RAND()</f>
        <v>0.76674988105331</v>
      </c>
      <c r="T621" s="54" t="n">
        <f aca="true">RAND()</f>
        <v>0.647684646950941</v>
      </c>
      <c r="U621" s="54" t="n">
        <f aca="true">RAND()</f>
        <v>0.0363461063338675</v>
      </c>
    </row>
    <row r="622" customFormat="false" ht="15" hidden="false" customHeight="false" outlineLevel="0" collapsed="false">
      <c r="A622" s="50" t="n">
        <v>542</v>
      </c>
      <c r="B622" s="51" t="n">
        <f aca="false">1+IF($G$6=$E$6,$F$6,IF(P622&lt;($F$6-$E$6)/($G$6-$E$6),$E$6+SQRT(P622*($G$6-$E$6)*($F$6-$E$6)),$G$6-SQRT((1-P622)*($G$6-$E$6)*($G$6-$F$6))))</f>
        <v>0.981651121389636</v>
      </c>
      <c r="C622" s="51" t="n">
        <f aca="false">1+IF($G$7=$E$7,$F$7,IF(Q622&lt;($F$7-$E$7)/($G$7-$E$7),$E$7+SQRT(Q622*($G$7-$E$7)*($F$7-$E$7)),$G$7-SQRT((1-Q622)*($G$7-$E$7)*($G$7-$F$7))))</f>
        <v>1.01594209859944</v>
      </c>
      <c r="D622" s="51" t="n">
        <f aca="false">1+IF($G$8=$E$8,$F$8,IF(R622&lt;($F$8-$E$8)/($G$8-$E$8),$E$8+SQRT(R622*($G$8-$E$8)*($F$8-$E$8)),$G$8-SQRT((1-R622)*($G$8-$E$8)*($G$8-$F$8))))</f>
        <v>1.02060490036814</v>
      </c>
      <c r="E622" s="51" t="n">
        <f aca="false">1+IF($G$9=$E$9,$F$9,IF(S622&lt;($F$9-$E$9)/($G$9-$E$9),$E$9+SQRT(S622*($G$9-$E$9)*($F$9-$E$9)),$G$9-SQRT((1-S622)*($G$9-$E$9)*($G$9-$F$9))))</f>
        <v>1.00918739991886</v>
      </c>
      <c r="F622" s="51" t="n">
        <f aca="false">1+IF($G$10=$E$10,$F$10,IF(T622&lt;($F$10-$E$10)/($G$10-$E$10),$E$10+SQRT(T622*($G$10-$E$10)*($F$10-$E$10)),$G$10-SQRT((1-T622)*($G$10-$E$10)*($G$10-$F$10))))</f>
        <v>1.08471075683407</v>
      </c>
      <c r="G622" s="52" t="n">
        <f aca="false">IF($G$11=$E$11,$F$11,IF(U622&lt;($F$11-$E$11)/($G$11-$E$11),$E$11+SQRT(U622*($G$11-$E$11)*($F$11-$E$11)),$G$11-SQRT((1-U622)*($G$11-$E$11)*($G$11-$F$11))))</f>
        <v>0.0957880845240598</v>
      </c>
      <c r="H622" s="53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-2169421513.66813</v>
      </c>
      <c r="I622" s="53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-17613810.9490518</v>
      </c>
      <c r="J622" s="53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268449970.360276</v>
      </c>
      <c r="K622" s="53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608749289.511308</v>
      </c>
      <c r="L622" s="53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738570595.485424</v>
      </c>
      <c r="M622" s="53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928137512.609298</v>
      </c>
      <c r="N622" s="53" t="n">
        <f aca="false">IF(COUNT('Business Case'!B11:G11)=0,"",H622+NPV(G622,I622:M622))</f>
        <v>-399554749.929018</v>
      </c>
      <c r="P622" s="54" t="n">
        <f aca="true">RAND()</f>
        <v>0.444460374945672</v>
      </c>
      <c r="Q622" s="54" t="n">
        <f aca="true">RAND()</f>
        <v>0.733755245512252</v>
      </c>
      <c r="R622" s="54" t="n">
        <f aca="true">RAND()</f>
        <v>0.579761210296476</v>
      </c>
      <c r="S622" s="54" t="n">
        <f aca="true">RAND()</f>
        <v>0.471248310890403</v>
      </c>
      <c r="T622" s="54" t="n">
        <f aca="true">RAND()</f>
        <v>0.635726214581773</v>
      </c>
      <c r="U622" s="54" t="n">
        <f aca="true">RAND()</f>
        <v>0.249263612938855</v>
      </c>
    </row>
    <row r="623" customFormat="false" ht="15" hidden="false" customHeight="false" outlineLevel="0" collapsed="false">
      <c r="A623" s="50" t="n">
        <v>543</v>
      </c>
      <c r="B623" s="51" t="n">
        <f aca="false">1+IF($G$6=$E$6,$F$6,IF(P623&lt;($F$6-$E$6)/($G$6-$E$6),$E$6+SQRT(P623*($G$6-$E$6)*($F$6-$E$6)),$G$6-SQRT((1-P623)*($G$6-$E$6)*($G$6-$F$6))))</f>
        <v>0.920322007590842</v>
      </c>
      <c r="C623" s="51" t="n">
        <f aca="false">1+IF($G$7=$E$7,$F$7,IF(Q623&lt;($F$7-$E$7)/($G$7-$E$7),$E$7+SQRT(Q623*($G$7-$E$7)*($F$7-$E$7)),$G$7-SQRT((1-Q623)*($G$7-$E$7)*($G$7-$F$7))))</f>
        <v>0.982101965399788</v>
      </c>
      <c r="D623" s="51" t="n">
        <f aca="false">1+IF($G$8=$E$8,$F$8,IF(R623&lt;($F$8-$E$8)/($G$8-$E$8),$E$8+SQRT(R623*($G$8-$E$8)*($F$8-$E$8)),$G$8-SQRT((1-R623)*($G$8-$E$8)*($G$8-$F$8))))</f>
        <v>0.985993449318231</v>
      </c>
      <c r="E623" s="51" t="n">
        <f aca="false">1+IF($G$9=$E$9,$F$9,IF(S623&lt;($F$9-$E$9)/($G$9-$E$9),$E$9+SQRT(S623*($G$9-$E$9)*($F$9-$E$9)),$G$9-SQRT((1-S623)*($G$9-$E$9)*($G$9-$F$9))))</f>
        <v>1.04285065029863</v>
      </c>
      <c r="F623" s="51" t="n">
        <f aca="false">1+IF($G$10=$E$10,$F$10,IF(T623&lt;($F$10-$E$10)/($G$10-$E$10),$E$10+SQRT(T623*($G$10-$E$10)*($F$10-$E$10)),$G$10-SQRT((1-T623)*($G$10-$E$10)*($G$10-$F$10))))</f>
        <v>1.07359881455834</v>
      </c>
      <c r="G623" s="52" t="n">
        <f aca="false">IF($G$11=$E$11,$F$11,IF(U623&lt;($F$11-$E$11)/($G$11-$E$11),$E$11+SQRT(U623*($G$11-$E$11)*($F$11-$E$11)),$G$11-SQRT((1-U623)*($G$11-$E$11)*($G$11-$F$11))))</f>
        <v>0.119648895961207</v>
      </c>
      <c r="H623" s="53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-2147197629.11668</v>
      </c>
      <c r="I623" s="53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-57906298.2710305</v>
      </c>
      <c r="J623" s="53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186696234.105539</v>
      </c>
      <c r="K623" s="53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484978707.210025</v>
      </c>
      <c r="L623" s="53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597749942.481748</v>
      </c>
      <c r="M623" s="53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769553760.452517</v>
      </c>
      <c r="N623" s="53" t="n">
        <f aca="false">IF(COUNT('Business Case'!B11:G11)=0,"",H623+NPV(G623,I623:M623))</f>
        <v>-886758154.900831</v>
      </c>
      <c r="P623" s="54" t="n">
        <f aca="true">RAND()</f>
        <v>0.0275322661681499</v>
      </c>
      <c r="Q623" s="54" t="n">
        <f aca="true">RAND()</f>
        <v>0.589492732462392</v>
      </c>
      <c r="R623" s="54" t="n">
        <f aca="true">RAND()</f>
        <v>0.172737119176542</v>
      </c>
      <c r="S623" s="54" t="n">
        <f aca="true">RAND()</f>
        <v>0.693840449561962</v>
      </c>
      <c r="T623" s="54" t="n">
        <f aca="true">RAND()</f>
        <v>0.585101623663683</v>
      </c>
      <c r="U623" s="54" t="n">
        <f aca="true">RAND()</f>
        <v>0.928569763452058</v>
      </c>
    </row>
    <row r="624" customFormat="false" ht="15" hidden="false" customHeight="false" outlineLevel="0" collapsed="false">
      <c r="A624" s="50" t="n">
        <v>544</v>
      </c>
      <c r="B624" s="51" t="n">
        <f aca="false">1+IF($G$6=$E$6,$F$6,IF(P624&lt;($F$6-$E$6)/($G$6-$E$6),$E$6+SQRT(P624*($G$6-$E$6)*($F$6-$E$6)),$G$6-SQRT((1-P624)*($G$6-$E$6)*($G$6-$F$6))))</f>
        <v>0.972600017913218</v>
      </c>
      <c r="C624" s="51" t="n">
        <f aca="false">1+IF($G$7=$E$7,$F$7,IF(Q624&lt;($F$7-$E$7)/($G$7-$E$7),$E$7+SQRT(Q624*($G$7-$E$7)*($F$7-$E$7)),$G$7-SQRT((1-Q624)*($G$7-$E$7)*($G$7-$F$7))))</f>
        <v>0.981901890535364</v>
      </c>
      <c r="D624" s="51" t="n">
        <f aca="false">1+IF($G$8=$E$8,$F$8,IF(R624&lt;($F$8-$E$8)/($G$8-$E$8),$E$8+SQRT(R624*($G$8-$E$8)*($F$8-$E$8)),$G$8-SQRT((1-R624)*($G$8-$E$8)*($G$8-$F$8))))</f>
        <v>0.997067577712297</v>
      </c>
      <c r="E624" s="51" t="n">
        <f aca="false">1+IF($G$9=$E$9,$F$9,IF(S624&lt;($F$9-$E$9)/($G$9-$E$9),$E$9+SQRT(S624*($G$9-$E$9)*($F$9-$E$9)),$G$9-SQRT((1-S624)*($G$9-$E$9)*($G$9-$F$9))))</f>
        <v>1.05427526062251</v>
      </c>
      <c r="F624" s="51" t="n">
        <f aca="false">1+IF($G$10=$E$10,$F$10,IF(T624&lt;($F$10-$E$10)/($G$10-$E$10),$E$10+SQRT(T624*($G$10-$E$10)*($F$10-$E$10)),$G$10-SQRT((1-T624)*($G$10-$E$10)*($G$10-$F$10))))</f>
        <v>1.07532144119965</v>
      </c>
      <c r="G624" s="52" t="n">
        <f aca="false">IF($G$11=$E$11,$F$11,IF(U624&lt;($F$11-$E$11)/($G$11-$E$11),$E$11+SQRT(U624*($G$11-$E$11)*($F$11-$E$11)),$G$11-SQRT((1-U624)*($G$11-$E$11)*($G$11-$F$11))))</f>
        <v>0.108178154075236</v>
      </c>
      <c r="H624" s="53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-2150642882.3993</v>
      </c>
      <c r="I624" s="53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-25926435.3564604</v>
      </c>
      <c r="J624" s="53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255104301.228986</v>
      </c>
      <c r="K624" s="53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589901109.874415</v>
      </c>
      <c r="L624" s="53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716582745.910512</v>
      </c>
      <c r="M624" s="53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898108727.035724</v>
      </c>
      <c r="N624" s="53" t="n">
        <f aca="false">IF(COUNT('Business Case'!B11:G11)=0,"",H624+NPV(G624,I624:M624))</f>
        <v>-520320897.337112</v>
      </c>
      <c r="P624" s="54" t="n">
        <f aca="true">RAND()</f>
        <v>0.351384173399969</v>
      </c>
      <c r="Q624" s="54" t="n">
        <f aca="true">RAND()</f>
        <v>0.588656858425276</v>
      </c>
      <c r="R624" s="54" t="n">
        <f aca="true">RAND()</f>
        <v>0.295380916227086</v>
      </c>
      <c r="S624" s="54" t="n">
        <f aca="true">RAND()</f>
        <v>0.755647313896296</v>
      </c>
      <c r="T624" s="54" t="n">
        <f aca="true">RAND()</f>
        <v>0.593165347939098</v>
      </c>
      <c r="U624" s="54" t="n">
        <f aca="true">RAND()</f>
        <v>0.682538026957233</v>
      </c>
    </row>
    <row r="625" customFormat="false" ht="15" hidden="false" customHeight="false" outlineLevel="0" collapsed="false">
      <c r="A625" s="50" t="n">
        <v>545</v>
      </c>
      <c r="B625" s="51" t="n">
        <f aca="false">1+IF($G$6=$E$6,$F$6,IF(P625&lt;($F$6-$E$6)/($G$6-$E$6),$E$6+SQRT(P625*($G$6-$E$6)*($F$6-$E$6)),$G$6-SQRT((1-P625)*($G$6-$E$6)*($G$6-$F$6))))</f>
        <v>0.933229184657777</v>
      </c>
      <c r="C625" s="51" t="n">
        <f aca="false">1+IF($G$7=$E$7,$F$7,IF(Q625&lt;($F$7-$E$7)/($G$7-$E$7),$E$7+SQRT(Q625*($G$7-$E$7)*($F$7-$E$7)),$G$7-SQRT((1-Q625)*($G$7-$E$7)*($G$7-$F$7))))</f>
        <v>0.941671572374852</v>
      </c>
      <c r="D625" s="51" t="n">
        <f aca="false">1+IF($G$8=$E$8,$F$8,IF(R625&lt;($F$8-$E$8)/($G$8-$E$8),$E$8+SQRT(R625*($G$8-$E$8)*($F$8-$E$8)),$G$8-SQRT((1-R625)*($G$8-$E$8)*($G$8-$F$8))))</f>
        <v>0.964265904338622</v>
      </c>
      <c r="E625" s="51" t="n">
        <f aca="false">1+IF($G$9=$E$9,$F$9,IF(S625&lt;($F$9-$E$9)/($G$9-$E$9),$E$9+SQRT(S625*($G$9-$E$9)*($F$9-$E$9)),$G$9-SQRT((1-S625)*($G$9-$E$9)*($G$9-$F$9))))</f>
        <v>0.990478964595683</v>
      </c>
      <c r="F625" s="51" t="n">
        <f aca="false">1+IF($G$10=$E$10,$F$10,IF(T625&lt;($F$10-$E$10)/($G$10-$E$10),$E$10+SQRT(T625*($G$10-$E$10)*($F$10-$E$10)),$G$10-SQRT((1-T625)*($G$10-$E$10)*($G$10-$F$10))))</f>
        <v>0.98384775001539</v>
      </c>
      <c r="G625" s="52" t="n">
        <f aca="false">IF($G$11=$E$11,$F$11,IF(U625&lt;($F$11-$E$11)/($G$11-$E$11),$E$11+SQRT(U625*($G$11-$E$11)*($F$11-$E$11)),$G$11-SQRT((1-U625)*($G$11-$E$11)*($G$11-$F$11))))</f>
        <v>0.0907332932239651</v>
      </c>
      <c r="H625" s="53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-1967695500.03078</v>
      </c>
      <c r="I625" s="53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-29825451.1693568</v>
      </c>
      <c r="J625" s="53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225136734.637884</v>
      </c>
      <c r="K625" s="53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529291307.945895</v>
      </c>
      <c r="L625" s="53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644649872.021344</v>
      </c>
      <c r="M625" s="53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811691300.45637</v>
      </c>
      <c r="N625" s="53" t="n">
        <f aca="false">IF(COUNT('Business Case'!B11:G11)=0,"",H625+NPV(G625,I625:M625))</f>
        <v>-416683220.301359</v>
      </c>
      <c r="P625" s="54" t="n">
        <f aca="true">RAND()</f>
        <v>0.0736119142013753</v>
      </c>
      <c r="Q625" s="54" t="n">
        <f aca="true">RAND()</f>
        <v>0.432630732549136</v>
      </c>
      <c r="R625" s="54" t="n">
        <f aca="true">RAND()</f>
        <v>0.0271354702131619</v>
      </c>
      <c r="S625" s="54" t="n">
        <f aca="true">RAND()</f>
        <v>0.327457721372276</v>
      </c>
      <c r="T625" s="54" t="n">
        <f aca="true">RAND()</f>
        <v>0.0763780120736231</v>
      </c>
      <c r="U625" s="54" t="n">
        <f aca="true">RAND()</f>
        <v>0.115203583431615</v>
      </c>
    </row>
    <row r="626" customFormat="false" ht="15" hidden="false" customHeight="false" outlineLevel="0" collapsed="false">
      <c r="A626" s="50" t="n">
        <v>546</v>
      </c>
      <c r="B626" s="51" t="n">
        <f aca="false">1+IF($G$6=$E$6,$F$6,IF(P626&lt;($F$6-$E$6)/($G$6-$E$6),$E$6+SQRT(P626*($G$6-$E$6)*($F$6-$E$6)),$G$6-SQRT((1-P626)*($G$6-$E$6)*($G$6-$F$6))))</f>
        <v>1.04235327995893</v>
      </c>
      <c r="C626" s="51" t="n">
        <f aca="false">1+IF($G$7=$E$7,$F$7,IF(Q626&lt;($F$7-$E$7)/($G$7-$E$7),$E$7+SQRT(Q626*($G$7-$E$7)*($F$7-$E$7)),$G$7-SQRT((1-Q626)*($G$7-$E$7)*($G$7-$F$7))))</f>
        <v>1.02159668851351</v>
      </c>
      <c r="D626" s="51" t="n">
        <f aca="false">1+IF($G$8=$E$8,$F$8,IF(R626&lt;($F$8-$E$8)/($G$8-$E$8),$E$8+SQRT(R626*($G$8-$E$8)*($F$8-$E$8)),$G$8-SQRT((1-R626)*($G$8-$E$8)*($G$8-$F$8))))</f>
        <v>1.00068634106182</v>
      </c>
      <c r="E626" s="51" t="n">
        <f aca="false">1+IF($G$9=$E$9,$F$9,IF(S626&lt;($F$9-$E$9)/($G$9-$E$9),$E$9+SQRT(S626*($G$9-$E$9)*($F$9-$E$9)),$G$9-SQRT((1-S626)*($G$9-$E$9)*($G$9-$F$9))))</f>
        <v>1.05292611925518</v>
      </c>
      <c r="F626" s="51" t="n">
        <f aca="false">1+IF($G$10=$E$10,$F$10,IF(T626&lt;($F$10-$E$10)/($G$10-$E$10),$E$10+SQRT(T626*($G$10-$E$10)*($F$10-$E$10)),$G$10-SQRT((1-T626)*($G$10-$E$10)*($G$10-$F$10))))</f>
        <v>0.997355625631153</v>
      </c>
      <c r="G626" s="52" t="n">
        <f aca="false">IF($G$11=$E$11,$F$11,IF(U626&lt;($F$11-$E$11)/($G$11-$E$11),$E$11+SQRT(U626*($G$11-$E$11)*($F$11-$E$11)),$G$11-SQRT((1-U626)*($G$11-$E$11)*($G$11-$F$11))))</f>
        <v>0.0894426510412419</v>
      </c>
      <c r="H626" s="53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-1994711251.26231</v>
      </c>
      <c r="I626" s="53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44201868.8504975</v>
      </c>
      <c r="J626" s="53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393067978.348243</v>
      </c>
      <c r="K626" s="53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791801869.127545</v>
      </c>
      <c r="L626" s="53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944892294.910824</v>
      </c>
      <c r="M626" s="53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1147301769.30632</v>
      </c>
      <c r="N626" s="53" t="n">
        <f aca="false">IF(COUNT('Business Case'!B11:G11)=0,"",H626+NPV(G626,I626:M626))</f>
        <v>407726049.630191</v>
      </c>
      <c r="P626" s="54" t="n">
        <f aca="true">RAND()</f>
        <v>0.992203689681807</v>
      </c>
      <c r="Q626" s="54" t="n">
        <f aca="true">RAND()</f>
        <v>0.75574206813782</v>
      </c>
      <c r="R626" s="54" t="n">
        <f aca="true">RAND()</f>
        <v>0.342453143220682</v>
      </c>
      <c r="S626" s="54" t="n">
        <f aca="true">RAND()</f>
        <v>0.748710978057076</v>
      </c>
      <c r="T626" s="54" t="n">
        <f aca="true">RAND()</f>
        <v>0.149503685261195</v>
      </c>
      <c r="U626" s="54" t="n">
        <f aca="true">RAND()</f>
        <v>0.0891636586866659</v>
      </c>
    </row>
    <row r="627" customFormat="false" ht="15" hidden="false" customHeight="false" outlineLevel="0" collapsed="false">
      <c r="A627" s="50" t="n">
        <v>547</v>
      </c>
      <c r="B627" s="51" t="n">
        <f aca="false">1+IF($G$6=$E$6,$F$6,IF(P627&lt;($F$6-$E$6)/($G$6-$E$6),$E$6+SQRT(P627*($G$6-$E$6)*($F$6-$E$6)),$G$6-SQRT((1-P627)*($G$6-$E$6)*($G$6-$F$6))))</f>
        <v>0.9538495492764</v>
      </c>
      <c r="C627" s="51" t="n">
        <f aca="false">1+IF($G$7=$E$7,$F$7,IF(Q627&lt;($F$7-$E$7)/($G$7-$E$7),$E$7+SQRT(Q627*($G$7-$E$7)*($F$7-$E$7)),$G$7-SQRT((1-Q627)*($G$7-$E$7)*($G$7-$F$7))))</f>
        <v>0.864314933267408</v>
      </c>
      <c r="D627" s="51" t="n">
        <f aca="false">1+IF($G$8=$E$8,$F$8,IF(R627&lt;($F$8-$E$8)/($G$8-$E$8),$E$8+SQRT(R627*($G$8-$E$8)*($F$8-$E$8)),$G$8-SQRT((1-R627)*($G$8-$E$8)*($G$8-$F$8))))</f>
        <v>1.03365501433303</v>
      </c>
      <c r="E627" s="51" t="n">
        <f aca="false">1+IF($G$9=$E$9,$F$9,IF(S627&lt;($F$9-$E$9)/($G$9-$E$9),$E$9+SQRT(S627*($G$9-$E$9)*($F$9-$E$9)),$G$9-SQRT((1-S627)*($G$9-$E$9)*($G$9-$F$9))))</f>
        <v>0.965516187303952</v>
      </c>
      <c r="F627" s="51" t="n">
        <f aca="false">1+IF($G$10=$E$10,$F$10,IF(T627&lt;($F$10-$E$10)/($G$10-$E$10),$E$10+SQRT(T627*($G$10-$E$10)*($F$10-$E$10)),$G$10-SQRT((1-T627)*($G$10-$E$10)*($G$10-$F$10))))</f>
        <v>1.06237779821732</v>
      </c>
      <c r="G627" s="52" t="n">
        <f aca="false">IF($G$11=$E$11,$F$11,IF(U627&lt;($F$11-$E$11)/($G$11-$E$11),$E$11+SQRT(U627*($G$11-$E$11)*($F$11-$E$11)),$G$11-SQRT((1-U627)*($G$11-$E$11)*($G$11-$F$11))))</f>
        <v>0.107354108016082</v>
      </c>
      <c r="H627" s="53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-2124755596.43463</v>
      </c>
      <c r="I627" s="53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-68358960.2868742</v>
      </c>
      <c r="J627" s="53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149554526.152639</v>
      </c>
      <c r="K627" s="53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420586902.503019</v>
      </c>
      <c r="L627" s="53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521716908.029546</v>
      </c>
      <c r="M627" s="53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678423879.953004</v>
      </c>
      <c r="N627" s="53" t="n">
        <f aca="false">IF(COUNT('Business Case'!B11:G11)=0,"",H627+NPV(G627,I627:M627))</f>
        <v>-1000373550.59193</v>
      </c>
      <c r="P627" s="54" t="n">
        <f aca="true">RAND()</f>
        <v>0.193318263818098</v>
      </c>
      <c r="Q627" s="54" t="n">
        <f aca="true">RAND()</f>
        <v>0.199995535516095</v>
      </c>
      <c r="R627" s="54" t="n">
        <f aca="true">RAND()</f>
        <v>0.706556191789967</v>
      </c>
      <c r="S627" s="54" t="n">
        <f aca="true">RAND()</f>
        <v>0.17169483195386</v>
      </c>
      <c r="T627" s="54" t="n">
        <f aca="true">RAND()</f>
        <v>0.530638791976242</v>
      </c>
      <c r="U627" s="54" t="n">
        <f aca="true">RAND()</f>
        <v>0.658109050835155</v>
      </c>
    </row>
    <row r="628" customFormat="false" ht="15" hidden="false" customHeight="false" outlineLevel="0" collapsed="false">
      <c r="A628" s="50" t="n">
        <v>548</v>
      </c>
      <c r="B628" s="51" t="n">
        <f aca="false">1+IF($G$6=$E$6,$F$6,IF(P628&lt;($F$6-$E$6)/($G$6-$E$6),$E$6+SQRT(P628*($G$6-$E$6)*($F$6-$E$6)),$G$6-SQRT((1-P628)*($G$6-$E$6)*($G$6-$F$6))))</f>
        <v>0.90092890943577</v>
      </c>
      <c r="C628" s="51" t="n">
        <f aca="false">1+IF($G$7=$E$7,$F$7,IF(Q628&lt;($F$7-$E$7)/($G$7-$E$7),$E$7+SQRT(Q628*($G$7-$E$7)*($F$7-$E$7)),$G$7-SQRT((1-Q628)*($G$7-$E$7)*($G$7-$F$7))))</f>
        <v>1.07221239410891</v>
      </c>
      <c r="D628" s="51" t="n">
        <f aca="false">1+IF($G$8=$E$8,$F$8,IF(R628&lt;($F$8-$E$8)/($G$8-$E$8),$E$8+SQRT(R628*($G$8-$E$8)*($F$8-$E$8)),$G$8-SQRT((1-R628)*($G$8-$E$8)*($G$8-$F$8))))</f>
        <v>1.0609507051938</v>
      </c>
      <c r="E628" s="51" t="n">
        <f aca="false">1+IF($G$9=$E$9,$F$9,IF(S628&lt;($F$9-$E$9)/($G$9-$E$9),$E$9+SQRT(S628*($G$9-$E$9)*($F$9-$E$9)),$G$9-SQRT((1-S628)*($G$9-$E$9)*($G$9-$F$9))))</f>
        <v>0.930014336917707</v>
      </c>
      <c r="F628" s="51" t="n">
        <f aca="false">1+IF($G$10=$E$10,$F$10,IF(T628&lt;($F$10-$E$10)/($G$10-$E$10),$E$10+SQRT(T628*($G$10-$E$10)*($F$10-$E$10)),$G$10-SQRT((1-T628)*($G$10-$E$10)*($G$10-$F$10))))</f>
        <v>1.08133571936428</v>
      </c>
      <c r="G628" s="52" t="n">
        <f aca="false">IF($G$11=$E$11,$F$11,IF(U628&lt;($F$11-$E$11)/($G$11-$E$11),$E$11+SQRT(U628*($G$11-$E$11)*($F$11-$E$11)),$G$11-SQRT((1-U628)*($G$11-$E$11)*($G$11-$F$11))))</f>
        <v>0.103427089106985</v>
      </c>
      <c r="H628" s="53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-2162671438.72855</v>
      </c>
      <c r="I628" s="53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-81587379.6302995</v>
      </c>
      <c r="J628" s="53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127283624.87388</v>
      </c>
      <c r="K628" s="53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390221415.346274</v>
      </c>
      <c r="L628" s="53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493229599.173237</v>
      </c>
      <c r="M628" s="53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676844435.297201</v>
      </c>
      <c r="N628" s="53" t="n">
        <f aca="false">IF(COUNT('Business Case'!B11:G11)=0,"",H628+NPV(G628,I628:M628))</f>
        <v>-1095117099.33606</v>
      </c>
      <c r="P628" s="54" t="n">
        <f aca="true">RAND()</f>
        <v>5.75248493241569E-005</v>
      </c>
      <c r="Q628" s="54" t="n">
        <f aca="true">RAND()</f>
        <v>0.910356864736788</v>
      </c>
      <c r="R628" s="54" t="n">
        <f aca="true">RAND()</f>
        <v>0.898343505009244</v>
      </c>
      <c r="S628" s="54" t="n">
        <f aca="true">RAND()</f>
        <v>0.0360344168243842</v>
      </c>
      <c r="T628" s="54" t="n">
        <f aca="true">RAND()</f>
        <v>0.620698139168446</v>
      </c>
      <c r="U628" s="54" t="n">
        <f aca="true">RAND()</f>
        <v>0.529253604447938</v>
      </c>
    </row>
    <row r="629" customFormat="false" ht="15" hidden="false" customHeight="false" outlineLevel="0" collapsed="false">
      <c r="A629" s="50" t="n">
        <v>549</v>
      </c>
      <c r="B629" s="51" t="n">
        <f aca="false">1+IF($G$6=$E$6,$F$6,IF(P629&lt;($F$6-$E$6)/($G$6-$E$6),$E$6+SQRT(P629*($G$6-$E$6)*($F$6-$E$6)),$G$6-SQRT((1-P629)*($G$6-$E$6)*($G$6-$F$6))))</f>
        <v>0.998899632871352</v>
      </c>
      <c r="C629" s="51" t="n">
        <f aca="false">1+IF($G$7=$E$7,$F$7,IF(Q629&lt;($F$7-$E$7)/($G$7-$E$7),$E$7+SQRT(Q629*($G$7-$E$7)*($F$7-$E$7)),$G$7-SQRT((1-Q629)*($G$7-$E$7)*($G$7-$F$7))))</f>
        <v>0.969349582827883</v>
      </c>
      <c r="D629" s="51" t="n">
        <f aca="false">1+IF($G$8=$E$8,$F$8,IF(R629&lt;($F$8-$E$8)/($G$8-$E$8),$E$8+SQRT(R629*($G$8-$E$8)*($F$8-$E$8)),$G$8-SQRT((1-R629)*($G$8-$E$8)*($G$8-$F$8))))</f>
        <v>0.994954353424969</v>
      </c>
      <c r="E629" s="51" t="n">
        <f aca="false">1+IF($G$9=$E$9,$F$9,IF(S629&lt;($F$9-$E$9)/($G$9-$E$9),$E$9+SQRT(S629*($G$9-$E$9)*($F$9-$E$9)),$G$9-SQRT((1-S629)*($G$9-$E$9)*($G$9-$F$9))))</f>
        <v>1.12520185040912</v>
      </c>
      <c r="F629" s="51" t="n">
        <f aca="false">1+IF($G$10=$E$10,$F$10,IF(T629&lt;($F$10-$E$10)/($G$10-$E$10),$E$10+SQRT(T629*($G$10-$E$10)*($F$10-$E$10)),$G$10-SQRT((1-T629)*($G$10-$E$10)*($G$10-$F$10))))</f>
        <v>1.13022754170646</v>
      </c>
      <c r="G629" s="52" t="n">
        <f aca="false">IF($G$11=$E$11,$F$11,IF(U629&lt;($F$11-$E$11)/($G$11-$E$11),$E$11+SQRT(U629*($G$11-$E$11)*($F$11-$E$11)),$G$11-SQRT((1-U629)*($G$11-$E$11)*($G$11-$F$11))))</f>
        <v>0.0879672096222106</v>
      </c>
      <c r="H629" s="53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-2260455083.41292</v>
      </c>
      <c r="I629" s="53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-23854438.901872</v>
      </c>
      <c r="J629" s="53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275513367.229654</v>
      </c>
      <c r="K629" s="53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631392550.446502</v>
      </c>
      <c r="L629" s="53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764645677.646727</v>
      </c>
      <c r="M629" s="53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948696899.340166</v>
      </c>
      <c r="N629" s="53" t="n">
        <f aca="false">IF(COUNT('Business Case'!B11:G11)=0,"",H629+NPV(G629,I629:M629))</f>
        <v>-391206635.95209</v>
      </c>
      <c r="P629" s="54" t="n">
        <f aca="true">RAND()</f>
        <v>0.652075825472545</v>
      </c>
      <c r="Q629" s="54" t="n">
        <f aca="true">RAND()</f>
        <v>0.537401464959665</v>
      </c>
      <c r="R629" s="54" t="n">
        <f aca="true">RAND()</f>
        <v>0.269452518914268</v>
      </c>
      <c r="S629" s="54" t="n">
        <f aca="true">RAND()</f>
        <v>0.983601380716491</v>
      </c>
      <c r="T629" s="54" t="n">
        <f aca="true">RAND()</f>
        <v>0.808727443124296</v>
      </c>
      <c r="U629" s="54" t="n">
        <f aca="true">RAND()</f>
        <v>0.0634764291642447</v>
      </c>
    </row>
    <row r="630" customFormat="false" ht="15" hidden="false" customHeight="false" outlineLevel="0" collapsed="false">
      <c r="A630" s="50" t="n">
        <v>550</v>
      </c>
      <c r="B630" s="51" t="n">
        <f aca="false">1+IF($G$6=$E$6,$F$6,IF(P630&lt;($F$6-$E$6)/($G$6-$E$6),$E$6+SQRT(P630*($G$6-$E$6)*($F$6-$E$6)),$G$6-SQRT((1-P630)*($G$6-$E$6)*($G$6-$F$6))))</f>
        <v>0.943609984924786</v>
      </c>
      <c r="C630" s="51" t="n">
        <f aca="false">1+IF($G$7=$E$7,$F$7,IF(Q630&lt;($F$7-$E$7)/($G$7-$E$7),$E$7+SQRT(Q630*($G$7-$E$7)*($F$7-$E$7)),$G$7-SQRT((1-Q630)*($G$7-$E$7)*($G$7-$F$7))))</f>
        <v>0.796283465785209</v>
      </c>
      <c r="D630" s="51" t="n">
        <f aca="false">1+IF($G$8=$E$8,$F$8,IF(R630&lt;($F$8-$E$8)/($G$8-$E$8),$E$8+SQRT(R630*($G$8-$E$8)*($F$8-$E$8)),$G$8-SQRT((1-R630)*($G$8-$E$8)*($G$8-$F$8))))</f>
        <v>0.997492335207247</v>
      </c>
      <c r="E630" s="51" t="n">
        <f aca="false">1+IF($G$9=$E$9,$F$9,IF(S630&lt;($F$9-$E$9)/($G$9-$E$9),$E$9+SQRT(S630*($G$9-$E$9)*($F$9-$E$9)),$G$9-SQRT((1-S630)*($G$9-$E$9)*($G$9-$F$9))))</f>
        <v>1.0767769490636</v>
      </c>
      <c r="F630" s="51" t="n">
        <f aca="false">1+IF($G$10=$E$10,$F$10,IF(T630&lt;($F$10-$E$10)/($G$10-$E$10),$E$10+SQRT(T630*($G$10-$E$10)*($F$10-$E$10)),$G$10-SQRT((1-T630)*($G$10-$E$10)*($G$10-$F$10))))</f>
        <v>1.15572355142202</v>
      </c>
      <c r="G630" s="52" t="n">
        <f aca="false">IF($G$11=$E$11,$F$11,IF(U630&lt;($F$11-$E$11)/($G$11-$E$11),$E$11+SQRT(U630*($G$11-$E$11)*($F$11-$E$11)),$G$11-SQRT((1-U630)*($G$11-$E$11)*($G$11-$F$11))))</f>
        <v>0.108954947201337</v>
      </c>
      <c r="H630" s="53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-2311447102.84403</v>
      </c>
      <c r="I630" s="53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-98817691.3452112</v>
      </c>
      <c r="J630" s="53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110006247.159522</v>
      </c>
      <c r="K630" s="53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376616363.235356</v>
      </c>
      <c r="L630" s="53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472192071.1042</v>
      </c>
      <c r="M630" s="53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615014577.124165</v>
      </c>
      <c r="N630" s="53" t="n">
        <f aca="false">IF(COUNT('Business Case'!B11:G11)=0,"",H630+NPV(G630,I630:M630))</f>
        <v>-1356020239.97395</v>
      </c>
      <c r="P630" s="54" t="n">
        <f aca="true">RAND()</f>
        <v>0.126788719009335</v>
      </c>
      <c r="Q630" s="54" t="n">
        <f aca="true">RAND()</f>
        <v>0.0686704132119375</v>
      </c>
      <c r="R630" s="54" t="n">
        <f aca="true">RAND()</f>
        <v>0.300736253791671</v>
      </c>
      <c r="S630" s="54" t="n">
        <f aca="true">RAND()</f>
        <v>0.857023594975059</v>
      </c>
      <c r="T630" s="54" t="n">
        <f aca="true">RAND()</f>
        <v>0.88149268324697</v>
      </c>
      <c r="U630" s="54" t="n">
        <f aca="true">RAND()</f>
        <v>0.704737168467667</v>
      </c>
    </row>
    <row r="631" customFormat="false" ht="15" hidden="false" customHeight="false" outlineLevel="0" collapsed="false">
      <c r="A631" s="50" t="n">
        <v>551</v>
      </c>
      <c r="B631" s="51" t="n">
        <f aca="false">1+IF($G$6=$E$6,$F$6,IF(P631&lt;($F$6-$E$6)/($G$6-$E$6),$E$6+SQRT(P631*($G$6-$E$6)*($F$6-$E$6)),$G$6-SQRT((1-P631)*($G$6-$E$6)*($G$6-$F$6))))</f>
        <v>0.945055682755373</v>
      </c>
      <c r="C631" s="51" t="n">
        <f aca="false">1+IF($G$7=$E$7,$F$7,IF(Q631&lt;($F$7-$E$7)/($G$7-$E$7),$E$7+SQRT(Q631*($G$7-$E$7)*($F$7-$E$7)),$G$7-SQRT((1-Q631)*($G$7-$E$7)*($G$7-$F$7))))</f>
        <v>0.909020553436922</v>
      </c>
      <c r="D631" s="51" t="n">
        <f aca="false">1+IF($G$8=$E$8,$F$8,IF(R631&lt;($F$8-$E$8)/($G$8-$E$8),$E$8+SQRT(R631*($G$8-$E$8)*($F$8-$E$8)),$G$8-SQRT((1-R631)*($G$8-$E$8)*($G$8-$F$8))))</f>
        <v>1.01592081367579</v>
      </c>
      <c r="E631" s="51" t="n">
        <f aca="false">1+IF($G$9=$E$9,$F$9,IF(S631&lt;($F$9-$E$9)/($G$9-$E$9),$E$9+SQRT(S631*($G$9-$E$9)*($F$9-$E$9)),$G$9-SQRT((1-S631)*($G$9-$E$9)*($G$9-$F$9))))</f>
        <v>1.03321770171813</v>
      </c>
      <c r="F631" s="51" t="n">
        <f aca="false">1+IF($G$10=$E$10,$F$10,IF(T631&lt;($F$10-$E$10)/($G$10-$E$10),$E$10+SQRT(T631*($G$10-$E$10)*($F$10-$E$10)),$G$10-SQRT((1-T631)*($G$10-$E$10)*($G$10-$F$10))))</f>
        <v>0.990416596536002</v>
      </c>
      <c r="G631" s="52" t="n">
        <f aca="false">IF($G$11=$E$11,$F$11,IF(U631&lt;($F$11-$E$11)/($G$11-$E$11),$E$11+SQRT(U631*($G$11-$E$11)*($F$11-$E$11)),$G$11-SQRT((1-U631)*($G$11-$E$11)*($G$11-$F$11))))</f>
        <v>0.0839290808661391</v>
      </c>
      <c r="H631" s="53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-1980833193.072</v>
      </c>
      <c r="I631" s="53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-59609841.4467538</v>
      </c>
      <c r="J631" s="53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171279984.005931</v>
      </c>
      <c r="K631" s="53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451690639.285417</v>
      </c>
      <c r="L631" s="53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558343547.810659</v>
      </c>
      <c r="M631" s="53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721636531.36957</v>
      </c>
      <c r="N631" s="53" t="n">
        <f aca="false">IF(COUNT('Business Case'!B11:G11)=0,"",H631+NPV(G631,I631:M631))</f>
        <v>-648586158.780388</v>
      </c>
      <c r="P631" s="54" t="n">
        <f aca="true">RAND()</f>
        <v>0.135334303236856</v>
      </c>
      <c r="Q631" s="54" t="n">
        <f aca="true">RAND()</f>
        <v>0.323626605622794</v>
      </c>
      <c r="R631" s="54" t="n">
        <f aca="true">RAND()</f>
        <v>0.528712695137195</v>
      </c>
      <c r="S631" s="54" t="n">
        <f aca="true">RAND()</f>
        <v>0.636317194880094</v>
      </c>
      <c r="T631" s="54" t="n">
        <f aca="true">RAND()</f>
        <v>0.10890008503693</v>
      </c>
      <c r="U631" s="54" t="n">
        <f aca="true">RAND()</f>
        <v>0.01543767645266</v>
      </c>
    </row>
    <row r="632" customFormat="false" ht="15" hidden="false" customHeight="false" outlineLevel="0" collapsed="false">
      <c r="A632" s="50" t="n">
        <v>552</v>
      </c>
      <c r="B632" s="51" t="n">
        <f aca="false">1+IF($G$6=$E$6,$F$6,IF(P632&lt;($F$6-$E$6)/($G$6-$E$6),$E$6+SQRT(P632*($G$6-$E$6)*($F$6-$E$6)),$G$6-SQRT((1-P632)*($G$6-$E$6)*($G$6-$F$6))))</f>
        <v>0.982756188481862</v>
      </c>
      <c r="C632" s="51" t="n">
        <f aca="false">1+IF($G$7=$E$7,$F$7,IF(Q632&lt;($F$7-$E$7)/($G$7-$E$7),$E$7+SQRT(Q632*($G$7-$E$7)*($F$7-$E$7)),$G$7-SQRT((1-Q632)*($G$7-$E$7)*($G$7-$F$7))))</f>
        <v>0.900683027240944</v>
      </c>
      <c r="D632" s="51" t="n">
        <f aca="false">1+IF($G$8=$E$8,$F$8,IF(R632&lt;($F$8-$E$8)/($G$8-$E$8),$E$8+SQRT(R632*($G$8-$E$8)*($F$8-$E$8)),$G$8-SQRT((1-R632)*($G$8-$E$8)*($G$8-$F$8))))</f>
        <v>1.0264227449089</v>
      </c>
      <c r="E632" s="51" t="n">
        <f aca="false">1+IF($G$9=$E$9,$F$9,IF(S632&lt;($F$9-$E$9)/($G$9-$E$9),$E$9+SQRT(S632*($G$9-$E$9)*($F$9-$E$9)),$G$9-SQRT((1-S632)*($G$9-$E$9)*($G$9-$F$9))))</f>
        <v>1.11769617986436</v>
      </c>
      <c r="F632" s="51" t="n">
        <f aca="false">1+IF($G$10=$E$10,$F$10,IF(T632&lt;($F$10-$E$10)/($G$10-$E$10),$E$10+SQRT(T632*($G$10-$E$10)*($F$10-$E$10)),$G$10-SQRT((1-T632)*($G$10-$E$10)*($G$10-$F$10))))</f>
        <v>1.08399855680607</v>
      </c>
      <c r="G632" s="52" t="n">
        <f aca="false">IF($G$11=$E$11,$F$11,IF(U632&lt;($F$11-$E$11)/($G$11-$E$11),$E$11+SQRT(U632*($G$11-$E$11)*($F$11-$E$11)),$G$11-SQRT((1-U632)*($G$11-$E$11)*($G$11-$F$11))))</f>
        <v>0.101238879879247</v>
      </c>
      <c r="H632" s="53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-2167997113.61214</v>
      </c>
      <c r="I632" s="53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-61480044.727647</v>
      </c>
      <c r="J632" s="53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190262433.292848</v>
      </c>
      <c r="K632" s="53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496204839.153647</v>
      </c>
      <c r="L632" s="53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610709845.354361</v>
      </c>
      <c r="M632" s="53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778959503.087379</v>
      </c>
      <c r="N632" s="53" t="n">
        <f aca="false">IF(COUNT('Business Case'!B11:G11)=0,"",H632+NPV(G632,I632:M632))</f>
        <v>-799180622.51512</v>
      </c>
      <c r="P632" s="54" t="n">
        <f aca="true">RAND()</f>
        <v>0.456572448803029</v>
      </c>
      <c r="Q632" s="54" t="n">
        <f aca="true">RAND()</f>
        <v>0.298323536463624</v>
      </c>
      <c r="R632" s="54" t="n">
        <f aca="true">RAND()</f>
        <v>0.639092502217278</v>
      </c>
      <c r="S632" s="54" t="n">
        <f aca="true">RAND()</f>
        <v>0.972172352123853</v>
      </c>
      <c r="T632" s="54" t="n">
        <f aca="true">RAND()</f>
        <v>0.632580278100428</v>
      </c>
      <c r="U632" s="54" t="n">
        <f aca="true">RAND()</f>
        <v>0.44853197959974</v>
      </c>
    </row>
    <row r="633" customFormat="false" ht="15" hidden="false" customHeight="false" outlineLevel="0" collapsed="false">
      <c r="A633" s="50" t="n">
        <v>553</v>
      </c>
      <c r="B633" s="51" t="n">
        <f aca="false">1+IF($G$6=$E$6,$F$6,IF(P633&lt;($F$6-$E$6)/($G$6-$E$6),$E$6+SQRT(P633*($G$6-$E$6)*($F$6-$E$6)),$G$6-SQRT((1-P633)*($G$6-$E$6)*($G$6-$F$6))))</f>
        <v>0.967165377235767</v>
      </c>
      <c r="C633" s="51" t="n">
        <f aca="false">1+IF($G$7=$E$7,$F$7,IF(Q633&lt;($F$7-$E$7)/($G$7-$E$7),$E$7+SQRT(Q633*($G$7-$E$7)*($F$7-$E$7)),$G$7-SQRT((1-Q633)*($G$7-$E$7)*($G$7-$F$7))))</f>
        <v>1.03842663196801</v>
      </c>
      <c r="D633" s="51" t="n">
        <f aca="false">1+IF($G$8=$E$8,$F$8,IF(R633&lt;($F$8-$E$8)/($G$8-$E$8),$E$8+SQRT(R633*($G$8-$E$8)*($F$8-$E$8)),$G$8-SQRT((1-R633)*($G$8-$E$8)*($G$8-$F$8))))</f>
        <v>0.975040041144875</v>
      </c>
      <c r="E633" s="51" t="n">
        <f aca="false">1+IF($G$9=$E$9,$F$9,IF(S633&lt;($F$9-$E$9)/($G$9-$E$9),$E$9+SQRT(S633*($G$9-$E$9)*($F$9-$E$9)),$G$9-SQRT((1-S633)*($G$9-$E$9)*($G$9-$F$9))))</f>
        <v>1.07456219563314</v>
      </c>
      <c r="F633" s="51" t="n">
        <f aca="false">1+IF($G$10=$E$10,$F$10,IF(T633&lt;($F$10-$E$10)/($G$10-$E$10),$E$10+SQRT(T633*($G$10-$E$10)*($F$10-$E$10)),$G$10-SQRT((1-T633)*($G$10-$E$10)*($G$10-$F$10))))</f>
        <v>1.14243782974838</v>
      </c>
      <c r="G633" s="52" t="n">
        <f aca="false">IF($G$11=$E$11,$F$11,IF(U633&lt;($F$11-$E$11)/($G$11-$E$11),$E$11+SQRT(U633*($G$11-$E$11)*($F$11-$E$11)),$G$11-SQRT((1-U633)*($G$11-$E$11)*($G$11-$F$11))))</f>
        <v>0.0960781466055218</v>
      </c>
      <c r="H633" s="53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-2284875659.49675</v>
      </c>
      <c r="I633" s="53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-14815056.7172316</v>
      </c>
      <c r="J633" s="53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289480895.746198</v>
      </c>
      <c r="K633" s="53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650898739.697046</v>
      </c>
      <c r="L633" s="53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787040378.509382</v>
      </c>
      <c r="M633" s="53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977943479.127613</v>
      </c>
      <c r="N633" s="53" t="n">
        <f aca="false">IF(COUNT('Business Case'!B11:G11)=0,"",H633+NPV(G633,I633:M633))</f>
        <v>-399676781.656208</v>
      </c>
      <c r="P633" s="54" t="n">
        <f aca="true">RAND()</f>
        <v>0.300745859948194</v>
      </c>
      <c r="Q633" s="54" t="n">
        <f aca="true">RAND()</f>
        <v>0.815576052533302</v>
      </c>
      <c r="R633" s="54" t="n">
        <f aca="true">RAND()</f>
        <v>0.0836004880716061</v>
      </c>
      <c r="S633" s="54" t="n">
        <f aca="true">RAND()</f>
        <v>0.848243671261544</v>
      </c>
      <c r="T633" s="54" t="n">
        <f aca="true">RAND()</f>
        <v>0.845738393743479</v>
      </c>
      <c r="U633" s="54" t="n">
        <f aca="true">RAND()</f>
        <v>0.25850679826865</v>
      </c>
    </row>
    <row r="634" customFormat="false" ht="15" hidden="false" customHeight="false" outlineLevel="0" collapsed="false">
      <c r="A634" s="50" t="n">
        <v>554</v>
      </c>
      <c r="B634" s="51" t="n">
        <f aca="false">1+IF($G$6=$E$6,$F$6,IF(P634&lt;($F$6-$E$6)/($G$6-$E$6),$E$6+SQRT(P634*($G$6-$E$6)*($F$6-$E$6)),$G$6-SQRT((1-P634)*($G$6-$E$6)*($G$6-$F$6))))</f>
        <v>0.998167492718694</v>
      </c>
      <c r="C634" s="51" t="n">
        <f aca="false">1+IF($G$7=$E$7,$F$7,IF(Q634&lt;($F$7-$E$7)/($G$7-$E$7),$E$7+SQRT(Q634*($G$7-$E$7)*($F$7-$E$7)),$G$7-SQRT((1-Q634)*($G$7-$E$7)*($G$7-$F$7))))</f>
        <v>0.962060279795362</v>
      </c>
      <c r="D634" s="51" t="n">
        <f aca="false">1+IF($G$8=$E$8,$F$8,IF(R634&lt;($F$8-$E$8)/($G$8-$E$8),$E$8+SQRT(R634*($G$8-$E$8)*($F$8-$E$8)),$G$8-SQRT((1-R634)*($G$8-$E$8)*($G$8-$F$8))))</f>
        <v>1.05786410700565</v>
      </c>
      <c r="E634" s="51" t="n">
        <f aca="false">1+IF($G$9=$E$9,$F$9,IF(S634&lt;($F$9-$E$9)/($G$9-$E$9),$E$9+SQRT(S634*($G$9-$E$9)*($F$9-$E$9)),$G$9-SQRT((1-S634)*($G$9-$E$9)*($G$9-$F$9))))</f>
        <v>0.993057148518149</v>
      </c>
      <c r="F634" s="51" t="n">
        <f aca="false">1+IF($G$10=$E$10,$F$10,IF(T634&lt;($F$10-$E$10)/($G$10-$E$10),$E$10+SQRT(T634*($G$10-$E$10)*($F$10-$E$10)),$G$10-SQRT((1-T634)*($G$10-$E$10)*($G$10-$F$10))))</f>
        <v>1.10990877637796</v>
      </c>
      <c r="G634" s="52" t="n">
        <f aca="false">IF($G$11=$E$11,$F$11,IF(U634&lt;($F$11-$E$11)/($G$11-$E$11),$E$11+SQRT(U634*($G$11-$E$11)*($F$11-$E$11)),$G$11-SQRT((1-U634)*($G$11-$E$11)*($G$11-$F$11))))</f>
        <v>0.091329577798342</v>
      </c>
      <c r="H634" s="53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-2219817552.75592</v>
      </c>
      <c r="I634" s="53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-36428637.6616569</v>
      </c>
      <c r="J634" s="53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229128140.727225</v>
      </c>
      <c r="K634" s="53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550180357.935004</v>
      </c>
      <c r="L634" s="53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671887158.660273</v>
      </c>
      <c r="M634" s="53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854420468.936299</v>
      </c>
      <c r="N634" s="53" t="n">
        <f aca="false">IF(COUNT('Business Case'!B11:G11)=0,"",H634+NPV(G634,I634:M634))</f>
        <v>-611918692.460446</v>
      </c>
      <c r="P634" s="54" t="n">
        <f aca="true">RAND()</f>
        <v>0.642457108444984</v>
      </c>
      <c r="Q634" s="54" t="n">
        <f aca="true">RAND()</f>
        <v>0.508708075899434</v>
      </c>
      <c r="R634" s="54" t="n">
        <f aca="true">RAND()</f>
        <v>0.881637768104554</v>
      </c>
      <c r="S634" s="54" t="n">
        <f aca="true">RAND()</f>
        <v>0.346385315613155</v>
      </c>
      <c r="T634" s="54" t="n">
        <f aca="true">RAND()</f>
        <v>0.738325987521053</v>
      </c>
      <c r="U634" s="54" t="n">
        <f aca="true">RAND()</f>
        <v>0.128359333088684</v>
      </c>
    </row>
    <row r="635" customFormat="false" ht="15" hidden="false" customHeight="false" outlineLevel="0" collapsed="false">
      <c r="A635" s="50" t="n">
        <v>555</v>
      </c>
      <c r="B635" s="51" t="n">
        <f aca="false">1+IF($G$6=$E$6,$F$6,IF(P635&lt;($F$6-$E$6)/($G$6-$E$6),$E$6+SQRT(P635*($G$6-$E$6)*($F$6-$E$6)),$G$6-SQRT((1-P635)*($G$6-$E$6)*($G$6-$F$6))))</f>
        <v>0.942571595535468</v>
      </c>
      <c r="C635" s="51" t="n">
        <f aca="false">1+IF($G$7=$E$7,$F$7,IF(Q635&lt;($F$7-$E$7)/($G$7-$E$7),$E$7+SQRT(Q635*($G$7-$E$7)*($F$7-$E$7)),$G$7-SQRT((1-Q635)*($G$7-$E$7)*($G$7-$F$7))))</f>
        <v>1.05056724003762</v>
      </c>
      <c r="D635" s="51" t="n">
        <f aca="false">1+IF($G$8=$E$8,$F$8,IF(R635&lt;($F$8-$E$8)/($G$8-$E$8),$E$8+SQRT(R635*($G$8-$E$8)*($F$8-$E$8)),$G$8-SQRT((1-R635)*($G$8-$E$8)*($G$8-$F$8))))</f>
        <v>0.972985191208178</v>
      </c>
      <c r="E635" s="51" t="n">
        <f aca="false">1+IF($G$9=$E$9,$F$9,IF(S635&lt;($F$9-$E$9)/($G$9-$E$9),$E$9+SQRT(S635*($G$9-$E$9)*($F$9-$E$9)),$G$9-SQRT((1-S635)*($G$9-$E$9)*($G$9-$F$9))))</f>
        <v>1.02907114221079</v>
      </c>
      <c r="F635" s="51" t="n">
        <f aca="false">1+IF($G$10=$E$10,$F$10,IF(T635&lt;($F$10-$E$10)/($G$10-$E$10),$E$10+SQRT(T635*($G$10-$E$10)*($F$10-$E$10)),$G$10-SQRT((1-T635)*($G$10-$E$10)*($G$10-$F$10))))</f>
        <v>1.04602046929429</v>
      </c>
      <c r="G635" s="52" t="n">
        <f aca="false">IF($G$11=$E$11,$F$11,IF(U635&lt;($F$11-$E$11)/($G$11-$E$11),$E$11+SQRT(U635*($G$11-$E$11)*($F$11-$E$11)),$G$11-SQRT((1-U635)*($G$11-$E$11)*($G$11-$F$11))))</f>
        <v>0.115046564344994</v>
      </c>
      <c r="H635" s="53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-2092040938.58858</v>
      </c>
      <c r="I635" s="53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-14473751.8063983</v>
      </c>
      <c r="J635" s="53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273322233.826957</v>
      </c>
      <c r="K635" s="53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613419242.925026</v>
      </c>
      <c r="L635" s="53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743573754.194778</v>
      </c>
      <c r="M635" s="53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931797592.517265</v>
      </c>
      <c r="N635" s="53" t="n">
        <f aca="false">IF(COUNT('Business Case'!B11:G11)=0,"",H635+NPV(G635,I635:M635))</f>
        <v>-421142414.531298</v>
      </c>
      <c r="P635" s="54" t="n">
        <f aca="true">RAND()</f>
        <v>0.120822716429031</v>
      </c>
      <c r="Q635" s="54" t="n">
        <f aca="true">RAND()</f>
        <v>0.853527796240929</v>
      </c>
      <c r="R635" s="54" t="n">
        <f aca="true">RAND()</f>
        <v>0.0704425353168669</v>
      </c>
      <c r="S635" s="54" t="n">
        <f aca="true">RAND()</f>
        <v>0.610032302767889</v>
      </c>
      <c r="T635" s="54" t="n">
        <f aca="true">RAND()</f>
        <v>0.445231347374369</v>
      </c>
      <c r="U635" s="54" t="n">
        <f aca="true">RAND()</f>
        <v>0.850929841407732</v>
      </c>
    </row>
    <row r="636" customFormat="false" ht="15" hidden="false" customHeight="false" outlineLevel="0" collapsed="false">
      <c r="A636" s="50" t="n">
        <v>556</v>
      </c>
      <c r="B636" s="51" t="n">
        <f aca="false">1+IF($G$6=$E$6,$F$6,IF(P636&lt;($F$6-$E$6)/($G$6-$E$6),$E$6+SQRT(P636*($G$6-$E$6)*($F$6-$E$6)),$G$6-SQRT((1-P636)*($G$6-$E$6)*($G$6-$F$6))))</f>
        <v>1.00616293118423</v>
      </c>
      <c r="C636" s="51" t="n">
        <f aca="false">1+IF($G$7=$E$7,$F$7,IF(Q636&lt;($F$7-$E$7)/($G$7-$E$7),$E$7+SQRT(Q636*($G$7-$E$7)*($F$7-$E$7)),$G$7-SQRT((1-Q636)*($G$7-$E$7)*($G$7-$F$7))))</f>
        <v>0.970577631533891</v>
      </c>
      <c r="D636" s="51" t="n">
        <f aca="false">1+IF($G$8=$E$8,$F$8,IF(R636&lt;($F$8-$E$8)/($G$8-$E$8),$E$8+SQRT(R636*($G$8-$E$8)*($F$8-$E$8)),$G$8-SQRT((1-R636)*($G$8-$E$8)*($G$8-$F$8))))</f>
        <v>1.08566188870768</v>
      </c>
      <c r="E636" s="51" t="n">
        <f aca="false">1+IF($G$9=$E$9,$F$9,IF(S636&lt;($F$9-$E$9)/($G$9-$E$9),$E$9+SQRT(S636*($G$9-$E$9)*($F$9-$E$9)),$G$9-SQRT((1-S636)*($G$9-$E$9)*($G$9-$F$9))))</f>
        <v>1.12659756000494</v>
      </c>
      <c r="F636" s="51" t="n">
        <f aca="false">1+IF($G$10=$E$10,$F$10,IF(T636&lt;($F$10-$E$10)/($G$10-$E$10),$E$10+SQRT(T636*($G$10-$E$10)*($F$10-$E$10)),$G$10-SQRT((1-T636)*($G$10-$E$10)*($G$10-$F$10))))</f>
        <v>1.22451897389426</v>
      </c>
      <c r="G636" s="52" t="n">
        <f aca="false">IF($G$11=$E$11,$F$11,IF(U636&lt;($F$11-$E$11)/($G$11-$E$11),$E$11+SQRT(U636*($G$11-$E$11)*($F$11-$E$11)),$G$11-SQRT((1-U636)*($G$11-$E$11)*($G$11-$F$11))))</f>
        <v>0.106586004759587</v>
      </c>
      <c r="H636" s="53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-2449037947.78852</v>
      </c>
      <c r="I636" s="53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-72826480.1732801</v>
      </c>
      <c r="J636" s="53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187625940.80169</v>
      </c>
      <c r="K636" s="53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509304310.471373</v>
      </c>
      <c r="L636" s="53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629871671.280444</v>
      </c>
      <c r="M636" s="53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815496050.609557</v>
      </c>
      <c r="N636" s="53" t="n">
        <f aca="false">IF(COUNT('Business Case'!B11:G11)=0,"",H636+NPV(G636,I636:M636))</f>
        <v>-1074242107.80989</v>
      </c>
      <c r="P636" s="54" t="n">
        <f aca="true">RAND()</f>
        <v>0.743774853018885</v>
      </c>
      <c r="Q636" s="54" t="n">
        <f aca="true">RAND()</f>
        <v>0.542312997677703</v>
      </c>
      <c r="R636" s="54" t="n">
        <f aca="true">RAND()</f>
        <v>0.986294570971278</v>
      </c>
      <c r="S636" s="54" t="n">
        <f aca="true">RAND()</f>
        <v>0.985395354727405</v>
      </c>
      <c r="T636" s="54" t="n">
        <f aca="true">RAND()</f>
        <v>0.99134289744798</v>
      </c>
      <c r="U636" s="54" t="n">
        <f aca="true">RAND()</f>
        <v>0.634523217921267</v>
      </c>
    </row>
    <row r="637" customFormat="false" ht="15" hidden="false" customHeight="false" outlineLevel="0" collapsed="false">
      <c r="A637" s="50" t="n">
        <v>557</v>
      </c>
      <c r="B637" s="51" t="n">
        <f aca="false">1+IF($G$6=$E$6,$F$6,IF(P637&lt;($F$6-$E$6)/($G$6-$E$6),$E$6+SQRT(P637*($G$6-$E$6)*($F$6-$E$6)),$G$6-SQRT((1-P637)*($G$6-$E$6)*($G$6-$F$6))))</f>
        <v>0.933783673916739</v>
      </c>
      <c r="C637" s="51" t="n">
        <f aca="false">1+IF($G$7=$E$7,$F$7,IF(Q637&lt;($F$7-$E$7)/($G$7-$E$7),$E$7+SQRT(Q637*($G$7-$E$7)*($F$7-$E$7)),$G$7-SQRT((1-Q637)*($G$7-$E$7)*($G$7-$F$7))))</f>
        <v>1.11486243580648</v>
      </c>
      <c r="D637" s="51" t="n">
        <f aca="false">1+IF($G$8=$E$8,$F$8,IF(R637&lt;($F$8-$E$8)/($G$8-$E$8),$E$8+SQRT(R637*($G$8-$E$8)*($F$8-$E$8)),$G$8-SQRT((1-R637)*($G$8-$E$8)*($G$8-$F$8))))</f>
        <v>1.00862118677784</v>
      </c>
      <c r="E637" s="51" t="n">
        <f aca="false">1+IF($G$9=$E$9,$F$9,IF(S637&lt;($F$9-$E$9)/($G$9-$E$9),$E$9+SQRT(S637*($G$9-$E$9)*($F$9-$E$9)),$G$9-SQRT((1-S637)*($G$9-$E$9)*($G$9-$F$9))))</f>
        <v>0.982303101081492</v>
      </c>
      <c r="F637" s="51" t="n">
        <f aca="false">1+IF($G$10=$E$10,$F$10,IF(T637&lt;($F$10-$E$10)/($G$10-$E$10),$E$10+SQRT(T637*($G$10-$E$10)*($F$10-$E$10)),$G$10-SQRT((1-T637)*($G$10-$E$10)*($G$10-$F$10))))</f>
        <v>0.984936020849532</v>
      </c>
      <c r="G637" s="52" t="n">
        <f aca="false">IF($G$11=$E$11,$F$11,IF(U637&lt;($F$11-$E$11)/($G$11-$E$11),$E$11+SQRT(U637*($G$11-$E$11)*($F$11-$E$11)),$G$11-SQRT((1-U637)*($G$11-$E$11)*($G$11-$F$11))))</f>
        <v>0.0995400653458037</v>
      </c>
      <c r="H637" s="53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-1969872041.69906</v>
      </c>
      <c r="I637" s="53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-15098305.1003968</v>
      </c>
      <c r="J637" s="53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261948024.146748</v>
      </c>
      <c r="K637" s="53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588241154.43637</v>
      </c>
      <c r="L637" s="53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716568285.044618</v>
      </c>
      <c r="M637" s="53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914449233.103553</v>
      </c>
      <c r="N637" s="53" t="n">
        <f aca="false">IF(COUNT('Business Case'!B11:G11)=0,"",H637+NPV(G637,I637:M637))</f>
        <v>-265192506.970346</v>
      </c>
      <c r="P637" s="54" t="n">
        <f aca="true">RAND()</f>
        <v>0.0760891082208381</v>
      </c>
      <c r="Q637" s="54" t="n">
        <f aca="true">RAND()</f>
        <v>0.981708912334023</v>
      </c>
      <c r="R637" s="54" t="n">
        <f aca="true">RAND()</f>
        <v>0.443327499607274</v>
      </c>
      <c r="S637" s="54" t="n">
        <f aca="true">RAND()</f>
        <v>0.270952017905208</v>
      </c>
      <c r="T637" s="54" t="n">
        <f aca="true">RAND()</f>
        <v>0.0813683701865969</v>
      </c>
      <c r="U637" s="54" t="n">
        <f aca="true">RAND()</f>
        <v>0.381814153718277</v>
      </c>
    </row>
    <row r="638" customFormat="false" ht="15" hidden="false" customHeight="false" outlineLevel="0" collapsed="false">
      <c r="A638" s="50" t="n">
        <v>558</v>
      </c>
      <c r="B638" s="51" t="n">
        <f aca="false">1+IF($G$6=$E$6,$F$6,IF(P638&lt;($F$6-$E$6)/($G$6-$E$6),$E$6+SQRT(P638*($G$6-$E$6)*($F$6-$E$6)),$G$6-SQRT((1-P638)*($G$6-$E$6)*($G$6-$F$6))))</f>
        <v>1.01491374632941</v>
      </c>
      <c r="C638" s="51" t="n">
        <f aca="false">1+IF($G$7=$E$7,$F$7,IF(Q638&lt;($F$7-$E$7)/($G$7-$E$7),$E$7+SQRT(Q638*($G$7-$E$7)*($F$7-$E$7)),$G$7-SQRT((1-Q638)*($G$7-$E$7)*($G$7-$F$7))))</f>
        <v>0.927639315199206</v>
      </c>
      <c r="D638" s="51" t="n">
        <f aca="false">1+IF($G$8=$E$8,$F$8,IF(R638&lt;($F$8-$E$8)/($G$8-$E$8),$E$8+SQRT(R638*($G$8-$E$8)*($F$8-$E$8)),$G$8-SQRT((1-R638)*($G$8-$E$8)*($G$8-$F$8))))</f>
        <v>1.06716524058779</v>
      </c>
      <c r="E638" s="51" t="n">
        <f aca="false">1+IF($G$9=$E$9,$F$9,IF(S638&lt;($F$9-$E$9)/($G$9-$E$9),$E$9+SQRT(S638*($G$9-$E$9)*($F$9-$E$9)),$G$9-SQRT((1-S638)*($G$9-$E$9)*($G$9-$F$9))))</f>
        <v>1.00897222486381</v>
      </c>
      <c r="F638" s="51" t="n">
        <f aca="false">1+IF($G$10=$E$10,$F$10,IF(T638&lt;($F$10-$E$10)/($G$10-$E$10),$E$10+SQRT(T638*($G$10-$E$10)*($F$10-$E$10)),$G$10-SQRT((1-T638)*($G$10-$E$10)*($G$10-$F$10))))</f>
        <v>1.06225932144475</v>
      </c>
      <c r="G638" s="52" t="n">
        <f aca="false">IF($G$11=$E$11,$F$11,IF(U638&lt;($F$11-$E$11)/($G$11-$E$11),$E$11+SQRT(U638*($G$11-$E$11)*($F$11-$E$11)),$G$11-SQRT((1-U638)*($G$11-$E$11)*($G$11-$F$11))))</f>
        <v>0.105101401061406</v>
      </c>
      <c r="H638" s="53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-2124518642.8895</v>
      </c>
      <c r="I638" s="53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-34145239.0616148</v>
      </c>
      <c r="J638" s="53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230217310.990884</v>
      </c>
      <c r="K638" s="53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547692827.115622</v>
      </c>
      <c r="L638" s="53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668351014.862459</v>
      </c>
      <c r="M638" s="53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847306372.373812</v>
      </c>
      <c r="N638" s="53" t="n">
        <f aca="false">IF(COUNT('Business Case'!B11:G11)=0,"",H638+NPV(G638,I638:M638))</f>
        <v>-598888591.72196</v>
      </c>
      <c r="P638" s="54" t="n">
        <f aca="true">RAND()</f>
        <v>0.835860640448432</v>
      </c>
      <c r="Q638" s="54" t="n">
        <f aca="true">RAND()</f>
        <v>0.383849317217509</v>
      </c>
      <c r="R638" s="54" t="n">
        <f aca="true">RAND()</f>
        <v>0.928125238289481</v>
      </c>
      <c r="S638" s="54" t="n">
        <f aca="true">RAND()</f>
        <v>0.469631110403617</v>
      </c>
      <c r="T638" s="54" t="n">
        <f aca="true">RAND()</f>
        <v>0.530045834874868</v>
      </c>
      <c r="U638" s="54" t="n">
        <f aca="true">RAND()</f>
        <v>0.586706513930024</v>
      </c>
    </row>
    <row r="639" customFormat="false" ht="15" hidden="false" customHeight="false" outlineLevel="0" collapsed="false">
      <c r="A639" s="50" t="n">
        <v>559</v>
      </c>
      <c r="B639" s="51" t="n">
        <f aca="false">1+IF($G$6=$E$6,$F$6,IF(P639&lt;($F$6-$E$6)/($G$6-$E$6),$E$6+SQRT(P639*($G$6-$E$6)*($F$6-$E$6)),$G$6-SQRT((1-P639)*($G$6-$E$6)*($G$6-$F$6))))</f>
        <v>0.977132694299538</v>
      </c>
      <c r="C639" s="51" t="n">
        <f aca="false">1+IF($G$7=$E$7,$F$7,IF(Q639&lt;($F$7-$E$7)/($G$7-$E$7),$E$7+SQRT(Q639*($G$7-$E$7)*($F$7-$E$7)),$G$7-SQRT((1-Q639)*($G$7-$E$7)*($G$7-$F$7))))</f>
        <v>1.01652323422389</v>
      </c>
      <c r="D639" s="51" t="n">
        <f aca="false">1+IF($G$8=$E$8,$F$8,IF(R639&lt;($F$8-$E$8)/($G$8-$E$8),$E$8+SQRT(R639*($G$8-$E$8)*($F$8-$E$8)),$G$8-SQRT((1-R639)*($G$8-$E$8)*($G$8-$F$8))))</f>
        <v>1.01965448463092</v>
      </c>
      <c r="E639" s="51" t="n">
        <f aca="false">1+IF($G$9=$E$9,$F$9,IF(S639&lt;($F$9-$E$9)/($G$9-$E$9),$E$9+SQRT(S639*($G$9-$E$9)*($F$9-$E$9)),$G$9-SQRT((1-S639)*($G$9-$E$9)*($G$9-$F$9))))</f>
        <v>1.01915481979557</v>
      </c>
      <c r="F639" s="51" t="n">
        <f aca="false">1+IF($G$10=$E$10,$F$10,IF(T639&lt;($F$10-$E$10)/($G$10-$E$10),$E$10+SQRT(T639*($G$10-$E$10)*($F$10-$E$10)),$G$10-SQRT((1-T639)*($G$10-$E$10)*($G$10-$F$10))))</f>
        <v>1.03592764302631</v>
      </c>
      <c r="G639" s="52" t="n">
        <f aca="false">IF($G$11=$E$11,$F$11,IF(U639&lt;($F$11-$E$11)/($G$11-$E$11),$E$11+SQRT(U639*($G$11-$E$11)*($F$11-$E$11)),$G$11-SQRT((1-U639)*($G$11-$E$11)*($G$11-$F$11))))</f>
        <v>0.0867246628201522</v>
      </c>
      <c r="H639" s="53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-2071855286.05263</v>
      </c>
      <c r="I639" s="53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-17048193.4316129</v>
      </c>
      <c r="J639" s="53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265911728.827582</v>
      </c>
      <c r="K639" s="53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600668033.238093</v>
      </c>
      <c r="L639" s="53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729315697.999988</v>
      </c>
      <c r="M639" s="53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918117996.715223</v>
      </c>
      <c r="N639" s="53" t="n">
        <f aca="false">IF(COUNT('Business Case'!B11:G11)=0,"",H639+NPV(G639,I639:M639))</f>
        <v>-265663725.549604</v>
      </c>
      <c r="P639" s="54" t="n">
        <f aca="true">RAND()</f>
        <v>0.396630168660401</v>
      </c>
      <c r="Q639" s="54" t="n">
        <f aca="true">RAND()</f>
        <v>0.736058562932574</v>
      </c>
      <c r="R639" s="54" t="n">
        <f aca="true">RAND()</f>
        <v>0.569639877338431</v>
      </c>
      <c r="S639" s="54" t="n">
        <f aca="true">RAND()</f>
        <v>0.543454368460564</v>
      </c>
      <c r="T639" s="54" t="n">
        <f aca="true">RAND()</f>
        <v>0.388973679729745</v>
      </c>
      <c r="U639" s="54" t="n">
        <f aca="true">RAND()</f>
        <v>0.0452210900447366</v>
      </c>
    </row>
    <row r="640" customFormat="false" ht="15" hidden="false" customHeight="false" outlineLevel="0" collapsed="false">
      <c r="A640" s="50" t="n">
        <v>560</v>
      </c>
      <c r="B640" s="51" t="n">
        <f aca="false">1+IF($G$6=$E$6,$F$6,IF(P640&lt;($F$6-$E$6)/($G$6-$E$6),$E$6+SQRT(P640*($G$6-$E$6)*($F$6-$E$6)),$G$6-SQRT((1-P640)*($G$6-$E$6)*($G$6-$F$6))))</f>
        <v>1.00657514888563</v>
      </c>
      <c r="C640" s="51" t="n">
        <f aca="false">1+IF($G$7=$E$7,$F$7,IF(Q640&lt;($F$7-$E$7)/($G$7-$E$7),$E$7+SQRT(Q640*($G$7-$E$7)*($F$7-$E$7)),$G$7-SQRT((1-Q640)*($G$7-$E$7)*($G$7-$F$7))))</f>
        <v>0.964433943927255</v>
      </c>
      <c r="D640" s="51" t="n">
        <f aca="false">1+IF($G$8=$E$8,$F$8,IF(R640&lt;($F$8-$E$8)/($G$8-$E$8),$E$8+SQRT(R640*($G$8-$E$8)*($F$8-$E$8)),$G$8-SQRT((1-R640)*($G$8-$E$8)*($G$8-$F$8))))</f>
        <v>1.04427096930839</v>
      </c>
      <c r="E640" s="51" t="n">
        <f aca="false">1+IF($G$9=$E$9,$F$9,IF(S640&lt;($F$9-$E$9)/($G$9-$E$9),$E$9+SQRT(S640*($G$9-$E$9)*($F$9-$E$9)),$G$9-SQRT((1-S640)*($G$9-$E$9)*($G$9-$F$9))))</f>
        <v>1.08224935862663</v>
      </c>
      <c r="F640" s="51" t="n">
        <f aca="false">1+IF($G$10=$E$10,$F$10,IF(T640&lt;($F$10-$E$10)/($G$10-$E$10),$E$10+SQRT(T640*($G$10-$E$10)*($F$10-$E$10)),$G$10-SQRT((1-T640)*($G$10-$E$10)*($G$10-$F$10))))</f>
        <v>1.14370057510985</v>
      </c>
      <c r="G640" s="52" t="n">
        <f aca="false">IF($G$11=$E$11,$F$11,IF(U640&lt;($F$11-$E$11)/($G$11-$E$11),$E$11+SQRT(U640*($G$11-$E$11)*($F$11-$E$11)),$G$11-SQRT((1-U640)*($G$11-$E$11)*($G$11-$F$11))))</f>
        <v>0.0929816576728429</v>
      </c>
      <c r="H640" s="53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-2287401150.2197</v>
      </c>
      <c r="I640" s="53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-39026265.5691331</v>
      </c>
      <c r="J640" s="53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240538373.647258</v>
      </c>
      <c r="K640" s="53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577288041.619141</v>
      </c>
      <c r="L640" s="53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704026247.009826</v>
      </c>
      <c r="M640" s="53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888551204.761879</v>
      </c>
      <c r="N640" s="53" t="n">
        <f aca="false">IF(COUNT('Business Case'!B11:G11)=0,"",H640+NPV(G640,I640:M640))</f>
        <v>-616627213.262241</v>
      </c>
      <c r="P640" s="54" t="n">
        <f aca="true">RAND()</f>
        <v>0.748570974092601</v>
      </c>
      <c r="Q640" s="54" t="n">
        <f aca="true">RAND()</f>
        <v>0.517965264451279</v>
      </c>
      <c r="R640" s="54" t="n">
        <f aca="true">RAND()</f>
        <v>0.792951675878223</v>
      </c>
      <c r="S640" s="54" t="n">
        <f aca="true">RAND()</f>
        <v>0.877596015826589</v>
      </c>
      <c r="T640" s="54" t="n">
        <f aca="true">RAND()</f>
        <v>0.849339096906971</v>
      </c>
      <c r="U640" s="54" t="n">
        <f aca="true">RAND()</f>
        <v>0.168523435934882</v>
      </c>
    </row>
    <row r="641" customFormat="false" ht="15" hidden="false" customHeight="false" outlineLevel="0" collapsed="false">
      <c r="A641" s="50" t="n">
        <v>561</v>
      </c>
      <c r="B641" s="51" t="n">
        <f aca="false">1+IF($G$6=$E$6,$F$6,IF(P641&lt;($F$6-$E$6)/($G$6-$E$6),$E$6+SQRT(P641*($G$6-$E$6)*($F$6-$E$6)),$G$6-SQRT((1-P641)*($G$6-$E$6)*($G$6-$F$6))))</f>
        <v>1.01078688246747</v>
      </c>
      <c r="C641" s="51" t="n">
        <f aca="false">1+IF($G$7=$E$7,$F$7,IF(Q641&lt;($F$7-$E$7)/($G$7-$E$7),$E$7+SQRT(Q641*($G$7-$E$7)*($F$7-$E$7)),$G$7-SQRT((1-Q641)*($G$7-$E$7)*($G$7-$F$7))))</f>
        <v>0.94803622690477</v>
      </c>
      <c r="D641" s="51" t="n">
        <f aca="false">1+IF($G$8=$E$8,$F$8,IF(R641&lt;($F$8-$E$8)/($G$8-$E$8),$E$8+SQRT(R641*($G$8-$E$8)*($F$8-$E$8)),$G$8-SQRT((1-R641)*($G$8-$E$8)*($G$8-$F$8))))</f>
        <v>0.997569548636472</v>
      </c>
      <c r="E641" s="51" t="n">
        <f aca="false">1+IF($G$9=$E$9,$F$9,IF(S641&lt;($F$9-$E$9)/($G$9-$E$9),$E$9+SQRT(S641*($G$9-$E$9)*($F$9-$E$9)),$G$9-SQRT((1-S641)*($G$9-$E$9)*($G$9-$F$9))))</f>
        <v>0.970143051633679</v>
      </c>
      <c r="F641" s="51" t="n">
        <f aca="false">1+IF($G$10=$E$10,$F$10,IF(T641&lt;($F$10-$E$10)/($G$10-$E$10),$E$10+SQRT(T641*($G$10-$E$10)*($F$10-$E$10)),$G$10-SQRT((1-T641)*($G$10-$E$10)*($G$10-$F$10))))</f>
        <v>1.02758745545791</v>
      </c>
      <c r="G641" s="52" t="n">
        <f aca="false">IF($G$11=$E$11,$F$11,IF(U641&lt;($F$11-$E$11)/($G$11-$E$11),$E$11+SQRT(U641*($G$11-$E$11)*($F$11-$E$11)),$G$11-SQRT((1-U641)*($G$11-$E$11)*($G$11-$F$11))))</f>
        <v>0.0871037964992197</v>
      </c>
      <c r="H641" s="53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-2055174910.91583</v>
      </c>
      <c r="I641" s="53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10357468.2557599</v>
      </c>
      <c r="J641" s="53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311104356.263942</v>
      </c>
      <c r="K641" s="53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663230617.045019</v>
      </c>
      <c r="L641" s="53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796597134.557295</v>
      </c>
      <c r="M641" s="53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978743686.193142</v>
      </c>
      <c r="N641" s="53" t="n">
        <f aca="false">IF(COUNT('Business Case'!B11:G11)=0,"",H641+NPV(G641,I641:M641))</f>
        <v>-51157653.1373599</v>
      </c>
      <c r="P641" s="54" t="n">
        <f aca="true">RAND()</f>
        <v>0.794977521783996</v>
      </c>
      <c r="Q641" s="54" t="n">
        <f aca="true">RAND()</f>
        <v>0.455718295238182</v>
      </c>
      <c r="R641" s="54" t="n">
        <f aca="true">RAND()</f>
        <v>0.301714927663686</v>
      </c>
      <c r="S641" s="54" t="n">
        <f aca="true">RAND()</f>
        <v>0.1968019076994</v>
      </c>
      <c r="T641" s="54" t="n">
        <f aca="true">RAND()</f>
        <v>0.340435467070854</v>
      </c>
      <c r="U641" s="54" t="n">
        <f aca="true">RAND()</f>
        <v>0.0504639247023255</v>
      </c>
    </row>
    <row r="642" customFormat="false" ht="15" hidden="false" customHeight="false" outlineLevel="0" collapsed="false">
      <c r="A642" s="50" t="n">
        <v>562</v>
      </c>
      <c r="B642" s="51" t="n">
        <f aca="false">1+IF($G$6=$E$6,$F$6,IF(P642&lt;($F$6-$E$6)/($G$6-$E$6),$E$6+SQRT(P642*($G$6-$E$6)*($F$6-$E$6)),$G$6-SQRT((1-P642)*($G$6-$E$6)*($G$6-$F$6))))</f>
        <v>0.983111101864937</v>
      </c>
      <c r="C642" s="51" t="n">
        <f aca="false">1+IF($G$7=$E$7,$F$7,IF(Q642&lt;($F$7-$E$7)/($G$7-$E$7),$E$7+SQRT(Q642*($G$7-$E$7)*($F$7-$E$7)),$G$7-SQRT((1-Q642)*($G$7-$E$7)*($G$7-$F$7))))</f>
        <v>1.01238033904344</v>
      </c>
      <c r="D642" s="51" t="n">
        <f aca="false">1+IF($G$8=$E$8,$F$8,IF(R642&lt;($F$8-$E$8)/($G$8-$E$8),$E$8+SQRT(R642*($G$8-$E$8)*($F$8-$E$8)),$G$8-SQRT((1-R642)*($G$8-$E$8)*($G$8-$F$8))))</f>
        <v>1.05792192189216</v>
      </c>
      <c r="E642" s="51" t="n">
        <f aca="false">1+IF($G$9=$E$9,$F$9,IF(S642&lt;($F$9-$E$9)/($G$9-$E$9),$E$9+SQRT(S642*($G$9-$E$9)*($F$9-$E$9)),$G$9-SQRT((1-S642)*($G$9-$E$9)*($G$9-$F$9))))</f>
        <v>1.11680217571286</v>
      </c>
      <c r="F642" s="51" t="n">
        <f aca="false">1+IF($G$10=$E$10,$F$10,IF(T642&lt;($F$10-$E$10)/($G$10-$E$10),$E$10+SQRT(T642*($G$10-$E$10)*($F$10-$E$10)),$G$10-SQRT((1-T642)*($G$10-$E$10)*($G$10-$F$10))))</f>
        <v>1.05481455603915</v>
      </c>
      <c r="G642" s="52" t="n">
        <f aca="false">IF($G$11=$E$11,$F$11,IF(U642&lt;($F$11-$E$11)/($G$11-$E$11),$E$11+SQRT(U642*($G$11-$E$11)*($F$11-$E$11)),$G$11-SQRT((1-U642)*($G$11-$E$11)*($G$11-$F$11))))</f>
        <v>0.118138308901159</v>
      </c>
      <c r="H642" s="53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-2109629112.07831</v>
      </c>
      <c r="I642" s="53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-48954484.2394132</v>
      </c>
      <c r="J642" s="53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217977193.567775</v>
      </c>
      <c r="K642" s="53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537649599.17692</v>
      </c>
      <c r="L642" s="53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661023783.150194</v>
      </c>
      <c r="M642" s="53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850207052.356689</v>
      </c>
      <c r="N642" s="53" t="n">
        <f aca="false">IF(COUNT('Business Case'!B11:G11)=0,"",H642+NPV(G642,I642:M642))</f>
        <v>-685101677.457096</v>
      </c>
      <c r="P642" s="54" t="n">
        <f aca="true">RAND()</f>
        <v>0.460497016880258</v>
      </c>
      <c r="Q642" s="54" t="n">
        <f aca="true">RAND()</f>
        <v>0.719419687677071</v>
      </c>
      <c r="R642" s="54" t="n">
        <f aca="true">RAND()</f>
        <v>0.881962356183355</v>
      </c>
      <c r="S642" s="54" t="n">
        <f aca="true">RAND()</f>
        <v>0.970610785669338</v>
      </c>
      <c r="T642" s="54" t="n">
        <f aca="true">RAND()</f>
        <v>0.492035232877432</v>
      </c>
      <c r="U642" s="54" t="n">
        <f aca="true">RAND()</f>
        <v>0.90620018951712</v>
      </c>
    </row>
    <row r="643" customFormat="false" ht="15" hidden="false" customHeight="false" outlineLevel="0" collapsed="false">
      <c r="A643" s="50" t="n">
        <v>563</v>
      </c>
      <c r="B643" s="51" t="n">
        <f aca="false">1+IF($G$6=$E$6,$F$6,IF(P643&lt;($F$6-$E$6)/($G$6-$E$6),$E$6+SQRT(P643*($G$6-$E$6)*($F$6-$E$6)),$G$6-SQRT((1-P643)*($G$6-$E$6)*($G$6-$F$6))))</f>
        <v>0.994351252323776</v>
      </c>
      <c r="C643" s="51" t="n">
        <f aca="false">1+IF($G$7=$E$7,$F$7,IF(Q643&lt;($F$7-$E$7)/($G$7-$E$7),$E$7+SQRT(Q643*($G$7-$E$7)*($F$7-$E$7)),$G$7-SQRT((1-Q643)*($G$7-$E$7)*($G$7-$F$7))))</f>
        <v>1.0025159457538</v>
      </c>
      <c r="D643" s="51" t="n">
        <f aca="false">1+IF($G$8=$E$8,$F$8,IF(R643&lt;($F$8-$E$8)/($G$8-$E$8),$E$8+SQRT(R643*($G$8-$E$8)*($F$8-$E$8)),$G$8-SQRT((1-R643)*($G$8-$E$8)*($G$8-$F$8))))</f>
        <v>0.983365659717043</v>
      </c>
      <c r="E643" s="51" t="n">
        <f aca="false">1+IF($G$9=$E$9,$F$9,IF(S643&lt;($F$9-$E$9)/($G$9-$E$9),$E$9+SQRT(S643*($G$9-$E$9)*($F$9-$E$9)),$G$9-SQRT((1-S643)*($G$9-$E$9)*($G$9-$F$9))))</f>
        <v>0.981197246656665</v>
      </c>
      <c r="F643" s="51" t="n">
        <f aca="false">1+IF($G$10=$E$10,$F$10,IF(T643&lt;($F$10-$E$10)/($G$10-$E$10),$E$10+SQRT(T643*($G$10-$E$10)*($F$10-$E$10)),$G$10-SQRT((1-T643)*($G$10-$E$10)*($G$10-$F$10))))</f>
        <v>1.07510862530056</v>
      </c>
      <c r="G643" s="52" t="n">
        <f aca="false">IF($G$11=$E$11,$F$11,IF(U643&lt;($F$11-$E$11)/($G$11-$E$11),$E$11+SQRT(U643*($G$11-$E$11)*($F$11-$E$11)),$G$11-SQRT((1-U643)*($G$11-$E$11)*($G$11-$F$11))))</f>
        <v>0.0845522584165853</v>
      </c>
      <c r="H643" s="53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-2150217250.60112</v>
      </c>
      <c r="I643" s="53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13109312.1949282</v>
      </c>
      <c r="J643" s="53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324932594.195721</v>
      </c>
      <c r="K643" s="53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690511307.461541</v>
      </c>
      <c r="L643" s="53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828903640.662625</v>
      </c>
      <c r="M643" s="53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1018385456.26714</v>
      </c>
      <c r="N643" s="53" t="n">
        <f aca="false">IF(COUNT('Business Case'!B11:G11)=0,"",H643+NPV(G643,I643:M643))</f>
        <v>-42833967.5838511</v>
      </c>
      <c r="P643" s="54" t="n">
        <f aca="true">RAND()</f>
        <v>0.593477254337661</v>
      </c>
      <c r="Q643" s="54" t="n">
        <f aca="true">RAND()</f>
        <v>0.677754870268187</v>
      </c>
      <c r="R643" s="54" t="n">
        <f aca="true">RAND()</f>
        <v>0.1484356331138</v>
      </c>
      <c r="S643" s="54" t="n">
        <f aca="true">RAND()</f>
        <v>0.263719714584931</v>
      </c>
      <c r="T643" s="54" t="n">
        <f aca="true">RAND()</f>
        <v>0.592173427409876</v>
      </c>
      <c r="U643" s="54" t="n">
        <f aca="true">RAND()</f>
        <v>0.0207230566913716</v>
      </c>
    </row>
    <row r="644" customFormat="false" ht="15" hidden="false" customHeight="false" outlineLevel="0" collapsed="false">
      <c r="A644" s="50" t="n">
        <v>564</v>
      </c>
      <c r="B644" s="51" t="n">
        <f aca="false">1+IF($G$6=$E$6,$F$6,IF(P644&lt;($F$6-$E$6)/($G$6-$E$6),$E$6+SQRT(P644*($G$6-$E$6)*($F$6-$E$6)),$G$6-SQRT((1-P644)*($G$6-$E$6)*($G$6-$F$6))))</f>
        <v>0.950430567000197</v>
      </c>
      <c r="C644" s="51" t="n">
        <f aca="false">1+IF($G$7=$E$7,$F$7,IF(Q644&lt;($F$7-$E$7)/($G$7-$E$7),$E$7+SQRT(Q644*($G$7-$E$7)*($F$7-$E$7)),$G$7-SQRT((1-Q644)*($G$7-$E$7)*($G$7-$F$7))))</f>
        <v>0.918511926866467</v>
      </c>
      <c r="D644" s="51" t="n">
        <f aca="false">1+IF($G$8=$E$8,$F$8,IF(R644&lt;($F$8-$E$8)/($G$8-$E$8),$E$8+SQRT(R644*($G$8-$E$8)*($F$8-$E$8)),$G$8-SQRT((1-R644)*($G$8-$E$8)*($G$8-$F$8))))</f>
        <v>1.02771773362708</v>
      </c>
      <c r="E644" s="51" t="n">
        <f aca="false">1+IF($G$9=$E$9,$F$9,IF(S644&lt;($F$9-$E$9)/($G$9-$E$9),$E$9+SQRT(S644*($G$9-$E$9)*($F$9-$E$9)),$G$9-SQRT((1-S644)*($G$9-$E$9)*($G$9-$F$9))))</f>
        <v>1.07166746954944</v>
      </c>
      <c r="F644" s="51" t="n">
        <f aca="false">1+IF($G$10=$E$10,$F$10,IF(T644&lt;($F$10-$E$10)/($G$10-$E$10),$E$10+SQRT(T644*($G$10-$E$10)*($F$10-$E$10)),$G$10-SQRT((1-T644)*($G$10-$E$10)*($G$10-$F$10))))</f>
        <v>1.07751433808792</v>
      </c>
      <c r="G644" s="52" t="n">
        <f aca="false">IF($G$11=$E$11,$F$11,IF(U644&lt;($F$11-$E$11)/($G$11-$E$11),$E$11+SQRT(U644*($G$11-$E$11)*($F$11-$E$11)),$G$11-SQRT((1-U644)*($G$11-$E$11)*($G$11-$F$11))))</f>
        <v>0.0826727487336456</v>
      </c>
      <c r="H644" s="53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-2155028676.17585</v>
      </c>
      <c r="I644" s="53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-73600598.9818695</v>
      </c>
      <c r="J644" s="53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158196727.120455</v>
      </c>
      <c r="K644" s="53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443869770.127175</v>
      </c>
      <c r="L644" s="53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551305796.898265</v>
      </c>
      <c r="M644" s="53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717242179.618327</v>
      </c>
      <c r="N644" s="53" t="n">
        <f aca="false">IF(COUNT('Business Case'!B11:G11)=0,"",H644+NPV(G644,I644:M644))</f>
        <v>-854907831.703206</v>
      </c>
      <c r="P644" s="54" t="n">
        <f aca="true">RAND()</f>
        <v>0.169549472530754</v>
      </c>
      <c r="Q644" s="54" t="n">
        <f aca="true">RAND()</f>
        <v>0.35368490505849</v>
      </c>
      <c r="R644" s="54" t="n">
        <f aca="true">RAND()</f>
        <v>0.651684931199642</v>
      </c>
      <c r="S644" s="54" t="n">
        <f aca="true">RAND()</f>
        <v>0.836373724618972</v>
      </c>
      <c r="T644" s="54" t="n">
        <f aca="true">RAND()</f>
        <v>0.603315952463376</v>
      </c>
      <c r="U644" s="54" t="n">
        <f aca="true">RAND()</f>
        <v>0.00714358579320407</v>
      </c>
    </row>
    <row r="645" customFormat="false" ht="15" hidden="false" customHeight="false" outlineLevel="0" collapsed="false">
      <c r="A645" s="50" t="n">
        <v>565</v>
      </c>
      <c r="B645" s="51" t="n">
        <f aca="false">1+IF($G$6=$E$6,$F$6,IF(P645&lt;($F$6-$E$6)/($G$6-$E$6),$E$6+SQRT(P645*($G$6-$E$6)*($F$6-$E$6)),$G$6-SQRT((1-P645)*($G$6-$E$6)*($G$6-$F$6))))</f>
        <v>1.00496230108774</v>
      </c>
      <c r="C645" s="51" t="n">
        <f aca="false">1+IF($G$7=$E$7,$F$7,IF(Q645&lt;($F$7-$E$7)/($G$7-$E$7),$E$7+SQRT(Q645*($G$7-$E$7)*($F$7-$E$7)),$G$7-SQRT((1-Q645)*($G$7-$E$7)*($G$7-$F$7))))</f>
        <v>0.786917448541842</v>
      </c>
      <c r="D645" s="51" t="n">
        <f aca="false">1+IF($G$8=$E$8,$F$8,IF(R645&lt;($F$8-$E$8)/($G$8-$E$8),$E$8+SQRT(R645*($G$8-$E$8)*($F$8-$E$8)),$G$8-SQRT((1-R645)*($G$8-$E$8)*($G$8-$F$8))))</f>
        <v>1.05177315576659</v>
      </c>
      <c r="E645" s="51" t="n">
        <f aca="false">1+IF($G$9=$E$9,$F$9,IF(S645&lt;($F$9-$E$9)/($G$9-$E$9),$E$9+SQRT(S645*($G$9-$E$9)*($F$9-$E$9)),$G$9-SQRT((1-S645)*($G$9-$E$9)*($G$9-$F$9))))</f>
        <v>0.96027786581129</v>
      </c>
      <c r="F645" s="51" t="n">
        <f aca="false">1+IF($G$10=$E$10,$F$10,IF(T645&lt;($F$10-$E$10)/($G$10-$E$10),$E$10+SQRT(T645*($G$10-$E$10)*($F$10-$E$10)),$G$10-SQRT((1-T645)*($G$10-$E$10)*($G$10-$F$10))))</f>
        <v>1.00355358676781</v>
      </c>
      <c r="G645" s="52" t="n">
        <f aca="false">IF($G$11=$E$11,$F$11,IF(U645&lt;($F$11-$E$11)/($G$11-$E$11),$E$11+SQRT(U645*($G$11-$E$11)*($F$11-$E$11)),$G$11-SQRT((1-U645)*($G$11-$E$11)*($G$11-$F$11))))</f>
        <v>0.0997391755638103</v>
      </c>
      <c r="H645" s="53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-2007107173.53562</v>
      </c>
      <c r="I645" s="53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-53857657.9049521</v>
      </c>
      <c r="J645" s="53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170187787.038406</v>
      </c>
      <c r="K645" s="53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444410911.320155</v>
      </c>
      <c r="L645" s="53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546423547.403384</v>
      </c>
      <c r="M645" s="53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696743063.464986</v>
      </c>
      <c r="N645" s="53" t="n">
        <f aca="false">IF(COUNT('Business Case'!B11:G11)=0,"",H645+NPV(G645,I645:M645))</f>
        <v>-774527672.306859</v>
      </c>
      <c r="P645" s="54" t="n">
        <f aca="true">RAND()</f>
        <v>0.729547423558486</v>
      </c>
      <c r="Q645" s="54" t="n">
        <f aca="true">RAND()</f>
        <v>0.0559603174890645</v>
      </c>
      <c r="R645" s="54" t="n">
        <f aca="true">RAND()</f>
        <v>0.844944766352395</v>
      </c>
      <c r="S645" s="54" t="n">
        <f aca="true">RAND()</f>
        <v>0.145336844270557</v>
      </c>
      <c r="T645" s="54" t="n">
        <f aca="true">RAND()</f>
        <v>0.190188872066521</v>
      </c>
      <c r="U645" s="54" t="n">
        <f aca="true">RAND()</f>
        <v>0.389635051938926</v>
      </c>
    </row>
    <row r="646" customFormat="false" ht="15" hidden="false" customHeight="false" outlineLevel="0" collapsed="false">
      <c r="A646" s="50" t="n">
        <v>566</v>
      </c>
      <c r="B646" s="51" t="n">
        <f aca="false">1+IF($G$6=$E$6,$F$6,IF(P646&lt;($F$6-$E$6)/($G$6-$E$6),$E$6+SQRT(P646*($G$6-$E$6)*($F$6-$E$6)),$G$6-SQRT((1-P646)*($G$6-$E$6)*($G$6-$F$6))))</f>
        <v>0.995387504086412</v>
      </c>
      <c r="C646" s="51" t="n">
        <f aca="false">1+IF($G$7=$E$7,$F$7,IF(Q646&lt;($F$7-$E$7)/($G$7-$E$7),$E$7+SQRT(Q646*($G$7-$E$7)*($F$7-$E$7)),$G$7-SQRT((1-Q646)*($G$7-$E$7)*($G$7-$F$7))))</f>
        <v>1.04134283672925</v>
      </c>
      <c r="D646" s="51" t="n">
        <f aca="false">1+IF($G$8=$E$8,$F$8,IF(R646&lt;($F$8-$E$8)/($G$8-$E$8),$E$8+SQRT(R646*($G$8-$E$8)*($F$8-$E$8)),$G$8-SQRT((1-R646)*($G$8-$E$8)*($G$8-$F$8))))</f>
        <v>0.995245442302222</v>
      </c>
      <c r="E646" s="51" t="n">
        <f aca="false">1+IF($G$9=$E$9,$F$9,IF(S646&lt;($F$9-$E$9)/($G$9-$E$9),$E$9+SQRT(S646*($G$9-$E$9)*($F$9-$E$9)),$G$9-SQRT((1-S646)*($G$9-$E$9)*($G$9-$F$9))))</f>
        <v>1.01719950075732</v>
      </c>
      <c r="F646" s="51" t="n">
        <f aca="false">1+IF($G$10=$E$10,$F$10,IF(T646&lt;($F$10-$E$10)/($G$10-$E$10),$E$10+SQRT(T646*($G$10-$E$10)*($F$10-$E$10)),$G$10-SQRT((1-T646)*($G$10-$E$10)*($G$10-$F$10))))</f>
        <v>1.03411245509693</v>
      </c>
      <c r="G646" s="52" t="n">
        <f aca="false">IF($G$11=$E$11,$F$11,IF(U646&lt;($F$11-$E$11)/($G$11-$E$11),$E$11+SQRT(U646*($G$11-$E$11)*($F$11-$E$11)),$G$11-SQRT((1-U646)*($G$11-$E$11)*($G$11-$F$11))))</f>
        <v>0.0863031365298923</v>
      </c>
      <c r="H646" s="53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-2068224910.19387</v>
      </c>
      <c r="I646" s="53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16659726.7719499</v>
      </c>
      <c r="J646" s="53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335110683.369549</v>
      </c>
      <c r="K646" s="53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705267262.721996</v>
      </c>
      <c r="L646" s="53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847240391.793372</v>
      </c>
      <c r="M646" s="53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1044265847.92368</v>
      </c>
      <c r="N646" s="53" t="n">
        <f aca="false">IF(COUNT('Business Case'!B11:G11)=0,"",H646+NPV(G646,I646:M646))</f>
        <v>80012272.1689754</v>
      </c>
      <c r="P646" s="54" t="n">
        <f aca="true">RAND()</f>
        <v>0.606585062389015</v>
      </c>
      <c r="Q646" s="54" t="n">
        <f aca="true">RAND()</f>
        <v>0.825090679554864</v>
      </c>
      <c r="R646" s="54" t="n">
        <f aca="true">RAND()</f>
        <v>0.272953339883158</v>
      </c>
      <c r="S646" s="54" t="n">
        <f aca="true">RAND()</f>
        <v>0.529707397357168</v>
      </c>
      <c r="T646" s="54" t="n">
        <f aca="true">RAND()</f>
        <v>0.378567572743019</v>
      </c>
      <c r="U646" s="54" t="n">
        <f aca="true">RAND()</f>
        <v>0.0397295301144629</v>
      </c>
    </row>
    <row r="647" customFormat="false" ht="15" hidden="false" customHeight="false" outlineLevel="0" collapsed="false">
      <c r="A647" s="50" t="n">
        <v>567</v>
      </c>
      <c r="B647" s="51" t="n">
        <f aca="false">1+IF($G$6=$E$6,$F$6,IF(P647&lt;($F$6-$E$6)/($G$6-$E$6),$E$6+SQRT(P647*($G$6-$E$6)*($F$6-$E$6)),$G$6-SQRT((1-P647)*($G$6-$E$6)*($G$6-$F$6))))</f>
        <v>0.975980790705547</v>
      </c>
      <c r="C647" s="51" t="n">
        <f aca="false">1+IF($G$7=$E$7,$F$7,IF(Q647&lt;($F$7-$E$7)/($G$7-$E$7),$E$7+SQRT(Q647*($G$7-$E$7)*($F$7-$E$7)),$G$7-SQRT((1-Q647)*($G$7-$E$7)*($G$7-$F$7))))</f>
        <v>0.916856942979422</v>
      </c>
      <c r="D647" s="51" t="n">
        <f aca="false">1+IF($G$8=$E$8,$F$8,IF(R647&lt;($F$8-$E$8)/($G$8-$E$8),$E$8+SQRT(R647*($G$8-$E$8)*($F$8-$E$8)),$G$8-SQRT((1-R647)*($G$8-$E$8)*($G$8-$F$8))))</f>
        <v>1.00340475467402</v>
      </c>
      <c r="E647" s="51" t="n">
        <f aca="false">1+IF($G$9=$E$9,$F$9,IF(S647&lt;($F$9-$E$9)/($G$9-$E$9),$E$9+SQRT(S647*($G$9-$E$9)*($F$9-$E$9)),$G$9-SQRT((1-S647)*($G$9-$E$9)*($G$9-$F$9))))</f>
        <v>1.0655368794135</v>
      </c>
      <c r="F647" s="51" t="n">
        <f aca="false">1+IF($G$10=$E$10,$F$10,IF(T647&lt;($F$10-$E$10)/($G$10-$E$10),$E$10+SQRT(T647*($G$10-$E$10)*($F$10-$E$10)),$G$10-SQRT((1-T647)*($G$10-$E$10)*($G$10-$F$10))))</f>
        <v>1.00498162915663</v>
      </c>
      <c r="G647" s="52" t="n">
        <f aca="false">IF($G$11=$E$11,$F$11,IF(U647&lt;($F$11-$E$11)/($G$11-$E$11),$E$11+SQRT(U647*($G$11-$E$11)*($F$11-$E$11)),$G$11-SQRT((1-U647)*($G$11-$E$11)*($G$11-$F$11))))</f>
        <v>0.0989227636905539</v>
      </c>
      <c r="H647" s="53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-2009963258.31326</v>
      </c>
      <c r="I647" s="53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-36427094.4550798</v>
      </c>
      <c r="J647" s="53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225551552.432827</v>
      </c>
      <c r="K647" s="53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537779280.778566</v>
      </c>
      <c r="L647" s="53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656030985.857685</v>
      </c>
      <c r="M647" s="53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826121177.831675</v>
      </c>
      <c r="N647" s="53" t="n">
        <f aca="false">IF(COUNT('Business Case'!B11:G11)=0,"",H647+NPV(G647,I647:M647))</f>
        <v>-485795608.69227</v>
      </c>
      <c r="P647" s="54" t="n">
        <f aca="true">RAND()</f>
        <v>0.384872037082681</v>
      </c>
      <c r="Q647" s="54" t="n">
        <f aca="true">RAND()</f>
        <v>0.348347657173188</v>
      </c>
      <c r="R647" s="54" t="n">
        <f aca="true">RAND()</f>
        <v>0.377957238694227</v>
      </c>
      <c r="S647" s="54" t="n">
        <f aca="true">RAND()</f>
        <v>0.809759500287746</v>
      </c>
      <c r="T647" s="54" t="n">
        <f aca="true">RAND()</f>
        <v>0.199546639323463</v>
      </c>
      <c r="U647" s="54" t="n">
        <f aca="true">RAND()</f>
        <v>0.358070985688543</v>
      </c>
    </row>
    <row r="648" customFormat="false" ht="15" hidden="false" customHeight="false" outlineLevel="0" collapsed="false">
      <c r="A648" s="50" t="n">
        <v>568</v>
      </c>
      <c r="B648" s="51" t="n">
        <f aca="false">1+IF($G$6=$E$6,$F$6,IF(P648&lt;($F$6-$E$6)/($G$6-$E$6),$E$6+SQRT(P648*($G$6-$E$6)*($F$6-$E$6)),$G$6-SQRT((1-P648)*($G$6-$E$6)*($G$6-$F$6))))</f>
        <v>0.931579867953127</v>
      </c>
      <c r="C648" s="51" t="n">
        <f aca="false">1+IF($G$7=$E$7,$F$7,IF(Q648&lt;($F$7-$E$7)/($G$7-$E$7),$E$7+SQRT(Q648*($G$7-$E$7)*($F$7-$E$7)),$G$7-SQRT((1-Q648)*($G$7-$E$7)*($G$7-$F$7))))</f>
        <v>1.03987927060703</v>
      </c>
      <c r="D648" s="51" t="n">
        <f aca="false">1+IF($G$8=$E$8,$F$8,IF(R648&lt;($F$8-$E$8)/($G$8-$E$8),$E$8+SQRT(R648*($G$8-$E$8)*($F$8-$E$8)),$G$8-SQRT((1-R648)*($G$8-$E$8)*($G$8-$F$8))))</f>
        <v>1.02719840714277</v>
      </c>
      <c r="E648" s="51" t="n">
        <f aca="false">1+IF($G$9=$E$9,$F$9,IF(S648&lt;($F$9-$E$9)/($G$9-$E$9),$E$9+SQRT(S648*($G$9-$E$9)*($F$9-$E$9)),$G$9-SQRT((1-S648)*($G$9-$E$9)*($G$9-$F$9))))</f>
        <v>0.96101063440147</v>
      </c>
      <c r="F648" s="51" t="n">
        <f aca="false">1+IF($G$10=$E$10,$F$10,IF(T648&lt;($F$10-$E$10)/($G$10-$E$10),$E$10+SQRT(T648*($G$10-$E$10)*($F$10-$E$10)),$G$10-SQRT((1-T648)*($G$10-$E$10)*($G$10-$F$10))))</f>
        <v>1.20277885761081</v>
      </c>
      <c r="G648" s="52" t="n">
        <f aca="false">IF($G$11=$E$11,$F$11,IF(U648&lt;($F$11-$E$11)/($G$11-$E$11),$E$11+SQRT(U648*($G$11-$E$11)*($F$11-$E$11)),$G$11-SQRT((1-U648)*($G$11-$E$11)*($G$11-$F$11))))</f>
        <v>0.10571409331374</v>
      </c>
      <c r="H648" s="53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-2405557715.22161</v>
      </c>
      <c r="I648" s="53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-60506147.3569884</v>
      </c>
      <c r="J648" s="53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186140297.23118</v>
      </c>
      <c r="K648" s="53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492925684.699889</v>
      </c>
      <c r="L648" s="53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608620495.54407</v>
      </c>
      <c r="M648" s="53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792756806.775423</v>
      </c>
      <c r="N648" s="53" t="n">
        <f aca="false">IF(COUNT('Business Case'!B11:G11)=0,"",H648+NPV(G648,I648:M648))</f>
        <v>-1056578622.37534</v>
      </c>
      <c r="P648" s="54" t="n">
        <f aca="true">RAND()</f>
        <v>0.0664858706624617</v>
      </c>
      <c r="Q648" s="54" t="n">
        <f aca="true">RAND()</f>
        <v>0.820347036414229</v>
      </c>
      <c r="R648" s="54" t="n">
        <f aca="true">RAND()</f>
        <v>0.646661871829968</v>
      </c>
      <c r="S648" s="54" t="n">
        <f aca="true">RAND()</f>
        <v>0.148891900402794</v>
      </c>
      <c r="T648" s="54" t="n">
        <f aca="true">RAND()</f>
        <v>0.970268849486127</v>
      </c>
      <c r="U648" s="54" t="n">
        <f aca="true">RAND()</f>
        <v>0.606796490950847</v>
      </c>
    </row>
    <row r="649" customFormat="false" ht="15" hidden="false" customHeight="false" outlineLevel="0" collapsed="false">
      <c r="A649" s="50" t="n">
        <v>569</v>
      </c>
      <c r="B649" s="51" t="n">
        <f aca="false">1+IF($G$6=$E$6,$F$6,IF(P649&lt;($F$6-$E$6)/($G$6-$E$6),$E$6+SQRT(P649*($G$6-$E$6)*($F$6-$E$6)),$G$6-SQRT((1-P649)*($G$6-$E$6)*($G$6-$F$6))))</f>
        <v>0.976386949013469</v>
      </c>
      <c r="C649" s="51" t="n">
        <f aca="false">1+IF($G$7=$E$7,$F$7,IF(Q649&lt;($F$7-$E$7)/($G$7-$E$7),$E$7+SQRT(Q649*($G$7-$E$7)*($F$7-$E$7)),$G$7-SQRT((1-Q649)*($G$7-$E$7)*($G$7-$F$7))))</f>
        <v>0.930811291007922</v>
      </c>
      <c r="D649" s="51" t="n">
        <f aca="false">1+IF($G$8=$E$8,$F$8,IF(R649&lt;($F$8-$E$8)/($G$8-$E$8),$E$8+SQRT(R649*($G$8-$E$8)*($F$8-$E$8)),$G$8-SQRT((1-R649)*($G$8-$E$8)*($G$8-$F$8))))</f>
        <v>1.04497874789363</v>
      </c>
      <c r="E649" s="51" t="n">
        <f aca="false">1+IF($G$9=$E$9,$F$9,IF(S649&lt;($F$9-$E$9)/($G$9-$E$9),$E$9+SQRT(S649*($G$9-$E$9)*($F$9-$E$9)),$G$9-SQRT((1-S649)*($G$9-$E$9)*($G$9-$F$9))))</f>
        <v>1.01730559479122</v>
      </c>
      <c r="F649" s="51" t="n">
        <f aca="false">1+IF($G$10=$E$10,$F$10,IF(T649&lt;($F$10-$E$10)/($G$10-$E$10),$E$10+SQRT(T649*($G$10-$E$10)*($F$10-$E$10)),$G$10-SQRT((1-T649)*($G$10-$E$10)*($G$10-$F$10))))</f>
        <v>1.10542733533769</v>
      </c>
      <c r="G649" s="52" t="n">
        <f aca="false">IF($G$11=$E$11,$F$11,IF(U649&lt;($F$11-$E$11)/($G$11-$E$11),$E$11+SQRT(U649*($G$11-$E$11)*($F$11-$E$11)),$G$11-SQRT((1-U649)*($G$11-$E$11)*($G$11-$F$11))))</f>
        <v>0.104398618611002</v>
      </c>
      <c r="H649" s="53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-2210854670.67538</v>
      </c>
      <c r="I649" s="53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-55851929.4167116</v>
      </c>
      <c r="J649" s="53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190613580.980007</v>
      </c>
      <c r="K649" s="53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492350458.14361</v>
      </c>
      <c r="L649" s="53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605914862.076082</v>
      </c>
      <c r="M649" s="53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778665647.977362</v>
      </c>
      <c r="N649" s="53" t="n">
        <f aca="false">IF(COUNT('Business Case'!B11:G11)=0,"",H649+NPV(G649,I649:M649))</f>
        <v>-858407079.826191</v>
      </c>
      <c r="P649" s="54" t="n">
        <f aca="true">RAND()</f>
        <v>0.388997731972415</v>
      </c>
      <c r="Q649" s="54" t="n">
        <f aca="true">RAND()</f>
        <v>0.394621126346251</v>
      </c>
      <c r="R649" s="54" t="n">
        <f aca="true">RAND()</f>
        <v>0.798177454443185</v>
      </c>
      <c r="S649" s="54" t="n">
        <f aca="true">RAND()</f>
        <v>0.530458528701013</v>
      </c>
      <c r="T649" s="54" t="n">
        <f aca="true">RAND()</f>
        <v>0.721316595099199</v>
      </c>
      <c r="U649" s="54" t="n">
        <f aca="true">RAND()</f>
        <v>0.563046180650046</v>
      </c>
    </row>
    <row r="650" customFormat="false" ht="15" hidden="false" customHeight="false" outlineLevel="0" collapsed="false">
      <c r="A650" s="50" t="n">
        <v>570</v>
      </c>
      <c r="B650" s="51" t="n">
        <f aca="false">1+IF($G$6=$E$6,$F$6,IF(P650&lt;($F$6-$E$6)/($G$6-$E$6),$E$6+SQRT(P650*($G$6-$E$6)*($F$6-$E$6)),$G$6-SQRT((1-P650)*($G$6-$E$6)*($G$6-$F$6))))</f>
        <v>0.965896804481249</v>
      </c>
      <c r="C650" s="51" t="n">
        <f aca="false">1+IF($G$7=$E$7,$F$7,IF(Q650&lt;($F$7-$E$7)/($G$7-$E$7),$E$7+SQRT(Q650*($G$7-$E$7)*($F$7-$E$7)),$G$7-SQRT((1-Q650)*($G$7-$E$7)*($G$7-$F$7))))</f>
        <v>1.01083829848407</v>
      </c>
      <c r="D650" s="51" t="n">
        <f aca="false">1+IF($G$8=$E$8,$F$8,IF(R650&lt;($F$8-$E$8)/($G$8-$E$8),$E$8+SQRT(R650*($G$8-$E$8)*($F$8-$E$8)),$G$8-SQRT((1-R650)*($G$8-$E$8)*($G$8-$F$8))))</f>
        <v>1.02761785723536</v>
      </c>
      <c r="E650" s="51" t="n">
        <f aca="false">1+IF($G$9=$E$9,$F$9,IF(S650&lt;($F$9-$E$9)/($G$9-$E$9),$E$9+SQRT(S650*($G$9-$E$9)*($F$9-$E$9)),$G$9-SQRT((1-S650)*($G$9-$E$9)*($G$9-$F$9))))</f>
        <v>1.08422060894613</v>
      </c>
      <c r="F650" s="51" t="n">
        <f aca="false">1+IF($G$10=$E$10,$F$10,IF(T650&lt;($F$10-$E$10)/($G$10-$E$10),$E$10+SQRT(T650*($G$10-$E$10)*($F$10-$E$10)),$G$10-SQRT((1-T650)*($G$10-$E$10)*($G$10-$F$10))))</f>
        <v>1.09821329255</v>
      </c>
      <c r="G650" s="52" t="n">
        <f aca="false">IF($G$11=$E$11,$F$11,IF(U650&lt;($F$11-$E$11)/($G$11-$E$11),$E$11+SQRT(U650*($G$11-$E$11)*($F$11-$E$11)),$G$11-SQRT((1-U650)*($G$11-$E$11)*($G$11-$F$11))))</f>
        <v>0.106306097488762</v>
      </c>
      <c r="H650" s="53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-2196426585.09999</v>
      </c>
      <c r="I650" s="53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-46658366.6369729</v>
      </c>
      <c r="J650" s="53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221295553.178375</v>
      </c>
      <c r="K650" s="53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544160137.621222</v>
      </c>
      <c r="L650" s="53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667221301.963125</v>
      </c>
      <c r="M650" s="53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852808852.848788</v>
      </c>
      <c r="N650" s="53" t="n">
        <f aca="false">IF(COUNT('Business Case'!B11:G11)=0,"",H650+NPV(G650,I650:M650))</f>
        <v>-695882248.873172</v>
      </c>
      <c r="P650" s="54" t="n">
        <f aca="true">RAND()</f>
        <v>0.289492589389334</v>
      </c>
      <c r="Q650" s="54" t="n">
        <f aca="true">RAND()</f>
        <v>0.71309660490652</v>
      </c>
      <c r="R650" s="54" t="n">
        <f aca="true">RAND()</f>
        <v>0.650721693919935</v>
      </c>
      <c r="S650" s="54" t="n">
        <f aca="true">RAND()</f>
        <v>0.884615245668871</v>
      </c>
      <c r="T650" s="54" t="n">
        <f aca="true">RAND()</f>
        <v>0.692810605886488</v>
      </c>
      <c r="U650" s="54" t="n">
        <f aca="true">RAND()</f>
        <v>0.625732655858642</v>
      </c>
    </row>
    <row r="651" customFormat="false" ht="15" hidden="false" customHeight="false" outlineLevel="0" collapsed="false">
      <c r="A651" s="50" t="n">
        <v>571</v>
      </c>
      <c r="B651" s="51" t="n">
        <f aca="false">1+IF($G$6=$E$6,$F$6,IF(P651&lt;($F$6-$E$6)/($G$6-$E$6),$E$6+SQRT(P651*($G$6-$E$6)*($F$6-$E$6)),$G$6-SQRT((1-P651)*($G$6-$E$6)*($G$6-$F$6))))</f>
        <v>0.995633155576891</v>
      </c>
      <c r="C651" s="51" t="n">
        <f aca="false">1+IF($G$7=$E$7,$F$7,IF(Q651&lt;($F$7-$E$7)/($G$7-$E$7),$E$7+SQRT(Q651*($G$7-$E$7)*($F$7-$E$7)),$G$7-SQRT((1-Q651)*($G$7-$E$7)*($G$7-$F$7))))</f>
        <v>0.857050595822112</v>
      </c>
      <c r="D651" s="51" t="n">
        <f aca="false">1+IF($G$8=$E$8,$F$8,IF(R651&lt;($F$8-$E$8)/($G$8-$E$8),$E$8+SQRT(R651*($G$8-$E$8)*($F$8-$E$8)),$G$8-SQRT((1-R651)*($G$8-$E$8)*($G$8-$F$8))))</f>
        <v>1.06318864273767</v>
      </c>
      <c r="E651" s="51" t="n">
        <f aca="false">1+IF($G$9=$E$9,$F$9,IF(S651&lt;($F$9-$E$9)/($G$9-$E$9),$E$9+SQRT(S651*($G$9-$E$9)*($F$9-$E$9)),$G$9-SQRT((1-S651)*($G$9-$E$9)*($G$9-$F$9))))</f>
        <v>0.909237367646985</v>
      </c>
      <c r="F651" s="51" t="n">
        <f aca="false">1+IF($G$10=$E$10,$F$10,IF(T651&lt;($F$10-$E$10)/($G$10-$E$10),$E$10+SQRT(T651*($G$10-$E$10)*($F$10-$E$10)),$G$10-SQRT((1-T651)*($G$10-$E$10)*($G$10-$F$10))))</f>
        <v>1.00949871637649</v>
      </c>
      <c r="G651" s="52" t="n">
        <f aca="false">IF($G$11=$E$11,$F$11,IF(U651&lt;($F$11-$E$11)/($G$11-$E$11),$E$11+SQRT(U651*($G$11-$E$11)*($F$11-$E$11)),$G$11-SQRT((1-U651)*($G$11-$E$11)*($G$11-$F$11))))</f>
        <v>0.10896880769635</v>
      </c>
      <c r="H651" s="53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-2018997432.75298</v>
      </c>
      <c r="I651" s="53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-42023041.0062493</v>
      </c>
      <c r="J651" s="53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190432829.465065</v>
      </c>
      <c r="K651" s="53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473363635.755203</v>
      </c>
      <c r="L651" s="53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580339250.019316</v>
      </c>
      <c r="M651" s="53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742536032.607863</v>
      </c>
      <c r="N651" s="53" t="n">
        <f aca="false">IF(COUNT('Business Case'!B11:G11)=0,"",H651+NPV(G651,I651:M651))</f>
        <v>-728535354.01432</v>
      </c>
      <c r="P651" s="54" t="n">
        <f aca="true">RAND()</f>
        <v>0.609713363039593</v>
      </c>
      <c r="Q651" s="54" t="n">
        <f aca="true">RAND()</f>
        <v>0.182702886282078</v>
      </c>
      <c r="R651" s="54" t="n">
        <f aca="true">RAND()</f>
        <v>0.909661598433688</v>
      </c>
      <c r="S651" s="54" t="n">
        <f aca="true">RAND()</f>
        <v>0.00341315844182234</v>
      </c>
      <c r="T651" s="54" t="n">
        <f aca="true">RAND()</f>
        <v>0.228788434339251</v>
      </c>
      <c r="U651" s="54" t="n">
        <f aca="true">RAND()</f>
        <v>0.705125966857924</v>
      </c>
    </row>
    <row r="652" customFormat="false" ht="15" hidden="false" customHeight="false" outlineLevel="0" collapsed="false">
      <c r="A652" s="50" t="n">
        <v>572</v>
      </c>
      <c r="B652" s="51" t="n">
        <f aca="false">1+IF($G$6=$E$6,$F$6,IF(P652&lt;($F$6-$E$6)/($G$6-$E$6),$E$6+SQRT(P652*($G$6-$E$6)*($F$6-$E$6)),$G$6-SQRT((1-P652)*($G$6-$E$6)*($G$6-$F$6))))</f>
        <v>0.966813449848579</v>
      </c>
      <c r="C652" s="51" t="n">
        <f aca="false">1+IF($G$7=$E$7,$F$7,IF(Q652&lt;($F$7-$E$7)/($G$7-$E$7),$E$7+SQRT(Q652*($G$7-$E$7)*($F$7-$E$7)),$G$7-SQRT((1-Q652)*($G$7-$E$7)*($G$7-$F$7))))</f>
        <v>0.825564734459896</v>
      </c>
      <c r="D652" s="51" t="n">
        <f aca="false">1+IF($G$8=$E$8,$F$8,IF(R652&lt;($F$8-$E$8)/($G$8-$E$8),$E$8+SQRT(R652*($G$8-$E$8)*($F$8-$E$8)),$G$8-SQRT((1-R652)*($G$8-$E$8)*($G$8-$F$8))))</f>
        <v>1.0417048535457</v>
      </c>
      <c r="E652" s="51" t="n">
        <f aca="false">1+IF($G$9=$E$9,$F$9,IF(S652&lt;($F$9-$E$9)/($G$9-$E$9),$E$9+SQRT(S652*($G$9-$E$9)*($F$9-$E$9)),$G$9-SQRT((1-S652)*($G$9-$E$9)*($G$9-$F$9))))</f>
        <v>1.09916344638227</v>
      </c>
      <c r="F652" s="51" t="n">
        <f aca="false">1+IF($G$10=$E$10,$F$10,IF(T652&lt;($F$10-$E$10)/($G$10-$E$10),$E$10+SQRT(T652*($G$10-$E$10)*($F$10-$E$10)),$G$10-SQRT((1-T652)*($G$10-$E$10)*($G$10-$F$10))))</f>
        <v>0.990357233389798</v>
      </c>
      <c r="G652" s="52" t="n">
        <f aca="false">IF($G$11=$E$11,$F$11,IF(U652&lt;($F$11-$E$11)/($G$11-$E$11),$E$11+SQRT(U652*($G$11-$E$11)*($F$11-$E$11)),$G$11-SQRT((1-U652)*($G$11-$E$11)*($G$11-$F$11))))</f>
        <v>0.114020073564553</v>
      </c>
      <c r="H652" s="53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-1980714466.7796</v>
      </c>
      <c r="I652" s="53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-83205966.6974712</v>
      </c>
      <c r="J652" s="53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130301813.913174</v>
      </c>
      <c r="K652" s="53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393327456.193309</v>
      </c>
      <c r="L652" s="53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492081370.992577</v>
      </c>
      <c r="M652" s="53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643796971.269032</v>
      </c>
      <c r="N652" s="53" t="n">
        <f aca="false">IF(COUNT('Business Case'!B11:G11)=0,"",H652+NPV(G652,I652:M652))</f>
        <v>-971201188.940694</v>
      </c>
      <c r="P652" s="54" t="n">
        <f aca="true">RAND()</f>
        <v>0.29760247204457</v>
      </c>
      <c r="Q652" s="54" t="n">
        <f aca="true">RAND()</f>
        <v>0.116788907703587</v>
      </c>
      <c r="R652" s="54" t="n">
        <f aca="true">RAND()</f>
        <v>0.773445059991478</v>
      </c>
      <c r="S652" s="54" t="n">
        <f aca="true">RAND()</f>
        <v>0.931083861767235</v>
      </c>
      <c r="T652" s="54" t="n">
        <f aca="true">RAND()</f>
        <v>0.108580419125243</v>
      </c>
      <c r="U652" s="54" t="n">
        <f aca="true">RAND()</f>
        <v>0.829761300745131</v>
      </c>
    </row>
    <row r="653" customFormat="false" ht="15" hidden="false" customHeight="false" outlineLevel="0" collapsed="false">
      <c r="A653" s="50" t="n">
        <v>573</v>
      </c>
      <c r="B653" s="51" t="n">
        <f aca="false">1+IF($G$6=$E$6,$F$6,IF(P653&lt;($F$6-$E$6)/($G$6-$E$6),$E$6+SQRT(P653*($G$6-$E$6)*($F$6-$E$6)),$G$6-SQRT((1-P653)*($G$6-$E$6)*($G$6-$F$6))))</f>
        <v>1.04666823155952</v>
      </c>
      <c r="C653" s="51" t="n">
        <f aca="false">1+IF($G$7=$E$7,$F$7,IF(Q653&lt;($F$7-$E$7)/($G$7-$E$7),$E$7+SQRT(Q653*($G$7-$E$7)*($F$7-$E$7)),$G$7-SQRT((1-Q653)*($G$7-$E$7)*($G$7-$F$7))))</f>
        <v>0.834705765607536</v>
      </c>
      <c r="D653" s="51" t="n">
        <f aca="false">1+IF($G$8=$E$8,$F$8,IF(R653&lt;($F$8-$E$8)/($G$8-$E$8),$E$8+SQRT(R653*($G$8-$E$8)*($F$8-$E$8)),$G$8-SQRT((1-R653)*($G$8-$E$8)*($G$8-$F$8))))</f>
        <v>1.03248507933242</v>
      </c>
      <c r="E653" s="51" t="n">
        <f aca="false">1+IF($G$9=$E$9,$F$9,IF(S653&lt;($F$9-$E$9)/($G$9-$E$9),$E$9+SQRT(S653*($G$9-$E$9)*($F$9-$E$9)),$G$9-SQRT((1-S653)*($G$9-$E$9)*($G$9-$F$9))))</f>
        <v>0.959229016338191</v>
      </c>
      <c r="F653" s="51" t="n">
        <f aca="false">1+IF($G$10=$E$10,$F$10,IF(T653&lt;($F$10-$E$10)/($G$10-$E$10),$E$10+SQRT(T653*($G$10-$E$10)*($F$10-$E$10)),$G$10-SQRT((1-T653)*($G$10-$E$10)*($G$10-$F$10))))</f>
        <v>0.981987931846824</v>
      </c>
      <c r="G653" s="52" t="n">
        <f aca="false">IF($G$11=$E$11,$F$11,IF(U653&lt;($F$11-$E$11)/($G$11-$E$11),$E$11+SQRT(U653*($G$11-$E$11)*($F$11-$E$11)),$G$11-SQRT((1-U653)*($G$11-$E$11)*($G$11-$F$11))))</f>
        <v>0.0892061482824085</v>
      </c>
      <c r="H653" s="53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-1963975863.69365</v>
      </c>
      <c r="I653" s="53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-5484777.9817937</v>
      </c>
      <c r="J653" s="53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268922138.136347</v>
      </c>
      <c r="K653" s="53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592428450.846829</v>
      </c>
      <c r="L653" s="53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714091112.747516</v>
      </c>
      <c r="M653" s="53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880156406.984706</v>
      </c>
      <c r="N653" s="53" t="n">
        <f aca="false">IF(COUNT('Business Case'!B11:G11)=0,"",H653+NPV(G653,I653:M653))</f>
        <v>-202385050.205342</v>
      </c>
      <c r="P653" s="54" t="n">
        <f aca="true">RAND()</f>
        <v>0.998519909207871</v>
      </c>
      <c r="Q653" s="54" t="n">
        <f aca="true">RAND()</f>
        <v>0.134412172503056</v>
      </c>
      <c r="R653" s="54" t="n">
        <f aca="true">RAND()</f>
        <v>0.69611569915003</v>
      </c>
      <c r="S653" s="54" t="n">
        <f aca="true">RAND()</f>
        <v>0.140323055055589</v>
      </c>
      <c r="T653" s="54" t="n">
        <f aca="true">RAND()</f>
        <v>0.0682151855891384</v>
      </c>
      <c r="U653" s="54" t="n">
        <f aca="true">RAND()</f>
        <v>0.0847531661976926</v>
      </c>
    </row>
    <row r="654" customFormat="false" ht="15" hidden="false" customHeight="false" outlineLevel="0" collapsed="false">
      <c r="A654" s="50" t="n">
        <v>574</v>
      </c>
      <c r="B654" s="51" t="n">
        <f aca="false">1+IF($G$6=$E$6,$F$6,IF(P654&lt;($F$6-$E$6)/($G$6-$E$6),$E$6+SQRT(P654*($G$6-$E$6)*($F$6-$E$6)),$G$6-SQRT((1-P654)*($G$6-$E$6)*($G$6-$F$6))))</f>
        <v>0.94680843094997</v>
      </c>
      <c r="C654" s="51" t="n">
        <f aca="false">1+IF($G$7=$E$7,$F$7,IF(Q654&lt;($F$7-$E$7)/($G$7-$E$7),$E$7+SQRT(Q654*($G$7-$E$7)*($F$7-$E$7)),$G$7-SQRT((1-Q654)*($G$7-$E$7)*($G$7-$F$7))))</f>
        <v>0.919873061668343</v>
      </c>
      <c r="D654" s="51" t="n">
        <f aca="false">1+IF($G$8=$E$8,$F$8,IF(R654&lt;($F$8-$E$8)/($G$8-$E$8),$E$8+SQRT(R654*($G$8-$E$8)*($F$8-$E$8)),$G$8-SQRT((1-R654)*($G$8-$E$8)*($G$8-$F$8))))</f>
        <v>0.964458134822607</v>
      </c>
      <c r="E654" s="51" t="n">
        <f aca="false">1+IF($G$9=$E$9,$F$9,IF(S654&lt;($F$9-$E$9)/($G$9-$E$9),$E$9+SQRT(S654*($G$9-$E$9)*($F$9-$E$9)),$G$9-SQRT((1-S654)*($G$9-$E$9)*($G$9-$F$9))))</f>
        <v>0.97371422998992</v>
      </c>
      <c r="F654" s="51" t="n">
        <f aca="false">1+IF($G$10=$E$10,$F$10,IF(T654&lt;($F$10-$E$10)/($G$10-$E$10),$E$10+SQRT(T654*($G$10-$E$10)*($F$10-$E$10)),$G$10-SQRT((1-T654)*($G$10-$E$10)*($G$10-$F$10))))</f>
        <v>1.13188486200994</v>
      </c>
      <c r="G654" s="52" t="n">
        <f aca="false">IF($G$11=$E$11,$F$11,IF(U654&lt;($F$11-$E$11)/($G$11-$E$11),$E$11+SQRT(U654*($G$11-$E$11)*($F$11-$E$11)),$G$11-SQRT((1-U654)*($G$11-$E$11)*($G$11-$F$11))))</f>
        <v>0.105504424490925</v>
      </c>
      <c r="H654" s="53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-2263769724.01987</v>
      </c>
      <c r="I654" s="53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-37599575.4889931</v>
      </c>
      <c r="J654" s="53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221601213.406293</v>
      </c>
      <c r="K654" s="53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537396245.402077</v>
      </c>
      <c r="L654" s="53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653896318.152986</v>
      </c>
      <c r="M654" s="53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819445271.974958</v>
      </c>
      <c r="N654" s="53" t="n">
        <f aca="false">IF(COUNT('Business Case'!B11:G11)=0,"",H654+NPV(G654,I654:M654))</f>
        <v>-784645394.150334</v>
      </c>
      <c r="P654" s="54" t="n">
        <f aca="true">RAND()</f>
        <v>0.146068613866538</v>
      </c>
      <c r="Q654" s="54" t="n">
        <f aca="true">RAND()</f>
        <v>0.358104912943786</v>
      </c>
      <c r="R654" s="54" t="n">
        <f aca="true">RAND()</f>
        <v>0.0278716883398236</v>
      </c>
      <c r="S654" s="54" t="n">
        <f aca="true">RAND()</f>
        <v>0.217351508120271</v>
      </c>
      <c r="T654" s="54" t="n">
        <f aca="true">RAND()</f>
        <v>0.813984189034506</v>
      </c>
      <c r="U654" s="54" t="n">
        <f aca="true">RAND()</f>
        <v>0.599977853652816</v>
      </c>
    </row>
    <row r="655" customFormat="false" ht="15" hidden="false" customHeight="false" outlineLevel="0" collapsed="false">
      <c r="A655" s="50" t="n">
        <v>575</v>
      </c>
      <c r="B655" s="51" t="n">
        <f aca="false">1+IF($G$6=$E$6,$F$6,IF(P655&lt;($F$6-$E$6)/($G$6-$E$6),$E$6+SQRT(P655*($G$6-$E$6)*($F$6-$E$6)),$G$6-SQRT((1-P655)*($G$6-$E$6)*($G$6-$F$6))))</f>
        <v>0.995307834936576</v>
      </c>
      <c r="C655" s="51" t="n">
        <f aca="false">1+IF($G$7=$E$7,$F$7,IF(Q655&lt;($F$7-$E$7)/($G$7-$E$7),$E$7+SQRT(Q655*($G$7-$E$7)*($F$7-$E$7)),$G$7-SQRT((1-Q655)*($G$7-$E$7)*($G$7-$F$7))))</f>
        <v>0.92005164612694</v>
      </c>
      <c r="D655" s="51" t="n">
        <f aca="false">1+IF($G$8=$E$8,$F$8,IF(R655&lt;($F$8-$E$8)/($G$8-$E$8),$E$8+SQRT(R655*($G$8-$E$8)*($F$8-$E$8)),$G$8-SQRT((1-R655)*($G$8-$E$8)*($G$8-$F$8))))</f>
        <v>0.977196772283351</v>
      </c>
      <c r="E655" s="51" t="n">
        <f aca="false">1+IF($G$9=$E$9,$F$9,IF(S655&lt;($F$9-$E$9)/($G$9-$E$9),$E$9+SQRT(S655*($G$9-$E$9)*($F$9-$E$9)),$G$9-SQRT((1-S655)*($G$9-$E$9)*($G$9-$F$9))))</f>
        <v>1.00052922559452</v>
      </c>
      <c r="F655" s="51" t="n">
        <f aca="false">1+IF($G$10=$E$10,$F$10,IF(T655&lt;($F$10-$E$10)/($G$10-$E$10),$E$10+SQRT(T655*($G$10-$E$10)*($F$10-$E$10)),$G$10-SQRT((1-T655)*($G$10-$E$10)*($G$10-$F$10))))</f>
        <v>1.11772258987679</v>
      </c>
      <c r="G655" s="52" t="n">
        <f aca="false">IF($G$11=$E$11,$F$11,IF(U655&lt;($F$11-$E$11)/($G$11-$E$11),$E$11+SQRT(U655*($G$11-$E$11)*($F$11-$E$11)),$G$11-SQRT((1-U655)*($G$11-$E$11)*($G$11-$F$11))))</f>
        <v>0.0886411039109302</v>
      </c>
      <c r="H655" s="53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-2235445179.75359</v>
      </c>
      <c r="I655" s="53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-11719298.8138543</v>
      </c>
      <c r="J655" s="53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278080599.522296</v>
      </c>
      <c r="K655" s="53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623766627.352285</v>
      </c>
      <c r="L655" s="53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752014381.652859</v>
      </c>
      <c r="M655" s="53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926077216.689737</v>
      </c>
      <c r="N655" s="53" t="n">
        <f aca="false">IF(COUNT('Business Case'!B11:G11)=0,"",H655+NPV(G655,I655:M655))</f>
        <v>-387038953.340874</v>
      </c>
      <c r="P655" s="54" t="n">
        <f aca="true">RAND()</f>
        <v>0.605572226686505</v>
      </c>
      <c r="Q655" s="54" t="n">
        <f aca="true">RAND()</f>
        <v>0.358686866393895</v>
      </c>
      <c r="R655" s="54" t="n">
        <f aca="true">RAND()</f>
        <v>0.0986219230176607</v>
      </c>
      <c r="S655" s="54" t="n">
        <f aca="true">RAND()</f>
        <v>0.404226335963326</v>
      </c>
      <c r="T655" s="54" t="n">
        <f aca="true">RAND()</f>
        <v>0.766702490281296</v>
      </c>
      <c r="U655" s="54" t="n">
        <f aca="true">RAND()</f>
        <v>0.0746686767994926</v>
      </c>
    </row>
    <row r="656" customFormat="false" ht="15" hidden="false" customHeight="false" outlineLevel="0" collapsed="false">
      <c r="A656" s="50" t="n">
        <v>576</v>
      </c>
      <c r="B656" s="51" t="n">
        <f aca="false">1+IF($G$6=$E$6,$F$6,IF(P656&lt;($F$6-$E$6)/($G$6-$E$6),$E$6+SQRT(P656*($G$6-$E$6)*($F$6-$E$6)),$G$6-SQRT((1-P656)*($G$6-$E$6)*($G$6-$F$6))))</f>
        <v>0.98115891210379</v>
      </c>
      <c r="C656" s="51" t="n">
        <f aca="false">1+IF($G$7=$E$7,$F$7,IF(Q656&lt;($F$7-$E$7)/($G$7-$E$7),$E$7+SQRT(Q656*($G$7-$E$7)*($F$7-$E$7)),$G$7-SQRT((1-Q656)*($G$7-$E$7)*($G$7-$F$7))))</f>
        <v>1.01687597200123</v>
      </c>
      <c r="D656" s="51" t="n">
        <f aca="false">1+IF($G$8=$E$8,$F$8,IF(R656&lt;($F$8-$E$8)/($G$8-$E$8),$E$8+SQRT(R656*($G$8-$E$8)*($F$8-$E$8)),$G$8-SQRT((1-R656)*($G$8-$E$8)*($G$8-$F$8))))</f>
        <v>1.03539175620618</v>
      </c>
      <c r="E656" s="51" t="n">
        <f aca="false">1+IF($G$9=$E$9,$F$9,IF(S656&lt;($F$9-$E$9)/($G$9-$E$9),$E$9+SQRT(S656*($G$9-$E$9)*($F$9-$E$9)),$G$9-SQRT((1-S656)*($G$9-$E$9)*($G$9-$F$9))))</f>
        <v>0.9462751055777</v>
      </c>
      <c r="F656" s="51" t="n">
        <f aca="false">1+IF($G$10=$E$10,$F$10,IF(T656&lt;($F$10-$E$10)/($G$10-$E$10),$E$10+SQRT(T656*($G$10-$E$10)*($F$10-$E$10)),$G$10-SQRT((1-T656)*($G$10-$E$10)*($G$10-$F$10))))</f>
        <v>1.04747687042527</v>
      </c>
      <c r="G656" s="52" t="n">
        <f aca="false">IF($G$11=$E$11,$F$11,IF(U656&lt;($F$11-$E$11)/($G$11-$E$11),$E$11+SQRT(U656*($G$11-$E$11)*($F$11-$E$11)),$G$11-SQRT((1-U656)*($G$11-$E$11)*($G$11-$F$11))))</f>
        <v>0.104377034225589</v>
      </c>
      <c r="H656" s="53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-2094953740.85053</v>
      </c>
      <c r="I656" s="53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-12810307.2525595</v>
      </c>
      <c r="J656" s="53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265409037.809494</v>
      </c>
      <c r="K656" s="53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596002226.392811</v>
      </c>
      <c r="L656" s="53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723223104.919454</v>
      </c>
      <c r="M656" s="53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912869137.535558</v>
      </c>
      <c r="N656" s="53" t="n">
        <f aca="false">IF(COUNT('Business Case'!B11:G11)=0,"",H656+NPV(G656,I656:M656))</f>
        <v>-404597591.403621</v>
      </c>
      <c r="P656" s="54" t="n">
        <f aca="true">RAND()</f>
        <v>0.439117934258043</v>
      </c>
      <c r="Q656" s="54" t="n">
        <f aca="true">RAND()</f>
        <v>0.73745175065751</v>
      </c>
      <c r="R656" s="54" t="n">
        <f aca="true">RAND()</f>
        <v>0.721718322258539</v>
      </c>
      <c r="S656" s="54" t="n">
        <f aca="true">RAND()</f>
        <v>0.0856554158490915</v>
      </c>
      <c r="T656" s="54" t="n">
        <f aca="true">RAND()</f>
        <v>0.453125093163408</v>
      </c>
      <c r="U656" s="54" t="n">
        <f aca="true">RAND()</f>
        <v>0.562309083282234</v>
      </c>
    </row>
    <row r="657" customFormat="false" ht="15" hidden="false" customHeight="false" outlineLevel="0" collapsed="false">
      <c r="A657" s="50" t="n">
        <v>577</v>
      </c>
      <c r="B657" s="51" t="n">
        <f aca="false">1+IF($G$6=$E$6,$F$6,IF(P657&lt;($F$6-$E$6)/($G$6-$E$6),$E$6+SQRT(P657*($G$6-$E$6)*($F$6-$E$6)),$G$6-SQRT((1-P657)*($G$6-$E$6)*($G$6-$F$6))))</f>
        <v>1.02303848742329</v>
      </c>
      <c r="C657" s="51" t="n">
        <f aca="false">1+IF($G$7=$E$7,$F$7,IF(Q657&lt;($F$7-$E$7)/($G$7-$E$7),$E$7+SQRT(Q657*($G$7-$E$7)*($F$7-$E$7)),$G$7-SQRT((1-Q657)*($G$7-$E$7)*($G$7-$F$7))))</f>
        <v>0.950982318976055</v>
      </c>
      <c r="D657" s="51" t="n">
        <f aca="false">1+IF($G$8=$E$8,$F$8,IF(R657&lt;($F$8-$E$8)/($G$8-$E$8),$E$8+SQRT(R657*($G$8-$E$8)*($F$8-$E$8)),$G$8-SQRT((1-R657)*($G$8-$E$8)*($G$8-$F$8))))</f>
        <v>0.976495008396665</v>
      </c>
      <c r="E657" s="51" t="n">
        <f aca="false">1+IF($G$9=$E$9,$F$9,IF(S657&lt;($F$9-$E$9)/($G$9-$E$9),$E$9+SQRT(S657*($G$9-$E$9)*($F$9-$E$9)),$G$9-SQRT((1-S657)*($G$9-$E$9)*($G$9-$F$9))))</f>
        <v>1.05600017009012</v>
      </c>
      <c r="F657" s="51" t="n">
        <f aca="false">1+IF($G$10=$E$10,$F$10,IF(T657&lt;($F$10-$E$10)/($G$10-$E$10),$E$10+SQRT(T657*($G$10-$E$10)*($F$10-$E$10)),$G$10-SQRT((1-T657)*($G$10-$E$10)*($G$10-$F$10))))</f>
        <v>0.97281422366664</v>
      </c>
      <c r="G657" s="52" t="n">
        <f aca="false">IF($G$11=$E$11,$F$11,IF(U657&lt;($F$11-$E$11)/($G$11-$E$11),$E$11+SQRT(U657*($G$11-$E$11)*($F$11-$E$11)),$G$11-SQRT((1-U657)*($G$11-$E$11)*($G$11-$F$11))))</f>
        <v>0.100630924355475</v>
      </c>
      <c r="H657" s="53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-1945628447.33328</v>
      </c>
      <c r="I657" s="53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23604847.6117202</v>
      </c>
      <c r="J657" s="53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345089037.819733</v>
      </c>
      <c r="K657" s="53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715213939.211078</v>
      </c>
      <c r="L657" s="53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855998466.642291</v>
      </c>
      <c r="M657" s="53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1040925685.46594</v>
      </c>
      <c r="N657" s="53" t="n">
        <f aca="false">IF(COUNT('Business Case'!B11:G11)=0,"",H657+NPV(G657,I657:M657))</f>
        <v>124917721.810902</v>
      </c>
      <c r="P657" s="54" t="n">
        <f aca="true">RAND()</f>
        <v>0.903076911943457</v>
      </c>
      <c r="Q657" s="54" t="n">
        <f aca="true">RAND()</f>
        <v>0.466608329174802</v>
      </c>
      <c r="R657" s="54" t="n">
        <f aca="true">RAND()</f>
        <v>0.0935980626585769</v>
      </c>
      <c r="S657" s="54" t="n">
        <f aca="true">RAND()</f>
        <v>0.764374186051037</v>
      </c>
      <c r="T657" s="54" t="n">
        <f aca="true">RAND()</f>
        <v>0.0346992534340974</v>
      </c>
      <c r="U657" s="54" t="n">
        <f aca="true">RAND()</f>
        <v>0.424971597190767</v>
      </c>
    </row>
    <row r="658" customFormat="false" ht="15" hidden="false" customHeight="false" outlineLevel="0" collapsed="false">
      <c r="A658" s="50" t="n">
        <v>578</v>
      </c>
      <c r="B658" s="51" t="n">
        <f aca="false">1+IF($G$6=$E$6,$F$6,IF(P658&lt;($F$6-$E$6)/($G$6-$E$6),$E$6+SQRT(P658*($G$6-$E$6)*($F$6-$E$6)),$G$6-SQRT((1-P658)*($G$6-$E$6)*($G$6-$F$6))))</f>
        <v>0.965019397085445</v>
      </c>
      <c r="C658" s="51" t="n">
        <f aca="false">1+IF($G$7=$E$7,$F$7,IF(Q658&lt;($F$7-$E$7)/($G$7-$E$7),$E$7+SQRT(Q658*($G$7-$E$7)*($F$7-$E$7)),$G$7-SQRT((1-Q658)*($G$7-$E$7)*($G$7-$F$7))))</f>
        <v>0.947735772681789</v>
      </c>
      <c r="D658" s="51" t="n">
        <f aca="false">1+IF($G$8=$E$8,$F$8,IF(R658&lt;($F$8-$E$8)/($G$8-$E$8),$E$8+SQRT(R658*($G$8-$E$8)*($F$8-$E$8)),$G$8-SQRT((1-R658)*($G$8-$E$8)*($G$8-$F$8))))</f>
        <v>1.00510603658943</v>
      </c>
      <c r="E658" s="51" t="n">
        <f aca="false">1+IF($G$9=$E$9,$F$9,IF(S658&lt;($F$9-$E$9)/($G$9-$E$9),$E$9+SQRT(S658*($G$9-$E$9)*($F$9-$E$9)),$G$9-SQRT((1-S658)*($G$9-$E$9)*($G$9-$F$9))))</f>
        <v>1.04574423906409</v>
      </c>
      <c r="F658" s="51" t="n">
        <f aca="false">1+IF($G$10=$E$10,$F$10,IF(T658&lt;($F$10-$E$10)/($G$10-$E$10),$E$10+SQRT(T658*($G$10-$E$10)*($F$10-$E$10)),$G$10-SQRT((1-T658)*($G$10-$E$10)*($G$10-$F$10))))</f>
        <v>0.98981027108009</v>
      </c>
      <c r="G658" s="52" t="n">
        <f aca="false">IF($G$11=$E$11,$F$11,IF(U658&lt;($F$11-$E$11)/($G$11-$E$11),$E$11+SQRT(U658*($G$11-$E$11)*($F$11-$E$11)),$G$11-SQRT((1-U658)*($G$11-$E$11)*($G$11-$F$11))))</f>
        <v>0.0941992489880988</v>
      </c>
      <c r="H658" s="53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-1979620542.16018</v>
      </c>
      <c r="I658" s="53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-33630370.189774</v>
      </c>
      <c r="J658" s="53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227837121.184126</v>
      </c>
      <c r="K658" s="53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538795126.11203</v>
      </c>
      <c r="L658" s="53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657558959.010498</v>
      </c>
      <c r="M658" s="53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831402972.433255</v>
      </c>
      <c r="N658" s="53" t="n">
        <f aca="false">IF(COUNT('Business Case'!B11:G11)=0,"",H658+NPV(G658,I658:M658))</f>
        <v>-419994892.04472</v>
      </c>
      <c r="P658" s="54" t="n">
        <f aca="true">RAND()</f>
        <v>0.28183479982365</v>
      </c>
      <c r="Q658" s="54" t="n">
        <f aca="true">RAND()</f>
        <v>0.4546149116018</v>
      </c>
      <c r="R658" s="54" t="n">
        <f aca="true">RAND()</f>
        <v>0.399675713882189</v>
      </c>
      <c r="S658" s="54" t="n">
        <f aca="true">RAND()</f>
        <v>0.710152968311302</v>
      </c>
      <c r="T658" s="54" t="n">
        <f aca="true">RAND()</f>
        <v>0.105657178898014</v>
      </c>
      <c r="U658" s="54" t="n">
        <f aca="true">RAND()</f>
        <v>0.201618671826024</v>
      </c>
    </row>
    <row r="659" customFormat="false" ht="15" hidden="false" customHeight="false" outlineLevel="0" collapsed="false">
      <c r="A659" s="50" t="n">
        <v>579</v>
      </c>
      <c r="B659" s="51" t="n">
        <f aca="false">1+IF($G$6=$E$6,$F$6,IF(P659&lt;($F$6-$E$6)/($G$6-$E$6),$E$6+SQRT(P659*($G$6-$E$6)*($F$6-$E$6)),$G$6-SQRT((1-P659)*($G$6-$E$6)*($G$6-$F$6))))</f>
        <v>1.01883863073176</v>
      </c>
      <c r="C659" s="51" t="n">
        <f aca="false">1+IF($G$7=$E$7,$F$7,IF(Q659&lt;($F$7-$E$7)/($G$7-$E$7),$E$7+SQRT(Q659*($G$7-$E$7)*($F$7-$E$7)),$G$7-SQRT((1-Q659)*($G$7-$E$7)*($G$7-$F$7))))</f>
        <v>0.821115616465156</v>
      </c>
      <c r="D659" s="51" t="n">
        <f aca="false">1+IF($G$8=$E$8,$F$8,IF(R659&lt;($F$8-$E$8)/($G$8-$E$8),$E$8+SQRT(R659*($G$8-$E$8)*($F$8-$E$8)),$G$8-SQRT((1-R659)*($G$8-$E$8)*($G$8-$F$8))))</f>
        <v>1.03511744863474</v>
      </c>
      <c r="E659" s="51" t="n">
        <f aca="false">1+IF($G$9=$E$9,$F$9,IF(S659&lt;($F$9-$E$9)/($G$9-$E$9),$E$9+SQRT(S659*($G$9-$E$9)*($F$9-$E$9)),$G$9-SQRT((1-S659)*($G$9-$E$9)*($G$9-$F$9))))</f>
        <v>0.978611876389393</v>
      </c>
      <c r="F659" s="51" t="n">
        <f aca="false">1+IF($G$10=$E$10,$F$10,IF(T659&lt;($F$10-$E$10)/($G$10-$E$10),$E$10+SQRT(T659*($G$10-$E$10)*($F$10-$E$10)),$G$10-SQRT((1-T659)*($G$10-$E$10)*($G$10-$F$10))))</f>
        <v>1.01356331176271</v>
      </c>
      <c r="G659" s="52" t="n">
        <f aca="false">IF($G$11=$E$11,$F$11,IF(U659&lt;($F$11-$E$11)/($G$11-$E$11),$E$11+SQRT(U659*($G$11-$E$11)*($F$11-$E$11)),$G$11-SQRT((1-U659)*($G$11-$E$11)*($G$11-$F$11))))</f>
        <v>0.125979590523521</v>
      </c>
      <c r="H659" s="53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-2027126623.52542</v>
      </c>
      <c r="I659" s="53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-33767654.5090041</v>
      </c>
      <c r="J659" s="53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216348161.629473</v>
      </c>
      <c r="K659" s="53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517142143.356086</v>
      </c>
      <c r="L659" s="53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629426435.834671</v>
      </c>
      <c r="M659" s="53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788444381.546347</v>
      </c>
      <c r="N659" s="53" t="n">
        <f aca="false">IF(COUNT('Business Case'!B11:G11)=0,"",H659+NPV(G659,I659:M659))</f>
        <v>-697000567.495789</v>
      </c>
      <c r="P659" s="54" t="n">
        <f aca="true">RAND()</f>
        <v>0.870529208710481</v>
      </c>
      <c r="Q659" s="54" t="n">
        <f aca="true">RAND()</f>
        <v>0.108659204086924</v>
      </c>
      <c r="R659" s="54" t="n">
        <f aca="true">RAND()</f>
        <v>0.719350301888937</v>
      </c>
      <c r="S659" s="54" t="n">
        <f aca="true">RAND()</f>
        <v>0.247193084378449</v>
      </c>
      <c r="T659" s="54" t="n">
        <f aca="true">RAND()</f>
        <v>0.2546358994051</v>
      </c>
      <c r="U659" s="54" t="n">
        <f aca="true">RAND()</f>
        <v>0.989224205094292</v>
      </c>
    </row>
    <row r="660" customFormat="false" ht="15" hidden="false" customHeight="false" outlineLevel="0" collapsed="false">
      <c r="A660" s="50" t="n">
        <v>580</v>
      </c>
      <c r="B660" s="51" t="n">
        <f aca="false">1+IF($G$6=$E$6,$F$6,IF(P660&lt;($F$6-$E$6)/($G$6-$E$6),$E$6+SQRT(P660*($G$6-$E$6)*($F$6-$E$6)),$G$6-SQRT((1-P660)*($G$6-$E$6)*($G$6-$F$6))))</f>
        <v>1.01469215725054</v>
      </c>
      <c r="C660" s="51" t="n">
        <f aca="false">1+IF($G$7=$E$7,$F$7,IF(Q660&lt;($F$7-$E$7)/($G$7-$E$7),$E$7+SQRT(Q660*($G$7-$E$7)*($F$7-$E$7)),$G$7-SQRT((1-Q660)*($G$7-$E$7)*($G$7-$F$7))))</f>
        <v>0.927498011300999</v>
      </c>
      <c r="D660" s="51" t="n">
        <f aca="false">1+IF($G$8=$E$8,$F$8,IF(R660&lt;($F$8-$E$8)/($G$8-$E$8),$E$8+SQRT(R660*($G$8-$E$8)*($F$8-$E$8)),$G$8-SQRT((1-R660)*($G$8-$E$8)*($G$8-$F$8))))</f>
        <v>1.04802585692807</v>
      </c>
      <c r="E660" s="51" t="n">
        <f aca="false">1+IF($G$9=$E$9,$F$9,IF(S660&lt;($F$9-$E$9)/($G$9-$E$9),$E$9+SQRT(S660*($G$9-$E$9)*($F$9-$E$9)),$G$9-SQRT((1-S660)*($G$9-$E$9)*($G$9-$F$9))))</f>
        <v>1.1222410483614</v>
      </c>
      <c r="F660" s="51" t="n">
        <f aca="false">1+IF($G$10=$E$10,$F$10,IF(T660&lt;($F$10-$E$10)/($G$10-$E$10),$E$10+SQRT(T660*($G$10-$E$10)*($F$10-$E$10)),$G$10-SQRT((1-T660)*($G$10-$E$10)*($G$10-$F$10))))</f>
        <v>0.99087599818159</v>
      </c>
      <c r="G660" s="52" t="n">
        <f aca="false">IF($G$11=$E$11,$F$11,IF(U660&lt;($F$11-$E$11)/($G$11-$E$11),$E$11+SQRT(U660*($G$11-$E$11)*($F$11-$E$11)),$G$11-SQRT((1-U660)*($G$11-$E$11)*($G$11-$F$11))))</f>
        <v>0.106696336126139</v>
      </c>
      <c r="H660" s="53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-1981751996.36318</v>
      </c>
      <c r="I660" s="53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-34216781.6422837</v>
      </c>
      <c r="J660" s="53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239024631.429809</v>
      </c>
      <c r="K660" s="53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561809844.41098</v>
      </c>
      <c r="L660" s="53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685415593.981161</v>
      </c>
      <c r="M660" s="53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864304625.984989</v>
      </c>
      <c r="N660" s="53" t="n">
        <f aca="false">IF(COUNT('Business Case'!B11:G11)=0,"",H660+NPV(G660,I660:M660))</f>
        <v>-425487632.656759</v>
      </c>
      <c r="P660" s="54" t="n">
        <f aca="true">RAND()</f>
        <v>0.833780832050541</v>
      </c>
      <c r="Q660" s="54" t="n">
        <f aca="true">RAND()</f>
        <v>0.383372927006737</v>
      </c>
      <c r="R660" s="54" t="n">
        <f aca="true">RAND()</f>
        <v>0.819912563462572</v>
      </c>
      <c r="S660" s="54" t="n">
        <f aca="true">RAND()</f>
        <v>0.979451749438026</v>
      </c>
      <c r="T660" s="54" t="n">
        <f aca="true">RAND()</f>
        <v>0.111389815156087</v>
      </c>
      <c r="U660" s="54" t="n">
        <f aca="true">RAND()</f>
        <v>0.637959500036067</v>
      </c>
    </row>
    <row r="661" customFormat="false" ht="15" hidden="false" customHeight="false" outlineLevel="0" collapsed="false">
      <c r="A661" s="50" t="n">
        <v>581</v>
      </c>
      <c r="B661" s="51" t="n">
        <f aca="false">1+IF($G$6=$E$6,$F$6,IF(P661&lt;($F$6-$E$6)/($G$6-$E$6),$E$6+SQRT(P661*($G$6-$E$6)*($F$6-$E$6)),$G$6-SQRT((1-P661)*($G$6-$E$6)*($G$6-$F$6))))</f>
        <v>0.963836846977753</v>
      </c>
      <c r="C661" s="51" t="n">
        <f aca="false">1+IF($G$7=$E$7,$F$7,IF(Q661&lt;($F$7-$E$7)/($G$7-$E$7),$E$7+SQRT(Q661*($G$7-$E$7)*($F$7-$E$7)),$G$7-SQRT((1-Q661)*($G$7-$E$7)*($G$7-$F$7))))</f>
        <v>1.03815590839026</v>
      </c>
      <c r="D661" s="51" t="n">
        <f aca="false">1+IF($G$8=$E$8,$F$8,IF(R661&lt;($F$8-$E$8)/($G$8-$E$8),$E$8+SQRT(R661*($G$8-$E$8)*($F$8-$E$8)),$G$8-SQRT((1-R661)*($G$8-$E$8)*($G$8-$F$8))))</f>
        <v>0.981109716170201</v>
      </c>
      <c r="E661" s="51" t="n">
        <f aca="false">1+IF($G$9=$E$9,$F$9,IF(S661&lt;($F$9-$E$9)/($G$9-$E$9),$E$9+SQRT(S661*($G$9-$E$9)*($F$9-$E$9)),$G$9-SQRT((1-S661)*($G$9-$E$9)*($G$9-$F$9))))</f>
        <v>1.13592316596204</v>
      </c>
      <c r="F661" s="51" t="n">
        <f aca="false">1+IF($G$10=$E$10,$F$10,IF(T661&lt;($F$10-$E$10)/($G$10-$E$10),$E$10+SQRT(T661*($G$10-$E$10)*($F$10-$E$10)),$G$10-SQRT((1-T661)*($G$10-$E$10)*($G$10-$F$10))))</f>
        <v>1.08631612017344</v>
      </c>
      <c r="G661" s="52" t="n">
        <f aca="false">IF($G$11=$E$11,$F$11,IF(U661&lt;($F$11-$E$11)/($G$11-$E$11),$E$11+SQRT(U661*($G$11-$E$11)*($F$11-$E$11)),$G$11-SQRT((1-U661)*($G$11-$E$11)*($G$11-$F$11))))</f>
        <v>0.092971755646829</v>
      </c>
      <c r="H661" s="53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-2172632240.34687</v>
      </c>
      <c r="I661" s="53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-23871115.2697775</v>
      </c>
      <c r="J661" s="53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274289429.316342</v>
      </c>
      <c r="K661" s="53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626765779.911134</v>
      </c>
      <c r="L661" s="53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760733810.532341</v>
      </c>
      <c r="M661" s="53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950930313.87443</v>
      </c>
      <c r="N661" s="53" t="n">
        <f aca="false">IF(COUNT('Business Case'!B11:G11)=0,"",H661+NPV(G661,I661:M661))</f>
        <v>-342052962.870196</v>
      </c>
      <c r="P661" s="54" t="n">
        <f aca="true">RAND()</f>
        <v>0.271676202137401</v>
      </c>
      <c r="Q661" s="54" t="n">
        <f aca="true">RAND()</f>
        <v>0.814679987733204</v>
      </c>
      <c r="R661" s="54" t="n">
        <f aca="true">RAND()</f>
        <v>0.12904192535873</v>
      </c>
      <c r="S661" s="54" t="n">
        <f aca="true">RAND()</f>
        <v>0.994715806492473</v>
      </c>
      <c r="T661" s="54" t="n">
        <f aca="true">RAND()</f>
        <v>0.642767833132302</v>
      </c>
      <c r="U661" s="54" t="n">
        <f aca="true">RAND()</f>
        <v>0.168266444561039</v>
      </c>
    </row>
    <row r="662" customFormat="false" ht="15" hidden="false" customHeight="false" outlineLevel="0" collapsed="false">
      <c r="A662" s="50" t="n">
        <v>582</v>
      </c>
      <c r="B662" s="51" t="n">
        <f aca="false">1+IF($G$6=$E$6,$F$6,IF(P662&lt;($F$6-$E$6)/($G$6-$E$6),$E$6+SQRT(P662*($G$6-$E$6)*($F$6-$E$6)),$G$6-SQRT((1-P662)*($G$6-$E$6)*($G$6-$F$6))))</f>
        <v>0.992977246614927</v>
      </c>
      <c r="C662" s="51" t="n">
        <f aca="false">1+IF($G$7=$E$7,$F$7,IF(Q662&lt;($F$7-$E$7)/($G$7-$E$7),$E$7+SQRT(Q662*($G$7-$E$7)*($F$7-$E$7)),$G$7-SQRT((1-Q662)*($G$7-$E$7)*($G$7-$F$7))))</f>
        <v>1.03230558844584</v>
      </c>
      <c r="D662" s="51" t="n">
        <f aca="false">1+IF($G$8=$E$8,$F$8,IF(R662&lt;($F$8-$E$8)/($G$8-$E$8),$E$8+SQRT(R662*($G$8-$E$8)*($F$8-$E$8)),$G$8-SQRT((1-R662)*($G$8-$E$8)*($G$8-$F$8))))</f>
        <v>1.05472159158687</v>
      </c>
      <c r="E662" s="51" t="n">
        <f aca="false">1+IF($G$9=$E$9,$F$9,IF(S662&lt;($F$9-$E$9)/($G$9-$E$9),$E$9+SQRT(S662*($G$9-$E$9)*($F$9-$E$9)),$G$9-SQRT((1-S662)*($G$9-$E$9)*($G$9-$F$9))))</f>
        <v>1.02057482913907</v>
      </c>
      <c r="F662" s="51" t="n">
        <f aca="false">1+IF($G$10=$E$10,$F$10,IF(T662&lt;($F$10-$E$10)/($G$10-$E$10),$E$10+SQRT(T662*($G$10-$E$10)*($F$10-$E$10)),$G$10-SQRT((1-T662)*($G$10-$E$10)*($G$10-$F$10))))</f>
        <v>1.05407569156229</v>
      </c>
      <c r="G662" s="52" t="n">
        <f aca="false">IF($G$11=$E$11,$F$11,IF(U662&lt;($F$11-$E$11)/($G$11-$E$11),$E$11+SQRT(U662*($G$11-$E$11)*($F$11-$E$11)),$G$11-SQRT((1-U662)*($G$11-$E$11)*($G$11-$F$11))))</f>
        <v>0.096290951972262</v>
      </c>
      <c r="H662" s="53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-2108151383.12459</v>
      </c>
      <c r="I662" s="53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-21453507.826149</v>
      </c>
      <c r="J662" s="53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260765195.219534</v>
      </c>
      <c r="K662" s="53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595687682.843333</v>
      </c>
      <c r="L662" s="53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725186517.866578</v>
      </c>
      <c r="M662" s="53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920029154.910678</v>
      </c>
      <c r="N662" s="53" t="n">
        <f aca="false">IF(COUNT('Business Case'!B11:G11)=0,"",H662+NPV(G662,I662:M662))</f>
        <v>-375600118.068272</v>
      </c>
      <c r="P662" s="54" t="n">
        <f aca="true">RAND()</f>
        <v>0.576317892539528</v>
      </c>
      <c r="Q662" s="54" t="n">
        <f aca="true">RAND()</f>
        <v>0.794785562798815</v>
      </c>
      <c r="R662" s="54" t="n">
        <f aca="true">RAND()</f>
        <v>0.863324382104927</v>
      </c>
      <c r="S662" s="54" t="n">
        <f aca="true">RAND()</f>
        <v>0.553310003936523</v>
      </c>
      <c r="T662" s="54" t="n">
        <f aca="true">RAND()</f>
        <v>0.488182204842749</v>
      </c>
      <c r="U662" s="54" t="n">
        <f aca="true">RAND()</f>
        <v>0.265395116162546</v>
      </c>
    </row>
    <row r="663" customFormat="false" ht="15" hidden="false" customHeight="false" outlineLevel="0" collapsed="false">
      <c r="A663" s="50" t="n">
        <v>583</v>
      </c>
      <c r="B663" s="51" t="n">
        <f aca="false">1+IF($G$6=$E$6,$F$6,IF(P663&lt;($F$6-$E$6)/($G$6-$E$6),$E$6+SQRT(P663*($G$6-$E$6)*($F$6-$E$6)),$G$6-SQRT((1-P663)*($G$6-$E$6)*($G$6-$F$6))))</f>
        <v>1.02571388175739</v>
      </c>
      <c r="C663" s="51" t="n">
        <f aca="false">1+IF($G$7=$E$7,$F$7,IF(Q663&lt;($F$7-$E$7)/($G$7-$E$7),$E$7+SQRT(Q663*($G$7-$E$7)*($F$7-$E$7)),$G$7-SQRT((1-Q663)*($G$7-$E$7)*($G$7-$F$7))))</f>
        <v>1.03374246151195</v>
      </c>
      <c r="D663" s="51" t="n">
        <f aca="false">1+IF($G$8=$E$8,$F$8,IF(R663&lt;($F$8-$E$8)/($G$8-$E$8),$E$8+SQRT(R663*($G$8-$E$8)*($F$8-$E$8)),$G$8-SQRT((1-R663)*($G$8-$E$8)*($G$8-$F$8))))</f>
        <v>1.05265089630184</v>
      </c>
      <c r="E663" s="51" t="n">
        <f aca="false">1+IF($G$9=$E$9,$F$9,IF(S663&lt;($F$9-$E$9)/($G$9-$E$9),$E$9+SQRT(S663*($G$9-$E$9)*($F$9-$E$9)),$G$9-SQRT((1-S663)*($G$9-$E$9)*($G$9-$F$9))))</f>
        <v>0.991291940669433</v>
      </c>
      <c r="F663" s="51" t="n">
        <f aca="false">1+IF($G$10=$E$10,$F$10,IF(T663&lt;($F$10-$E$10)/($G$10-$E$10),$E$10+SQRT(T663*($G$10-$E$10)*($F$10-$E$10)),$G$10-SQRT((1-T663)*($G$10-$E$10)*($G$10-$F$10))))</f>
        <v>1.01488023382983</v>
      </c>
      <c r="G663" s="52" t="n">
        <f aca="false">IF($G$11=$E$11,$F$11,IF(U663&lt;($F$11-$E$11)/($G$11-$E$11),$E$11+SQRT(U663*($G$11-$E$11)*($F$11-$E$11)),$G$11-SQRT((1-U663)*($G$11-$E$11)*($G$11-$F$11))))</f>
        <v>0.106788643298143</v>
      </c>
      <c r="H663" s="53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-2029760467.65967</v>
      </c>
      <c r="I663" s="53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14008810.5237374</v>
      </c>
      <c r="J663" s="53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325434554.187395</v>
      </c>
      <c r="K663" s="53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687604309.542544</v>
      </c>
      <c r="L663" s="53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828057687.959593</v>
      </c>
      <c r="M663" s="53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1029604072.53665</v>
      </c>
      <c r="N663" s="53" t="n">
        <f aca="false">IF(COUNT('Business Case'!B11:G11)=0,"",H663+NPV(G663,I663:M663))</f>
        <v>-72517450.7054336</v>
      </c>
      <c r="P663" s="54" t="n">
        <f aca="true">RAND()</f>
        <v>0.921357928094144</v>
      </c>
      <c r="Q663" s="54" t="n">
        <f aca="true">RAND()</f>
        <v>0.799765699921483</v>
      </c>
      <c r="R663" s="54" t="n">
        <f aca="true">RAND()</f>
        <v>0.850537491932041</v>
      </c>
      <c r="S663" s="54" t="n">
        <f aca="true">RAND()</f>
        <v>0.333368737247653</v>
      </c>
      <c r="T663" s="54" t="n">
        <f aca="true">RAND()</f>
        <v>0.262915940747811</v>
      </c>
      <c r="U663" s="54" t="n">
        <f aca="true">RAND()</f>
        <v>0.640821946706092</v>
      </c>
    </row>
    <row r="664" customFormat="false" ht="15" hidden="false" customHeight="false" outlineLevel="0" collapsed="false">
      <c r="A664" s="50" t="n">
        <v>584</v>
      </c>
      <c r="B664" s="51" t="n">
        <f aca="false">1+IF($G$6=$E$6,$F$6,IF(P664&lt;($F$6-$E$6)/($G$6-$E$6),$E$6+SQRT(P664*($G$6-$E$6)*($F$6-$E$6)),$G$6-SQRT((1-P664)*($G$6-$E$6)*($G$6-$F$6))))</f>
        <v>0.994858773279448</v>
      </c>
      <c r="C664" s="51" t="n">
        <f aca="false">1+IF($G$7=$E$7,$F$7,IF(Q664&lt;($F$7-$E$7)/($G$7-$E$7),$E$7+SQRT(Q664*($G$7-$E$7)*($F$7-$E$7)),$G$7-SQRT((1-Q664)*($G$7-$E$7)*($G$7-$F$7))))</f>
        <v>0.787312352567255</v>
      </c>
      <c r="D664" s="51" t="n">
        <f aca="false">1+IF($G$8=$E$8,$F$8,IF(R664&lt;($F$8-$E$8)/($G$8-$E$8),$E$8+SQRT(R664*($G$8-$E$8)*($F$8-$E$8)),$G$8-SQRT((1-R664)*($G$8-$E$8)*($G$8-$F$8))))</f>
        <v>1.00147928772404</v>
      </c>
      <c r="E664" s="51" t="n">
        <f aca="false">1+IF($G$9=$E$9,$F$9,IF(S664&lt;($F$9-$E$9)/($G$9-$E$9),$E$9+SQRT(S664*($G$9-$E$9)*($F$9-$E$9)),$G$9-SQRT((1-S664)*($G$9-$E$9)*($G$9-$F$9))))</f>
        <v>1.09050699898806</v>
      </c>
      <c r="F664" s="51" t="n">
        <f aca="false">1+IF($G$10=$E$10,$F$10,IF(T664&lt;($F$10-$E$10)/($G$10-$E$10),$E$10+SQRT(T664*($G$10-$E$10)*($F$10-$E$10)),$G$10-SQRT((1-T664)*($G$10-$E$10)*($G$10-$F$10))))</f>
        <v>1.14710900303318</v>
      </c>
      <c r="G664" s="52" t="n">
        <f aca="false">IF($G$11=$E$11,$F$11,IF(U664&lt;($F$11-$E$11)/($G$11-$E$11),$E$11+SQRT(U664*($G$11-$E$11)*($F$11-$E$11)),$G$11-SQRT((1-U664)*($G$11-$E$11)*($G$11-$F$11))))</f>
        <v>0.109661759786577</v>
      </c>
      <c r="H664" s="53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-2294218006.06635</v>
      </c>
      <c r="I664" s="53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-72472482.0437014</v>
      </c>
      <c r="J664" s="53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165440468.401481</v>
      </c>
      <c r="K664" s="53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460708868.998322</v>
      </c>
      <c r="L664" s="53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567082810.433025</v>
      </c>
      <c r="M664" s="53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715965745.841061</v>
      </c>
      <c r="N664" s="53" t="n">
        <f aca="false">IF(COUNT('Business Case'!B11:G11)=0,"",H664+NPV(G664,I664:M664))</f>
        <v>-1088447413.43907</v>
      </c>
      <c r="P664" s="54" t="n">
        <f aca="true">RAND()</f>
        <v>0.599879124538775</v>
      </c>
      <c r="Q664" s="54" t="n">
        <f aca="true">RAND()</f>
        <v>0.056469977117249</v>
      </c>
      <c r="R664" s="54" t="n">
        <f aca="true">RAND()</f>
        <v>0.352911283509115</v>
      </c>
      <c r="S664" s="54" t="n">
        <f aca="true">RAND()</f>
        <v>0.905615542149145</v>
      </c>
      <c r="T664" s="54" t="n">
        <f aca="true">RAND()</f>
        <v>0.858845903242305</v>
      </c>
      <c r="U664" s="54" t="n">
        <f aca="true">RAND()</f>
        <v>0.724237323347401</v>
      </c>
    </row>
    <row r="665" customFormat="false" ht="15" hidden="false" customHeight="false" outlineLevel="0" collapsed="false">
      <c r="A665" s="50" t="n">
        <v>585</v>
      </c>
      <c r="B665" s="51" t="n">
        <f aca="false">1+IF($G$6=$E$6,$F$6,IF(P665&lt;($F$6-$E$6)/($G$6-$E$6),$E$6+SQRT(P665*($G$6-$E$6)*($F$6-$E$6)),$G$6-SQRT((1-P665)*($G$6-$E$6)*($G$6-$F$6))))</f>
        <v>0.9948713198055</v>
      </c>
      <c r="C665" s="51" t="n">
        <f aca="false">1+IF($G$7=$E$7,$F$7,IF(Q665&lt;($F$7-$E$7)/($G$7-$E$7),$E$7+SQRT(Q665*($G$7-$E$7)*($F$7-$E$7)),$G$7-SQRT((1-Q665)*($G$7-$E$7)*($G$7-$F$7))))</f>
        <v>0.949338623472785</v>
      </c>
      <c r="D665" s="51" t="n">
        <f aca="false">1+IF($G$8=$E$8,$F$8,IF(R665&lt;($F$8-$E$8)/($G$8-$E$8),$E$8+SQRT(R665*($G$8-$E$8)*($F$8-$E$8)),$G$8-SQRT((1-R665)*($G$8-$E$8)*($G$8-$F$8))))</f>
        <v>1.03278761847281</v>
      </c>
      <c r="E665" s="51" t="n">
        <f aca="false">1+IF($G$9=$E$9,$F$9,IF(S665&lt;($F$9-$E$9)/($G$9-$E$9),$E$9+SQRT(S665*($G$9-$E$9)*($F$9-$E$9)),$G$9-SQRT((1-S665)*($G$9-$E$9)*($G$9-$F$9))))</f>
        <v>0.992475752426747</v>
      </c>
      <c r="F665" s="51" t="n">
        <f aca="false">1+IF($G$10=$E$10,$F$10,IF(T665&lt;($F$10-$E$10)/($G$10-$E$10),$E$10+SQRT(T665*($G$10-$E$10)*($F$10-$E$10)),$G$10-SQRT((1-T665)*($G$10-$E$10)*($G$10-$F$10))))</f>
        <v>1.08550620145057</v>
      </c>
      <c r="G665" s="52" t="n">
        <f aca="false">IF($G$11=$E$11,$F$11,IF(U665&lt;($F$11-$E$11)/($G$11-$E$11),$E$11+SQRT(U665*($G$11-$E$11)*($F$11-$E$11)),$G$11-SQRT((1-U665)*($G$11-$E$11)*($G$11-$F$11))))</f>
        <v>0.108705170046021</v>
      </c>
      <c r="H665" s="53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-2171012402.90114</v>
      </c>
      <c r="I665" s="53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-26972975.0474326</v>
      </c>
      <c r="J665" s="53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244696034.88458</v>
      </c>
      <c r="K665" s="53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570640354.88912</v>
      </c>
      <c r="L665" s="53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693837566.759327</v>
      </c>
      <c r="M665" s="53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873362380.503443</v>
      </c>
      <c r="N665" s="53" t="n">
        <f aca="false">IF(COUNT('Business Case'!B11:G11)=0,"",H665+NPV(G665,I665:M665))</f>
        <v>-597042077.387307</v>
      </c>
      <c r="P665" s="54" t="n">
        <f aca="true">RAND()</f>
        <v>0.600037821442497</v>
      </c>
      <c r="Q665" s="54" t="n">
        <f aca="true">RAND()</f>
        <v>0.460516660409652</v>
      </c>
      <c r="R665" s="54" t="n">
        <f aca="true">RAND()</f>
        <v>0.698833051296191</v>
      </c>
      <c r="S665" s="54" t="n">
        <f aca="true">RAND()</f>
        <v>0.342070591475719</v>
      </c>
      <c r="T665" s="54" t="n">
        <f aca="true">RAND()</f>
        <v>0.63922386985039</v>
      </c>
      <c r="U665" s="54" t="n">
        <f aca="true">RAND()</f>
        <v>0.697686811487422</v>
      </c>
    </row>
    <row r="666" customFormat="false" ht="15" hidden="false" customHeight="false" outlineLevel="0" collapsed="false">
      <c r="A666" s="50" t="n">
        <v>586</v>
      </c>
      <c r="B666" s="51" t="n">
        <f aca="false">1+IF($G$6=$E$6,$F$6,IF(P666&lt;($F$6-$E$6)/($G$6-$E$6),$E$6+SQRT(P666*($G$6-$E$6)*($F$6-$E$6)),$G$6-SQRT((1-P666)*($G$6-$E$6)*($G$6-$F$6))))</f>
        <v>0.997647586168509</v>
      </c>
      <c r="C666" s="51" t="n">
        <f aca="false">1+IF($G$7=$E$7,$F$7,IF(Q666&lt;($F$7-$E$7)/($G$7-$E$7),$E$7+SQRT(Q666*($G$7-$E$7)*($F$7-$E$7)),$G$7-SQRT((1-Q666)*($G$7-$E$7)*($G$7-$F$7))))</f>
        <v>0.983904244351701</v>
      </c>
      <c r="D666" s="51" t="n">
        <f aca="false">1+IF($G$8=$E$8,$F$8,IF(R666&lt;($F$8-$E$8)/($G$8-$E$8),$E$8+SQRT(R666*($G$8-$E$8)*($F$8-$E$8)),$G$8-SQRT((1-R666)*($G$8-$E$8)*($G$8-$F$8))))</f>
        <v>0.996074447508591</v>
      </c>
      <c r="E666" s="51" t="n">
        <f aca="false">1+IF($G$9=$E$9,$F$9,IF(S666&lt;($F$9-$E$9)/($G$9-$E$9),$E$9+SQRT(S666*($G$9-$E$9)*($F$9-$E$9)),$G$9-SQRT((1-S666)*($G$9-$E$9)*($G$9-$F$9))))</f>
        <v>1.01617397792108</v>
      </c>
      <c r="F666" s="51" t="n">
        <f aca="false">1+IF($G$10=$E$10,$F$10,IF(T666&lt;($F$10-$E$10)/($G$10-$E$10),$E$10+SQRT(T666*($G$10-$E$10)*($F$10-$E$10)),$G$10-SQRT((1-T666)*($G$10-$E$10)*($G$10-$F$10))))</f>
        <v>1.02182993374011</v>
      </c>
      <c r="G666" s="52" t="n">
        <f aca="false">IF($G$11=$E$11,$F$11,IF(U666&lt;($F$11-$E$11)/($G$11-$E$11),$E$11+SQRT(U666*($G$11-$E$11)*($F$11-$E$11)),$G$11-SQRT((1-U666)*($G$11-$E$11)*($G$11-$F$11))))</f>
        <v>0.0916695522077429</v>
      </c>
      <c r="H666" s="53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-2043659867.48022</v>
      </c>
      <c r="I666" s="53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4721053.91231543</v>
      </c>
      <c r="J666" s="53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307010650.616633</v>
      </c>
      <c r="K666" s="53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660391744.007957</v>
      </c>
      <c r="L666" s="53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795078682.747805</v>
      </c>
      <c r="M666" s="53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981659251.859058</v>
      </c>
      <c r="N666" s="53" t="n">
        <f aca="false">IF(COUNT('Business Case'!B11:G11)=0,"",H666+NPV(G666,I666:M666))</f>
        <v>-81149453.2437756</v>
      </c>
      <c r="P666" s="54" t="n">
        <f aca="true">RAND()</f>
        <v>0.635670072302426</v>
      </c>
      <c r="Q666" s="54" t="n">
        <f aca="true">RAND()</f>
        <v>0.597049036747483</v>
      </c>
      <c r="R666" s="54" t="n">
        <f aca="true">RAND()</f>
        <v>0.283047295096249</v>
      </c>
      <c r="S666" s="54" t="n">
        <f aca="true">RAND()</f>
        <v>0.522415888387511</v>
      </c>
      <c r="T666" s="54" t="n">
        <f aca="true">RAND()</f>
        <v>0.30584561150609</v>
      </c>
      <c r="U666" s="54" t="n">
        <f aca="true">RAND()</f>
        <v>0.136178448729237</v>
      </c>
    </row>
    <row r="667" customFormat="false" ht="15" hidden="false" customHeight="false" outlineLevel="0" collapsed="false">
      <c r="A667" s="50" t="n">
        <v>587</v>
      </c>
      <c r="B667" s="51" t="n">
        <f aca="false">1+IF($G$6=$E$6,$F$6,IF(P667&lt;($F$6-$E$6)/($G$6-$E$6),$E$6+SQRT(P667*($G$6-$E$6)*($F$6-$E$6)),$G$6-SQRT((1-P667)*($G$6-$E$6)*($G$6-$F$6))))</f>
        <v>0.971162045837995</v>
      </c>
      <c r="C667" s="51" t="n">
        <f aca="false">1+IF($G$7=$E$7,$F$7,IF(Q667&lt;($F$7-$E$7)/($G$7-$E$7),$E$7+SQRT(Q667*($G$7-$E$7)*($F$7-$E$7)),$G$7-SQRT((1-Q667)*($G$7-$E$7)*($G$7-$F$7))))</f>
        <v>0.96039759112412</v>
      </c>
      <c r="D667" s="51" t="n">
        <f aca="false">1+IF($G$8=$E$8,$F$8,IF(R667&lt;($F$8-$E$8)/($G$8-$E$8),$E$8+SQRT(R667*($G$8-$E$8)*($F$8-$E$8)),$G$8-SQRT((1-R667)*($G$8-$E$8)*($G$8-$F$8))))</f>
        <v>0.980026880579366</v>
      </c>
      <c r="E667" s="51" t="n">
        <f aca="false">1+IF($G$9=$E$9,$F$9,IF(S667&lt;($F$9-$E$9)/($G$9-$E$9),$E$9+SQRT(S667*($G$9-$E$9)*($F$9-$E$9)),$G$9-SQRT((1-S667)*($G$9-$E$9)*($G$9-$F$9))))</f>
        <v>0.959244018516094</v>
      </c>
      <c r="F667" s="51" t="n">
        <f aca="false">1+IF($G$10=$E$10,$F$10,IF(T667&lt;($F$10-$E$10)/($G$10-$E$10),$E$10+SQRT(T667*($G$10-$E$10)*($F$10-$E$10)),$G$10-SQRT((1-T667)*($G$10-$E$10)*($G$10-$F$10))))</f>
        <v>1.04634075757759</v>
      </c>
      <c r="G667" s="52" t="n">
        <f aca="false">IF($G$11=$E$11,$F$11,IF(U667&lt;($F$11-$E$11)/($G$11-$E$11),$E$11+SQRT(U667*($G$11-$E$11)*($F$11-$E$11)),$G$11-SQRT((1-U667)*($G$11-$E$11)*($G$11-$F$11))))</f>
        <v>0.0958397554651583</v>
      </c>
      <c r="H667" s="53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-2092681515.15517</v>
      </c>
      <c r="I667" s="53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-7267008.5186494</v>
      </c>
      <c r="J667" s="53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274855813.732669</v>
      </c>
      <c r="K667" s="53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609295673.862867</v>
      </c>
      <c r="L667" s="53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735570784.999454</v>
      </c>
      <c r="M667" s="53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912858722.123264</v>
      </c>
      <c r="N667" s="53" t="n">
        <f aca="false">IF(COUNT('Business Case'!B11:G11)=0,"",H667+NPV(G667,I667:M667))</f>
        <v>-319692744.099087</v>
      </c>
      <c r="P667" s="54" t="n">
        <f aca="true">RAND()</f>
        <v>0.337602451189922</v>
      </c>
      <c r="Q667" s="54" t="n">
        <f aca="true">RAND()</f>
        <v>0.502273373801812</v>
      </c>
      <c r="R667" s="54" t="n">
        <f aca="true">RAND()</f>
        <v>0.120215140977002</v>
      </c>
      <c r="S667" s="54" t="n">
        <f aca="true">RAND()</f>
        <v>0.140394149197412</v>
      </c>
      <c r="T667" s="54" t="n">
        <f aca="true">RAND()</f>
        <v>0.446972173012387</v>
      </c>
      <c r="U667" s="54" t="n">
        <f aca="true">RAND()</f>
        <v>0.250897853196013</v>
      </c>
    </row>
    <row r="668" customFormat="false" ht="15" hidden="false" customHeight="false" outlineLevel="0" collapsed="false">
      <c r="A668" s="50" t="n">
        <v>588</v>
      </c>
      <c r="B668" s="51" t="n">
        <f aca="false">1+IF($G$6=$E$6,$F$6,IF(P668&lt;($F$6-$E$6)/($G$6-$E$6),$E$6+SQRT(P668*($G$6-$E$6)*($F$6-$E$6)),$G$6-SQRT((1-P668)*($G$6-$E$6)*($G$6-$F$6))))</f>
        <v>0.984253089611887</v>
      </c>
      <c r="C668" s="51" t="n">
        <f aca="false">1+IF($G$7=$E$7,$F$7,IF(Q668&lt;($F$7-$E$7)/($G$7-$E$7),$E$7+SQRT(Q668*($G$7-$E$7)*($F$7-$E$7)),$G$7-SQRT((1-Q668)*($G$7-$E$7)*($G$7-$F$7))))</f>
        <v>0.965964918354578</v>
      </c>
      <c r="D668" s="51" t="n">
        <f aca="false">1+IF($G$8=$E$8,$F$8,IF(R668&lt;($F$8-$E$8)/($G$8-$E$8),$E$8+SQRT(R668*($G$8-$E$8)*($F$8-$E$8)),$G$8-SQRT((1-R668)*($G$8-$E$8)*($G$8-$F$8))))</f>
        <v>1.0126225773079</v>
      </c>
      <c r="E668" s="51" t="n">
        <f aca="false">1+IF($G$9=$E$9,$F$9,IF(S668&lt;($F$9-$E$9)/($G$9-$E$9),$E$9+SQRT(S668*($G$9-$E$9)*($F$9-$E$9)),$G$9-SQRT((1-S668)*($G$9-$E$9)*($G$9-$F$9))))</f>
        <v>1.01755177647081</v>
      </c>
      <c r="F668" s="51" t="n">
        <f aca="false">1+IF($G$10=$E$10,$F$10,IF(T668&lt;($F$10-$E$10)/($G$10-$E$10),$E$10+SQRT(T668*($G$10-$E$10)*($F$10-$E$10)),$G$10-SQRT((1-T668)*($G$10-$E$10)*($G$10-$F$10))))</f>
        <v>1.07574758522769</v>
      </c>
      <c r="G668" s="52" t="n">
        <f aca="false">IF($G$11=$E$11,$F$11,IF(U668&lt;($F$11-$E$11)/($G$11-$E$11),$E$11+SQRT(U668*($G$11-$E$11)*($F$11-$E$11)),$G$11-SQRT((1-U668)*($G$11-$E$11)*($G$11-$F$11))))</f>
        <v>0.097533479168434</v>
      </c>
      <c r="H668" s="53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-2151495170.45538</v>
      </c>
      <c r="I668" s="53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-23560347.0663401</v>
      </c>
      <c r="J668" s="53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254437012.049436</v>
      </c>
      <c r="K668" s="53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586221750.426596</v>
      </c>
      <c r="L668" s="53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711745593.495319</v>
      </c>
      <c r="M668" s="53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892464905.327713</v>
      </c>
      <c r="N668" s="53" t="n">
        <f aca="false">IF(COUNT('Business Case'!B11:G11)=0,"",H668+NPV(G668,I668:M668))</f>
        <v>-467402003.493051</v>
      </c>
      <c r="P668" s="54" t="n">
        <f aca="true">RAND()</f>
        <v>0.473238873943249</v>
      </c>
      <c r="Q668" s="54" t="n">
        <f aca="true">RAND()</f>
        <v>0.52398027996561</v>
      </c>
      <c r="R668" s="54" t="n">
        <f aca="true">RAND()</f>
        <v>0.491012400245756</v>
      </c>
      <c r="S668" s="54" t="n">
        <f aca="true">RAND()</f>
        <v>0.53219914890562</v>
      </c>
      <c r="T668" s="54" t="n">
        <f aca="true">RAND()</f>
        <v>0.595147945946908</v>
      </c>
      <c r="U668" s="54" t="n">
        <f aca="true">RAND()</f>
        <v>0.307422891749909</v>
      </c>
    </row>
    <row r="669" customFormat="false" ht="15" hidden="false" customHeight="false" outlineLevel="0" collapsed="false">
      <c r="A669" s="50" t="n">
        <v>589</v>
      </c>
      <c r="B669" s="51" t="n">
        <f aca="false">1+IF($G$6=$E$6,$F$6,IF(P669&lt;($F$6-$E$6)/($G$6-$E$6),$E$6+SQRT(P669*($G$6-$E$6)*($F$6-$E$6)),$G$6-SQRT((1-P669)*($G$6-$E$6)*($G$6-$F$6))))</f>
        <v>0.984780405463699</v>
      </c>
      <c r="C669" s="51" t="n">
        <f aca="false">1+IF($G$7=$E$7,$F$7,IF(Q669&lt;($F$7-$E$7)/($G$7-$E$7),$E$7+SQRT(Q669*($G$7-$E$7)*($F$7-$E$7)),$G$7-SQRT((1-Q669)*($G$7-$E$7)*($G$7-$F$7))))</f>
        <v>0.944621886570094</v>
      </c>
      <c r="D669" s="51" t="n">
        <f aca="false">1+IF($G$8=$E$8,$F$8,IF(R669&lt;($F$8-$E$8)/($G$8-$E$8),$E$8+SQRT(R669*($G$8-$E$8)*($F$8-$E$8)),$G$8-SQRT((1-R669)*($G$8-$E$8)*($G$8-$F$8))))</f>
        <v>1.06434733686741</v>
      </c>
      <c r="E669" s="51" t="n">
        <f aca="false">1+IF($G$9=$E$9,$F$9,IF(S669&lt;($F$9-$E$9)/($G$9-$E$9),$E$9+SQRT(S669*($G$9-$E$9)*($F$9-$E$9)),$G$9-SQRT((1-S669)*($G$9-$E$9)*($G$9-$F$9))))</f>
        <v>1.07217459190714</v>
      </c>
      <c r="F669" s="51" t="n">
        <f aca="false">1+IF($G$10=$E$10,$F$10,IF(T669&lt;($F$10-$E$10)/($G$10-$E$10),$E$10+SQRT(T669*($G$10-$E$10)*($F$10-$E$10)),$G$10-SQRT((1-T669)*($G$10-$E$10)*($G$10-$F$10))))</f>
        <v>1.01413936666478</v>
      </c>
      <c r="G669" s="52" t="n">
        <f aca="false">IF($G$11=$E$11,$F$11,IF(U669&lt;($F$11-$E$11)/($G$11-$E$11),$E$11+SQRT(U669*($G$11-$E$11)*($F$11-$E$11)),$G$11-SQRT((1-U669)*($G$11-$E$11)*($G$11-$F$11))))</f>
        <v>0.120964534610062</v>
      </c>
      <c r="H669" s="53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-2028278733.32955</v>
      </c>
      <c r="I669" s="53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-54850667.9685205</v>
      </c>
      <c r="J669" s="53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192399734.95097</v>
      </c>
      <c r="K669" s="53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490357106.203699</v>
      </c>
      <c r="L669" s="53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604923178.67842</v>
      </c>
      <c r="M669" s="53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781744171.93699</v>
      </c>
      <c r="N669" s="53" t="n">
        <f aca="false">IF(COUNT('Business Case'!B11:G11)=0,"",H669+NPV(G669,I669:M669))</f>
        <v>-751172362.654008</v>
      </c>
      <c r="P669" s="54" t="n">
        <f aca="true">RAND()</f>
        <v>0.479181143372612</v>
      </c>
      <c r="Q669" s="54" t="n">
        <f aca="true">RAND()</f>
        <v>0.443258276956384</v>
      </c>
      <c r="R669" s="54" t="n">
        <f aca="true">RAND()</f>
        <v>0.915259174103589</v>
      </c>
      <c r="S669" s="54" t="n">
        <f aca="true">RAND()</f>
        <v>0.838485489471472</v>
      </c>
      <c r="T669" s="54" t="n">
        <f aca="true">RAND()</f>
        <v>0.258263488569433</v>
      </c>
      <c r="U669" s="54" t="n">
        <f aca="true">RAND()</f>
        <v>0.945573576791491</v>
      </c>
    </row>
    <row r="670" customFormat="false" ht="15" hidden="false" customHeight="false" outlineLevel="0" collapsed="false">
      <c r="A670" s="50" t="n">
        <v>590</v>
      </c>
      <c r="B670" s="51" t="n">
        <f aca="false">1+IF($G$6=$E$6,$F$6,IF(P670&lt;($F$6-$E$6)/($G$6-$E$6),$E$6+SQRT(P670*($G$6-$E$6)*($F$6-$E$6)),$G$6-SQRT((1-P670)*($G$6-$E$6)*($G$6-$F$6))))</f>
        <v>1.00679116238862</v>
      </c>
      <c r="C670" s="51" t="n">
        <f aca="false">1+IF($G$7=$E$7,$F$7,IF(Q670&lt;($F$7-$E$7)/($G$7-$E$7),$E$7+SQRT(Q670*($G$7-$E$7)*($F$7-$E$7)),$G$7-SQRT((1-Q670)*($G$7-$E$7)*($G$7-$F$7))))</f>
        <v>0.954892977426208</v>
      </c>
      <c r="D670" s="51" t="n">
        <f aca="false">1+IF($G$8=$E$8,$F$8,IF(R670&lt;($F$8-$E$8)/($G$8-$E$8),$E$8+SQRT(R670*($G$8-$E$8)*($F$8-$E$8)),$G$8-SQRT((1-R670)*($G$8-$E$8)*($G$8-$F$8))))</f>
        <v>0.999285655353584</v>
      </c>
      <c r="E670" s="51" t="n">
        <f aca="false">1+IF($G$9=$E$9,$F$9,IF(S670&lt;($F$9-$E$9)/($G$9-$E$9),$E$9+SQRT(S670*($G$9-$E$9)*($F$9-$E$9)),$G$9-SQRT((1-S670)*($G$9-$E$9)*($G$9-$F$9))))</f>
        <v>0.948205348253131</v>
      </c>
      <c r="F670" s="51" t="n">
        <f aca="false">1+IF($G$10=$E$10,$F$10,IF(T670&lt;($F$10-$E$10)/($G$10-$E$10),$E$10+SQRT(T670*($G$10-$E$10)*($F$10-$E$10)),$G$10-SQRT((1-T670)*($G$10-$E$10)*($G$10-$F$10))))</f>
        <v>1.01596113066502</v>
      </c>
      <c r="G670" s="52" t="n">
        <f aca="false">IF($G$11=$E$11,$F$11,IF(U670&lt;($F$11-$E$11)/($G$11-$E$11),$E$11+SQRT(U670*($G$11-$E$11)*($F$11-$E$11)),$G$11-SQRT((1-U670)*($G$11-$E$11)*($G$11-$F$11))))</f>
        <v>0.107936173148622</v>
      </c>
      <c r="H670" s="53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-2031922261.33003</v>
      </c>
      <c r="I670" s="53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12689286.1121882</v>
      </c>
      <c r="J670" s="53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311647311.519144</v>
      </c>
      <c r="K670" s="53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661403393.459351</v>
      </c>
      <c r="L670" s="53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794281285.732783</v>
      </c>
      <c r="M670" s="53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977019979.990576</v>
      </c>
      <c r="N670" s="53" t="n">
        <f aca="false">IF(COUNT('Business Case'!B11:G11)=0,"",H670+NPV(G670,I670:M670))</f>
        <v>-167904570.745069</v>
      </c>
      <c r="P670" s="54" t="n">
        <f aca="true">RAND()</f>
        <v>0.751066180303172</v>
      </c>
      <c r="Q670" s="54" t="n">
        <f aca="true">RAND()</f>
        <v>0.481262444008868</v>
      </c>
      <c r="R670" s="54" t="n">
        <f aca="true">RAND()</f>
        <v>0.323876776484306</v>
      </c>
      <c r="S670" s="54" t="n">
        <f aca="true">RAND()</f>
        <v>0.092950224008227</v>
      </c>
      <c r="T670" s="54" t="n">
        <f aca="true">RAND()</f>
        <v>0.26967743520537</v>
      </c>
      <c r="U670" s="54" t="n">
        <f aca="true">RAND()</f>
        <v>0.675458363114929</v>
      </c>
    </row>
    <row r="671" customFormat="false" ht="15" hidden="false" customHeight="false" outlineLevel="0" collapsed="false">
      <c r="A671" s="50" t="n">
        <v>591</v>
      </c>
      <c r="B671" s="51" t="n">
        <f aca="false">1+IF($G$6=$E$6,$F$6,IF(P671&lt;($F$6-$E$6)/($G$6-$E$6),$E$6+SQRT(P671*($G$6-$E$6)*($F$6-$E$6)),$G$6-SQRT((1-P671)*($G$6-$E$6)*($G$6-$F$6))))</f>
        <v>0.990326366145315</v>
      </c>
      <c r="C671" s="51" t="n">
        <f aca="false">1+IF($G$7=$E$7,$F$7,IF(Q671&lt;($F$7-$E$7)/($G$7-$E$7),$E$7+SQRT(Q671*($G$7-$E$7)*($F$7-$E$7)),$G$7-SQRT((1-Q671)*($G$7-$E$7)*($G$7-$F$7))))</f>
        <v>0.876228812476396</v>
      </c>
      <c r="D671" s="51" t="n">
        <f aca="false">1+IF($G$8=$E$8,$F$8,IF(R671&lt;($F$8-$E$8)/($G$8-$E$8),$E$8+SQRT(R671*($G$8-$E$8)*($F$8-$E$8)),$G$8-SQRT((1-R671)*($G$8-$E$8)*($G$8-$F$8))))</f>
        <v>0.99108835427947</v>
      </c>
      <c r="E671" s="51" t="n">
        <f aca="false">1+IF($G$9=$E$9,$F$9,IF(S671&lt;($F$9-$E$9)/($G$9-$E$9),$E$9+SQRT(S671*($G$9-$E$9)*($F$9-$E$9)),$G$9-SQRT((1-S671)*($G$9-$E$9)*($G$9-$F$9))))</f>
        <v>0.961597116337203</v>
      </c>
      <c r="F671" s="51" t="n">
        <f aca="false">1+IF($G$10=$E$10,$F$10,IF(T671&lt;($F$10-$E$10)/($G$10-$E$10),$E$10+SQRT(T671*($G$10-$E$10)*($F$10-$E$10)),$G$10-SQRT((1-T671)*($G$10-$E$10)*($G$10-$F$10))))</f>
        <v>1.01816157879815</v>
      </c>
      <c r="G671" s="52" t="n">
        <f aca="false">IF($G$11=$E$11,$F$11,IF(U671&lt;($F$11-$E$11)/($G$11-$E$11),$E$11+SQRT(U671*($G$11-$E$11)*($F$11-$E$11)),$G$11-SQRT((1-U671)*($G$11-$E$11)*($G$11-$F$11))))</f>
        <v>0.101649157034821</v>
      </c>
      <c r="H671" s="53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-2036323157.5963</v>
      </c>
      <c r="I671" s="53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-17349439.2989073</v>
      </c>
      <c r="J671" s="53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248840678.605949</v>
      </c>
      <c r="K671" s="53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565938875.450713</v>
      </c>
      <c r="L671" s="53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684658441.006198</v>
      </c>
      <c r="M671" s="53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849600835.402458</v>
      </c>
      <c r="N671" s="53" t="n">
        <f aca="false">IF(COUNT('Business Case'!B11:G11)=0,"",H671+NPV(G671,I671:M671))</f>
        <v>-435306452.569699</v>
      </c>
      <c r="P671" s="54" t="n">
        <f aca="true">RAND()</f>
        <v>0.543923494734504</v>
      </c>
      <c r="Q671" s="54" t="n">
        <f aca="true">RAND()</f>
        <v>0.230048847013635</v>
      </c>
      <c r="R671" s="54" t="n">
        <f aca="true">RAND()</f>
        <v>0.225100380986031</v>
      </c>
      <c r="S671" s="54" t="n">
        <f aca="true">RAND()</f>
        <v>0.151768189642356</v>
      </c>
      <c r="T671" s="54" t="n">
        <f aca="true">RAND()</f>
        <v>0.283345952728454</v>
      </c>
      <c r="U671" s="54" t="n">
        <f aca="true">RAND()</f>
        <v>0.46415313544251</v>
      </c>
    </row>
    <row r="672" customFormat="false" ht="15" hidden="false" customHeight="false" outlineLevel="0" collapsed="false">
      <c r="A672" s="50" t="n">
        <v>592</v>
      </c>
      <c r="B672" s="51" t="n">
        <f aca="false">1+IF($G$6=$E$6,$F$6,IF(P672&lt;($F$6-$E$6)/($G$6-$E$6),$E$6+SQRT(P672*($G$6-$E$6)*($F$6-$E$6)),$G$6-SQRT((1-P672)*($G$6-$E$6)*($G$6-$F$6))))</f>
        <v>0.97278911461854</v>
      </c>
      <c r="C672" s="51" t="n">
        <f aca="false">1+IF($G$7=$E$7,$F$7,IF(Q672&lt;($F$7-$E$7)/($G$7-$E$7),$E$7+SQRT(Q672*($G$7-$E$7)*($F$7-$E$7)),$G$7-SQRT((1-Q672)*($G$7-$E$7)*($G$7-$F$7))))</f>
        <v>1.11120161536352</v>
      </c>
      <c r="D672" s="51" t="n">
        <f aca="false">1+IF($G$8=$E$8,$F$8,IF(R672&lt;($F$8-$E$8)/($G$8-$E$8),$E$8+SQRT(R672*($G$8-$E$8)*($F$8-$E$8)),$G$8-SQRT((1-R672)*($G$8-$E$8)*($G$8-$F$8))))</f>
        <v>1.04595511162273</v>
      </c>
      <c r="E672" s="51" t="n">
        <f aca="false">1+IF($G$9=$E$9,$F$9,IF(S672&lt;($F$9-$E$9)/($G$9-$E$9),$E$9+SQRT(S672*($G$9-$E$9)*($F$9-$E$9)),$G$9-SQRT((1-S672)*($G$9-$E$9)*($G$9-$F$9))))</f>
        <v>0.99097703134148</v>
      </c>
      <c r="F672" s="51" t="n">
        <f aca="false">1+IF($G$10=$E$10,$F$10,IF(T672&lt;($F$10-$E$10)/($G$10-$E$10),$E$10+SQRT(T672*($G$10-$E$10)*($F$10-$E$10)),$G$10-SQRT((1-T672)*($G$10-$E$10)*($G$10-$F$10))))</f>
        <v>1.0135204678414</v>
      </c>
      <c r="G672" s="52" t="n">
        <f aca="false">IF($G$11=$E$11,$F$11,IF(U672&lt;($F$11-$E$11)/($G$11-$E$11),$E$11+SQRT(U672*($G$11-$E$11)*($F$11-$E$11)),$G$11-SQRT((1-U672)*($G$11-$E$11)*($G$11-$F$11))))</f>
        <v>0.106739389351735</v>
      </c>
      <c r="H672" s="53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-2027040935.68281</v>
      </c>
      <c r="I672" s="53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-7905895.48646893</v>
      </c>
      <c r="J672" s="53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282494406.744022</v>
      </c>
      <c r="K672" s="53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623570732.366584</v>
      </c>
      <c r="L672" s="53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757728977.827455</v>
      </c>
      <c r="M672" s="53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963198773.773014</v>
      </c>
      <c r="N672" s="53" t="n">
        <f aca="false">IF(COUNT('Business Case'!B11:G11)=0,"",H672+NPV(G672,I672:M672))</f>
        <v>-258431948.833196</v>
      </c>
      <c r="P672" s="54" t="n">
        <f aca="true">RAND()</f>
        <v>0.353217013796734</v>
      </c>
      <c r="Q672" s="54" t="n">
        <f aca="true">RAND()</f>
        <v>0.977699042216294</v>
      </c>
      <c r="R672" s="54" t="n">
        <f aca="true">RAND()</f>
        <v>0.805276669352554</v>
      </c>
      <c r="S672" s="54" t="n">
        <f aca="true">RAND()</f>
        <v>0.331072809268346</v>
      </c>
      <c r="T672" s="54" t="n">
        <f aca="true">RAND()</f>
        <v>0.254365744934021</v>
      </c>
      <c r="U672" s="54" t="n">
        <f aca="true">RAND()</f>
        <v>0.639295994846538</v>
      </c>
    </row>
    <row r="673" customFormat="false" ht="15" hidden="false" customHeight="false" outlineLevel="0" collapsed="false">
      <c r="A673" s="50" t="n">
        <v>593</v>
      </c>
      <c r="B673" s="51" t="n">
        <f aca="false">1+IF($G$6=$E$6,$F$6,IF(P673&lt;($F$6-$E$6)/($G$6-$E$6),$E$6+SQRT(P673*($G$6-$E$6)*($F$6-$E$6)),$G$6-SQRT((1-P673)*($G$6-$E$6)*($G$6-$F$6))))</f>
        <v>0.985713271197489</v>
      </c>
      <c r="C673" s="51" t="n">
        <f aca="false">1+IF($G$7=$E$7,$F$7,IF(Q673&lt;($F$7-$E$7)/($G$7-$E$7),$E$7+SQRT(Q673*($G$7-$E$7)*($F$7-$E$7)),$G$7-SQRT((1-Q673)*($G$7-$E$7)*($G$7-$F$7))))</f>
        <v>0.92682813533962</v>
      </c>
      <c r="D673" s="51" t="n">
        <f aca="false">1+IF($G$8=$E$8,$F$8,IF(R673&lt;($F$8-$E$8)/($G$8-$E$8),$E$8+SQRT(R673*($G$8-$E$8)*($F$8-$E$8)),$G$8-SQRT((1-R673)*($G$8-$E$8)*($G$8-$F$8))))</f>
        <v>1.02076880247246</v>
      </c>
      <c r="E673" s="51" t="n">
        <f aca="false">1+IF($G$9=$E$9,$F$9,IF(S673&lt;($F$9-$E$9)/($G$9-$E$9),$E$9+SQRT(S673*($G$9-$E$9)*($F$9-$E$9)),$G$9-SQRT((1-S673)*($G$9-$E$9)*($G$9-$F$9))))</f>
        <v>1.01453724909163</v>
      </c>
      <c r="F673" s="51" t="n">
        <f aca="false">1+IF($G$10=$E$10,$F$10,IF(T673&lt;($F$10-$E$10)/($G$10-$E$10),$E$10+SQRT(T673*($G$10-$E$10)*($F$10-$E$10)),$G$10-SQRT((1-T673)*($G$10-$E$10)*($G$10-$F$10))))</f>
        <v>1.02809257252211</v>
      </c>
      <c r="G673" s="52" t="n">
        <f aca="false">IF($G$11=$E$11,$F$11,IF(U673&lt;($F$11-$E$11)/($G$11-$E$11),$E$11+SQRT(U673*($G$11-$E$11)*($F$11-$E$11)),$G$11-SQRT((1-U673)*($G$11-$E$11)*($G$11-$F$11))))</f>
        <v>0.10370124360392</v>
      </c>
      <c r="H673" s="53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-2056185145.04423</v>
      </c>
      <c r="I673" s="53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-30459295.2855643</v>
      </c>
      <c r="J673" s="53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233518202.857435</v>
      </c>
      <c r="K673" s="53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548900329.62654</v>
      </c>
      <c r="L673" s="53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668466388.577887</v>
      </c>
      <c r="M673" s="53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842120966.214799</v>
      </c>
      <c r="N673" s="53" t="n">
        <f aca="false">IF(COUNT('Business Case'!B11:G11)=0,"",H673+NPV(G673,I673:M673))</f>
        <v>-519162773.48847</v>
      </c>
      <c r="P673" s="54" t="n">
        <f aca="true">RAND()</f>
        <v>0.48978432395829</v>
      </c>
      <c r="Q673" s="54" t="n">
        <f aca="true">RAND()</f>
        <v>0.381118540604808</v>
      </c>
      <c r="R673" s="54" t="n">
        <f aca="true">RAND()</f>
        <v>0.581494489223495</v>
      </c>
      <c r="S673" s="54" t="n">
        <f aca="true">RAND()</f>
        <v>0.510662483102346</v>
      </c>
      <c r="T673" s="54" t="n">
        <f aca="true">RAND()</f>
        <v>0.343427915068623</v>
      </c>
      <c r="U673" s="54" t="n">
        <f aca="true">RAND()</f>
        <v>0.538916941346441</v>
      </c>
    </row>
    <row r="674" customFormat="false" ht="15" hidden="false" customHeight="false" outlineLevel="0" collapsed="false">
      <c r="A674" s="50" t="n">
        <v>594</v>
      </c>
      <c r="B674" s="51" t="n">
        <f aca="false">1+IF($G$6=$E$6,$F$6,IF(P674&lt;($F$6-$E$6)/($G$6-$E$6),$E$6+SQRT(P674*($G$6-$E$6)*($F$6-$E$6)),$G$6-SQRT((1-P674)*($G$6-$E$6)*($G$6-$F$6))))</f>
        <v>0.996657112360828</v>
      </c>
      <c r="C674" s="51" t="n">
        <f aca="false">1+IF($G$7=$E$7,$F$7,IF(Q674&lt;($F$7-$E$7)/($G$7-$E$7),$E$7+SQRT(Q674*($G$7-$E$7)*($F$7-$E$7)),$G$7-SQRT((1-Q674)*($G$7-$E$7)*($G$7-$F$7))))</f>
        <v>1.04920461626725</v>
      </c>
      <c r="D674" s="51" t="n">
        <f aca="false">1+IF($G$8=$E$8,$F$8,IF(R674&lt;($F$8-$E$8)/($G$8-$E$8),$E$8+SQRT(R674*($G$8-$E$8)*($F$8-$E$8)),$G$8-SQRT((1-R674)*($G$8-$E$8)*($G$8-$F$8))))</f>
        <v>1.03581846500583</v>
      </c>
      <c r="E674" s="51" t="n">
        <f aca="false">1+IF($G$9=$E$9,$F$9,IF(S674&lt;($F$9-$E$9)/($G$9-$E$9),$E$9+SQRT(S674*($G$9-$E$9)*($F$9-$E$9)),$G$9-SQRT((1-S674)*($G$9-$E$9)*($G$9-$F$9))))</f>
        <v>0.914354982670669</v>
      </c>
      <c r="F674" s="51" t="n">
        <f aca="false">1+IF($G$10=$E$10,$F$10,IF(T674&lt;($F$10-$E$10)/($G$10-$E$10),$E$10+SQRT(T674*($G$10-$E$10)*($F$10-$E$10)),$G$10-SQRT((1-T674)*($G$10-$E$10)*($G$10-$F$10))))</f>
        <v>1.08781479236626</v>
      </c>
      <c r="G674" s="52" t="n">
        <f aca="false">IF($G$11=$E$11,$F$11,IF(U674&lt;($F$11-$E$11)/($G$11-$E$11),$E$11+SQRT(U674*($G$11-$E$11)*($F$11-$E$11)),$G$11-SQRT((1-U674)*($G$11-$E$11)*($G$11-$F$11))))</f>
        <v>0.101072413799437</v>
      </c>
      <c r="H674" s="53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-2175629584.73251</v>
      </c>
      <c r="I674" s="53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7142388.57508682</v>
      </c>
      <c r="J674" s="53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307296480.006146</v>
      </c>
      <c r="K674" s="53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661841311.055519</v>
      </c>
      <c r="L674" s="53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798031971.588257</v>
      </c>
      <c r="M674" s="53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996798103.561376</v>
      </c>
      <c r="N674" s="53" t="n">
        <f aca="false">IF(COUNT('Business Case'!B11:G11)=0,"",H674+NPV(G674,I674:M674))</f>
        <v>-261002500.016398</v>
      </c>
      <c r="P674" s="54" t="n">
        <f aca="true">RAND()</f>
        <v>0.622839824662242</v>
      </c>
      <c r="Q674" s="54" t="n">
        <f aca="true">RAND()</f>
        <v>0.849485786935821</v>
      </c>
      <c r="R674" s="54" t="n">
        <f aca="true">RAND()</f>
        <v>0.725382037719473</v>
      </c>
      <c r="S674" s="54" t="n">
        <f aca="true">RAND()</f>
        <v>0.00824262109900832</v>
      </c>
      <c r="T674" s="54" t="n">
        <f aca="true">RAND()</f>
        <v>0.649279445663996</v>
      </c>
      <c r="U674" s="54" t="n">
        <f aca="true">RAND()</f>
        <v>0.442129837739328</v>
      </c>
    </row>
    <row r="675" customFormat="false" ht="15" hidden="false" customHeight="false" outlineLevel="0" collapsed="false">
      <c r="A675" s="50" t="n">
        <v>595</v>
      </c>
      <c r="B675" s="51" t="n">
        <f aca="false">1+IF($G$6=$E$6,$F$6,IF(P675&lt;($F$6-$E$6)/($G$6-$E$6),$E$6+SQRT(P675*($G$6-$E$6)*($F$6-$E$6)),$G$6-SQRT((1-P675)*($G$6-$E$6)*($G$6-$F$6))))</f>
        <v>0.924064242602958</v>
      </c>
      <c r="C675" s="51" t="n">
        <f aca="false">1+IF($G$7=$E$7,$F$7,IF(Q675&lt;($F$7-$E$7)/($G$7-$E$7),$E$7+SQRT(Q675*($G$7-$E$7)*($F$7-$E$7)),$G$7-SQRT((1-Q675)*($G$7-$E$7)*($G$7-$F$7))))</f>
        <v>1.08961759033269</v>
      </c>
      <c r="D675" s="51" t="n">
        <f aca="false">1+IF($G$8=$E$8,$F$8,IF(R675&lt;($F$8-$E$8)/($G$8-$E$8),$E$8+SQRT(R675*($G$8-$E$8)*($F$8-$E$8)),$G$8-SQRT((1-R675)*($G$8-$E$8)*($G$8-$F$8))))</f>
        <v>1.04426005678249</v>
      </c>
      <c r="E675" s="51" t="n">
        <f aca="false">1+IF($G$9=$E$9,$F$9,IF(S675&lt;($F$9-$E$9)/($G$9-$E$9),$E$9+SQRT(S675*($G$9-$E$9)*($F$9-$E$9)),$G$9-SQRT((1-S675)*($G$9-$E$9)*($G$9-$F$9))))</f>
        <v>1.05262766766094</v>
      </c>
      <c r="F675" s="51" t="n">
        <f aca="false">1+IF($G$10=$E$10,$F$10,IF(T675&lt;($F$10-$E$10)/($G$10-$E$10),$E$10+SQRT(T675*($G$10-$E$10)*($F$10-$E$10)),$G$10-SQRT((1-T675)*($G$10-$E$10)*($G$10-$F$10))))</f>
        <v>1.08162203804208</v>
      </c>
      <c r="G675" s="52" t="n">
        <f aca="false">IF($G$11=$E$11,$F$11,IF(U675&lt;($F$11-$E$11)/($G$11-$E$11),$E$11+SQRT(U675*($G$11-$E$11)*($F$11-$E$11)),$G$11-SQRT((1-U675)*($G$11-$E$11)*($G$11-$F$11))))</f>
        <v>0.109232065909134</v>
      </c>
      <c r="H675" s="53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-2163244076.08416</v>
      </c>
      <c r="I675" s="53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-67823035.018941</v>
      </c>
      <c r="J675" s="53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174396273.816735</v>
      </c>
      <c r="K675" s="53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470696684.554515</v>
      </c>
      <c r="L675" s="53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586234111.305756</v>
      </c>
      <c r="M675" s="53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777621225.572174</v>
      </c>
      <c r="N675" s="53" t="n">
        <f aca="false">IF(COUNT('Business Case'!B11:G11)=0,"",H675+NPV(G675,I675:M675))</f>
        <v>-887442476.209454</v>
      </c>
      <c r="P675" s="54" t="n">
        <f aca="true">RAND()</f>
        <v>0.0386058514702693</v>
      </c>
      <c r="Q675" s="54" t="n">
        <f aca="true">RAND()</f>
        <v>0.945984660781766</v>
      </c>
      <c r="R675" s="54" t="n">
        <f aca="true">RAND()</f>
        <v>0.792870582007226</v>
      </c>
      <c r="S675" s="54" t="n">
        <f aca="true">RAND()</f>
        <v>0.747163437196064</v>
      </c>
      <c r="T675" s="54" t="n">
        <f aca="true">RAND()</f>
        <v>0.621984825691959</v>
      </c>
      <c r="U675" s="54" t="n">
        <f aca="true">RAND()</f>
        <v>0.712461942398288</v>
      </c>
    </row>
    <row r="676" customFormat="false" ht="15" hidden="false" customHeight="false" outlineLevel="0" collapsed="false">
      <c r="A676" s="50" t="n">
        <v>596</v>
      </c>
      <c r="B676" s="51" t="n">
        <f aca="false">1+IF($G$6=$E$6,$F$6,IF(P676&lt;($F$6-$E$6)/($G$6-$E$6),$E$6+SQRT(P676*($G$6-$E$6)*($F$6-$E$6)),$G$6-SQRT((1-P676)*($G$6-$E$6)*($G$6-$F$6))))</f>
        <v>1.03855746735804</v>
      </c>
      <c r="C676" s="51" t="n">
        <f aca="false">1+IF($G$7=$E$7,$F$7,IF(Q676&lt;($F$7-$E$7)/($G$7-$E$7),$E$7+SQRT(Q676*($G$7-$E$7)*($F$7-$E$7)),$G$7-SQRT((1-Q676)*($G$7-$E$7)*($G$7-$F$7))))</f>
        <v>0.896458096104683</v>
      </c>
      <c r="D676" s="51" t="n">
        <f aca="false">1+IF($G$8=$E$8,$F$8,IF(R676&lt;($F$8-$E$8)/($G$8-$E$8),$E$8+SQRT(R676*($G$8-$E$8)*($F$8-$E$8)),$G$8-SQRT((1-R676)*($G$8-$E$8)*($G$8-$F$8))))</f>
        <v>1.0125355486312</v>
      </c>
      <c r="E676" s="51" t="n">
        <f aca="false">1+IF($G$9=$E$9,$F$9,IF(S676&lt;($F$9-$E$9)/($G$9-$E$9),$E$9+SQRT(S676*($G$9-$E$9)*($F$9-$E$9)),$G$9-SQRT((1-S676)*($G$9-$E$9)*($G$9-$F$9))))</f>
        <v>1.01411564649802</v>
      </c>
      <c r="F676" s="51" t="n">
        <f aca="false">1+IF($G$10=$E$10,$F$10,IF(T676&lt;($F$10-$E$10)/($G$10-$E$10),$E$10+SQRT(T676*($G$10-$E$10)*($F$10-$E$10)),$G$10-SQRT((1-T676)*($G$10-$E$10)*($G$10-$F$10))))</f>
        <v>0.965651765928163</v>
      </c>
      <c r="G676" s="52" t="n">
        <f aca="false">IF($G$11=$E$11,$F$11,IF(U676&lt;($F$11-$E$11)/($G$11-$E$11),$E$11+SQRT(U676*($G$11-$E$11)*($F$11-$E$11)),$G$11-SQRT((1-U676)*($G$11-$E$11)*($G$11-$F$11))))</f>
        <v>0.105574545717055</v>
      </c>
      <c r="H676" s="53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-1931303531.85633</v>
      </c>
      <c r="I676" s="53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8870830.82059252</v>
      </c>
      <c r="J676" s="53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306778328.439959</v>
      </c>
      <c r="K676" s="53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652968414.355734</v>
      </c>
      <c r="L676" s="53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784447077.078148</v>
      </c>
      <c r="M676" s="53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961415976.415926</v>
      </c>
      <c r="N676" s="53" t="n">
        <f aca="false">IF(COUNT('Business Case'!B11:G11)=0,"",H676+NPV(G676,I676:M676))</f>
        <v>-81965306.810513</v>
      </c>
      <c r="P676" s="54" t="n">
        <f aca="true">RAND()</f>
        <v>0.982542459565016</v>
      </c>
      <c r="Q676" s="54" t="n">
        <f aca="true">RAND()</f>
        <v>0.285894692778348</v>
      </c>
      <c r="R676" s="54" t="n">
        <f aca="true">RAND()</f>
        <v>0.489997983116949</v>
      </c>
      <c r="S676" s="54" t="n">
        <f aca="true">RAND()</f>
        <v>0.507611799289294</v>
      </c>
      <c r="T676" s="54" t="n">
        <f aca="true">RAND()</f>
        <v>0.0163318517780003</v>
      </c>
      <c r="U676" s="54" t="n">
        <f aca="true">RAND()</f>
        <v>0.602264788714496</v>
      </c>
    </row>
    <row r="677" customFormat="false" ht="15" hidden="false" customHeight="false" outlineLevel="0" collapsed="false">
      <c r="A677" s="50" t="n">
        <v>597</v>
      </c>
      <c r="B677" s="51" t="n">
        <f aca="false">1+IF($G$6=$E$6,$F$6,IF(P677&lt;($F$6-$E$6)/($G$6-$E$6),$E$6+SQRT(P677*($G$6-$E$6)*($F$6-$E$6)),$G$6-SQRT((1-P677)*($G$6-$E$6)*($G$6-$F$6))))</f>
        <v>1.01697413329265</v>
      </c>
      <c r="C677" s="51" t="n">
        <f aca="false">1+IF($G$7=$E$7,$F$7,IF(Q677&lt;($F$7-$E$7)/($G$7-$E$7),$E$7+SQRT(Q677*($G$7-$E$7)*($F$7-$E$7)),$G$7-SQRT((1-Q677)*($G$7-$E$7)*($G$7-$F$7))))</f>
        <v>0.783778251681855</v>
      </c>
      <c r="D677" s="51" t="n">
        <f aca="false">1+IF($G$8=$E$8,$F$8,IF(R677&lt;($F$8-$E$8)/($G$8-$E$8),$E$8+SQRT(R677*($G$8-$E$8)*($F$8-$E$8)),$G$8-SQRT((1-R677)*($G$8-$E$8)*($G$8-$F$8))))</f>
        <v>1.05313757409351</v>
      </c>
      <c r="E677" s="51" t="n">
        <f aca="false">1+IF($G$9=$E$9,$F$9,IF(S677&lt;($F$9-$E$9)/($G$9-$E$9),$E$9+SQRT(S677*($G$9-$E$9)*($F$9-$E$9)),$G$9-SQRT((1-S677)*($G$9-$E$9)*($G$9-$F$9))))</f>
        <v>0.981114456343846</v>
      </c>
      <c r="F677" s="51" t="n">
        <f aca="false">1+IF($G$10=$E$10,$F$10,IF(T677&lt;($F$10-$E$10)/($G$10-$E$10),$E$10+SQRT(T677*($G$10-$E$10)*($F$10-$E$10)),$G$10-SQRT((1-T677)*($G$10-$E$10)*($G$10-$F$10))))</f>
        <v>1.02475843496075</v>
      </c>
      <c r="G677" s="52" t="n">
        <f aca="false">IF($G$11=$E$11,$F$11,IF(U677&lt;($F$11-$E$11)/($G$11-$E$11),$E$11+SQRT(U677*($G$11-$E$11)*($F$11-$E$11)),$G$11-SQRT((1-U677)*($G$11-$E$11)*($G$11-$F$11))))</f>
        <v>0.105014586742504</v>
      </c>
      <c r="H677" s="53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-2049516869.9215</v>
      </c>
      <c r="I677" s="53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-52995587.5430207</v>
      </c>
      <c r="J677" s="53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177319885.775101</v>
      </c>
      <c r="K677" s="53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458873280.84126</v>
      </c>
      <c r="L677" s="53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563192266.39595</v>
      </c>
      <c r="M677" s="53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714701652.530185</v>
      </c>
      <c r="N677" s="53" t="n">
        <f aca="false">IF(COUNT('Business Case'!B11:G11)=0,"",H677+NPV(G677,I677:M677))</f>
        <v>-800643795.472522</v>
      </c>
      <c r="P677" s="54" t="n">
        <f aca="true">RAND()</f>
        <v>0.854572283763792</v>
      </c>
      <c r="Q677" s="54" t="n">
        <f aca="true">RAND()</f>
        <v>0.0519910774434682</v>
      </c>
      <c r="R677" s="54" t="n">
        <f aca="true">RAND()</f>
        <v>0.853594202543901</v>
      </c>
      <c r="S677" s="54" t="n">
        <f aca="true">RAND()</f>
        <v>0.263182201118306</v>
      </c>
      <c r="T677" s="54" t="n">
        <f aca="true">RAND()</f>
        <v>0.323549831715578</v>
      </c>
      <c r="U677" s="54" t="n">
        <f aca="true">RAND()</f>
        <v>0.583819416234776</v>
      </c>
    </row>
    <row r="678" customFormat="false" ht="15" hidden="false" customHeight="false" outlineLevel="0" collapsed="false">
      <c r="A678" s="50" t="n">
        <v>598</v>
      </c>
      <c r="B678" s="51" t="n">
        <f aca="false">1+IF($G$6=$E$6,$F$6,IF(P678&lt;($F$6-$E$6)/($G$6-$E$6),$E$6+SQRT(P678*($G$6-$E$6)*($F$6-$E$6)),$G$6-SQRT((1-P678)*($G$6-$E$6)*($G$6-$F$6))))</f>
        <v>0.93203607856654</v>
      </c>
      <c r="C678" s="51" t="n">
        <f aca="false">1+IF($G$7=$E$7,$F$7,IF(Q678&lt;($F$7-$E$7)/($G$7-$E$7),$E$7+SQRT(Q678*($G$7-$E$7)*($F$7-$E$7)),$G$7-SQRT((1-Q678)*($G$7-$E$7)*($G$7-$F$7))))</f>
        <v>1.10034684164841</v>
      </c>
      <c r="D678" s="51" t="n">
        <f aca="false">1+IF($G$8=$E$8,$F$8,IF(R678&lt;($F$8-$E$8)/($G$8-$E$8),$E$8+SQRT(R678*($G$8-$E$8)*($F$8-$E$8)),$G$8-SQRT((1-R678)*($G$8-$E$8)*($G$8-$F$8))))</f>
        <v>1.0338718782755</v>
      </c>
      <c r="E678" s="51" t="n">
        <f aca="false">1+IF($G$9=$E$9,$F$9,IF(S678&lt;($F$9-$E$9)/($G$9-$E$9),$E$9+SQRT(S678*($G$9-$E$9)*($F$9-$E$9)),$G$9-SQRT((1-S678)*($G$9-$E$9)*($G$9-$F$9))))</f>
        <v>1.08284801030615</v>
      </c>
      <c r="F678" s="51" t="n">
        <f aca="false">1+IF($G$10=$E$10,$F$10,IF(T678&lt;($F$10-$E$10)/($G$10-$E$10),$E$10+SQRT(T678*($G$10-$E$10)*($F$10-$E$10)),$G$10-SQRT((1-T678)*($G$10-$E$10)*($G$10-$F$10))))</f>
        <v>1.07650633935727</v>
      </c>
      <c r="G678" s="52" t="n">
        <f aca="false">IF($G$11=$E$11,$F$11,IF(U678&lt;($F$11-$E$11)/($G$11-$E$11),$E$11+SQRT(U678*($G$11-$E$11)*($F$11-$E$11)),$G$11-SQRT((1-U678)*($G$11-$E$11)*($G$11-$F$11))))</f>
        <v>0.0987164042425838</v>
      </c>
      <c r="H678" s="53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-2153012678.71453</v>
      </c>
      <c r="I678" s="53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-57156134.0632806</v>
      </c>
      <c r="J678" s="53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200484536.480202</v>
      </c>
      <c r="K678" s="53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511950523.991547</v>
      </c>
      <c r="L678" s="53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633274203.243043</v>
      </c>
      <c r="M678" s="53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828213209.796552</v>
      </c>
      <c r="N678" s="53" t="n">
        <f aca="false">IF(COUNT('Business Case'!B11:G11)=0,"",H678+NPV(G678,I678:M678))</f>
        <v>-701144958.513624</v>
      </c>
      <c r="P678" s="54" t="n">
        <f aca="true">RAND()</f>
        <v>0.0684206886614353</v>
      </c>
      <c r="Q678" s="54" t="n">
        <f aca="true">RAND()</f>
        <v>0.963475020232762</v>
      </c>
      <c r="R678" s="54" t="n">
        <f aca="true">RAND()</f>
        <v>0.708471434479335</v>
      </c>
      <c r="S678" s="54" t="n">
        <f aca="true">RAND()</f>
        <v>0.879749607470839</v>
      </c>
      <c r="T678" s="54" t="n">
        <f aca="true">RAND()</f>
        <v>0.598665996223781</v>
      </c>
      <c r="U678" s="54" t="n">
        <f aca="true">RAND()</f>
        <v>0.350303787771808</v>
      </c>
    </row>
    <row r="679" customFormat="false" ht="15" hidden="false" customHeight="false" outlineLevel="0" collapsed="false">
      <c r="A679" s="50" t="n">
        <v>599</v>
      </c>
      <c r="B679" s="51" t="n">
        <f aca="false">1+IF($G$6=$E$6,$F$6,IF(P679&lt;($F$6-$E$6)/($G$6-$E$6),$E$6+SQRT(P679*($G$6-$E$6)*($F$6-$E$6)),$G$6-SQRT((1-P679)*($G$6-$E$6)*($G$6-$F$6))))</f>
        <v>0.945030614100674</v>
      </c>
      <c r="C679" s="51" t="n">
        <f aca="false">1+IF($G$7=$E$7,$F$7,IF(Q679&lt;($F$7-$E$7)/($G$7-$E$7),$E$7+SQRT(Q679*($G$7-$E$7)*($F$7-$E$7)),$G$7-SQRT((1-Q679)*($G$7-$E$7)*($G$7-$F$7))))</f>
        <v>0.982401745817222</v>
      </c>
      <c r="D679" s="51" t="n">
        <f aca="false">1+IF($G$8=$E$8,$F$8,IF(R679&lt;($F$8-$E$8)/($G$8-$E$8),$E$8+SQRT(R679*($G$8-$E$8)*($F$8-$E$8)),$G$8-SQRT((1-R679)*($G$8-$E$8)*($G$8-$F$8))))</f>
        <v>1.02978516503527</v>
      </c>
      <c r="E679" s="51" t="n">
        <f aca="false">1+IF($G$9=$E$9,$F$9,IF(S679&lt;($F$9-$E$9)/($G$9-$E$9),$E$9+SQRT(S679*($G$9-$E$9)*($F$9-$E$9)),$G$9-SQRT((1-S679)*($G$9-$E$9)*($G$9-$F$9))))</f>
        <v>1.00777916457023</v>
      </c>
      <c r="F679" s="51" t="n">
        <f aca="false">1+IF($G$10=$E$10,$F$10,IF(T679&lt;($F$10-$E$10)/($G$10-$E$10),$E$10+SQRT(T679*($G$10-$E$10)*($F$10-$E$10)),$G$10-SQRT((1-T679)*($G$10-$E$10)*($G$10-$F$10))))</f>
        <v>1.15407171430763</v>
      </c>
      <c r="G679" s="52" t="n">
        <f aca="false">IF($G$11=$E$11,$F$11,IF(U679&lt;($F$11-$E$11)/($G$11-$E$11),$E$11+SQRT(U679*($G$11-$E$11)*($F$11-$E$11)),$G$11-SQRT((1-U679)*($G$11-$E$11)*($G$11-$F$11))))</f>
        <v>0.0859719507485092</v>
      </c>
      <c r="H679" s="53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-2308143428.61526</v>
      </c>
      <c r="I679" s="53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-64305782.5930791</v>
      </c>
      <c r="J679" s="53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178230045.197916</v>
      </c>
      <c r="K679" s="53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478469458.704293</v>
      </c>
      <c r="L679" s="53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591400229.135575</v>
      </c>
      <c r="M679" s="53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767870448.890799</v>
      </c>
      <c r="N679" s="53" t="n">
        <f aca="false">IF(COUNT('Business Case'!B11:G11)=0,"",H679+NPV(G679,I679:M679))</f>
        <v>-909037032.23038</v>
      </c>
      <c r="P679" s="54" t="n">
        <f aca="true">RAND()</f>
        <v>0.135183747085589</v>
      </c>
      <c r="Q679" s="54" t="n">
        <f aca="true">RAND()</f>
        <v>0.590746266967519</v>
      </c>
      <c r="R679" s="54" t="n">
        <f aca="true">RAND()</f>
        <v>0.671325130058388</v>
      </c>
      <c r="S679" s="54" t="n">
        <f aca="true">RAND()</f>
        <v>0.46061957252424</v>
      </c>
      <c r="T679" s="54" t="n">
        <f aca="true">RAND()</f>
        <v>0.877303520054969</v>
      </c>
      <c r="U679" s="54" t="n">
        <f aca="true">RAND()</f>
        <v>0.0356641957426198</v>
      </c>
    </row>
    <row r="680" customFormat="false" ht="15" hidden="false" customHeight="false" outlineLevel="0" collapsed="false">
      <c r="A680" s="50" t="n">
        <v>600</v>
      </c>
      <c r="B680" s="51" t="n">
        <f aca="false">1+IF($G$6=$E$6,$F$6,IF(P680&lt;($F$6-$E$6)/($G$6-$E$6),$E$6+SQRT(P680*($G$6-$E$6)*($F$6-$E$6)),$G$6-SQRT((1-P680)*($G$6-$E$6)*($G$6-$F$6))))</f>
        <v>0.933947845734323</v>
      </c>
      <c r="C680" s="51" t="n">
        <f aca="false">1+IF($G$7=$E$7,$F$7,IF(Q680&lt;($F$7-$E$7)/($G$7-$E$7),$E$7+SQRT(Q680*($G$7-$E$7)*($F$7-$E$7)),$G$7-SQRT((1-Q680)*($G$7-$E$7)*($G$7-$F$7))))</f>
        <v>1.07931921390763</v>
      </c>
      <c r="D680" s="51" t="n">
        <f aca="false">1+IF($G$8=$E$8,$F$8,IF(R680&lt;($F$8-$E$8)/($G$8-$E$8),$E$8+SQRT(R680*($G$8-$E$8)*($F$8-$E$8)),$G$8-SQRT((1-R680)*($G$8-$E$8)*($G$8-$F$8))))</f>
        <v>0.99576514304499</v>
      </c>
      <c r="E680" s="51" t="n">
        <f aca="false">1+IF($G$9=$E$9,$F$9,IF(S680&lt;($F$9-$E$9)/($G$9-$E$9),$E$9+SQRT(S680*($G$9-$E$9)*($F$9-$E$9)),$G$9-SQRT((1-S680)*($G$9-$E$9)*($G$9-$F$9))))</f>
        <v>1.01885990430359</v>
      </c>
      <c r="F680" s="51" t="n">
        <f aca="false">1+IF($G$10=$E$10,$F$10,IF(T680&lt;($F$10-$E$10)/($G$10-$E$10),$E$10+SQRT(T680*($G$10-$E$10)*($F$10-$E$10)),$G$10-SQRT((1-T680)*($G$10-$E$10)*($G$10-$F$10))))</f>
        <v>1.05361767747632</v>
      </c>
      <c r="G680" s="52" t="n">
        <f aca="false">IF($G$11=$E$11,$F$11,IF(U680&lt;($F$11-$E$11)/($G$11-$E$11),$E$11+SQRT(U680*($G$11-$E$11)*($F$11-$E$11)),$G$11-SQRT((1-U680)*($G$11-$E$11)*($G$11-$F$11))))</f>
        <v>0.101266949003606</v>
      </c>
      <c r="H680" s="53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-2107235354.95263</v>
      </c>
      <c r="I680" s="53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-27037646.3860756</v>
      </c>
      <c r="J680" s="53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248424517.354513</v>
      </c>
      <c r="K680" s="53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576567564.968916</v>
      </c>
      <c r="L680" s="53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703225728.873821</v>
      </c>
      <c r="M680" s="53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894831663.493048</v>
      </c>
      <c r="N680" s="53" t="n">
        <f aca="false">IF(COUNT('Business Case'!B11:G11)=0,"",H680+NPV(G680,I680:M680))</f>
        <v>-464721461.872015</v>
      </c>
      <c r="P680" s="54" t="n">
        <f aca="true">RAND()</f>
        <v>0.0768304153334241</v>
      </c>
      <c r="Q680" s="54" t="n">
        <f aca="true">RAND()</f>
        <v>0.925988540405406</v>
      </c>
      <c r="R680" s="54" t="n">
        <f aca="true">RAND()</f>
        <v>0.279259775723789</v>
      </c>
      <c r="S680" s="54" t="n">
        <f aca="true">RAND()</f>
        <v>0.54139400801962</v>
      </c>
      <c r="T680" s="54" t="n">
        <f aca="true">RAND()</f>
        <v>0.485786445336055</v>
      </c>
      <c r="U680" s="54" t="n">
        <f aca="true">RAND()</f>
        <v>0.449607853625734</v>
      </c>
    </row>
    <row r="681" customFormat="false" ht="15" hidden="false" customHeight="false" outlineLevel="0" collapsed="false">
      <c r="A681" s="50" t="n">
        <v>601</v>
      </c>
      <c r="B681" s="51" t="n">
        <f aca="false">1+IF($G$6=$E$6,$F$6,IF(P681&lt;($F$6-$E$6)/($G$6-$E$6),$E$6+SQRT(P681*($G$6-$E$6)*($F$6-$E$6)),$G$6-SQRT((1-P681)*($G$6-$E$6)*($G$6-$F$6))))</f>
        <v>0.99728083353802</v>
      </c>
      <c r="C681" s="51" t="n">
        <f aca="false">1+IF($G$7=$E$7,$F$7,IF(Q681&lt;($F$7-$E$7)/($G$7-$E$7),$E$7+SQRT(Q681*($G$7-$E$7)*($F$7-$E$7)),$G$7-SQRT((1-Q681)*($G$7-$E$7)*($G$7-$F$7))))</f>
        <v>0.941915706185366</v>
      </c>
      <c r="D681" s="51" t="n">
        <f aca="false">1+IF($G$8=$E$8,$F$8,IF(R681&lt;($F$8-$E$8)/($G$8-$E$8),$E$8+SQRT(R681*($G$8-$E$8)*($F$8-$E$8)),$G$8-SQRT((1-R681)*($G$8-$E$8)*($G$8-$F$8))))</f>
        <v>1.019525119325</v>
      </c>
      <c r="E681" s="51" t="n">
        <f aca="false">1+IF($G$9=$E$9,$F$9,IF(S681&lt;($F$9-$E$9)/($G$9-$E$9),$E$9+SQRT(S681*($G$9-$E$9)*($F$9-$E$9)),$G$9-SQRT((1-S681)*($G$9-$E$9)*($G$9-$F$9))))</f>
        <v>0.93090349134834</v>
      </c>
      <c r="F681" s="51" t="n">
        <f aca="false">1+IF($G$10=$E$10,$F$10,IF(T681&lt;($F$10-$E$10)/($G$10-$E$10),$E$10+SQRT(T681*($G$10-$E$10)*($F$10-$E$10)),$G$10-SQRT((1-T681)*($G$10-$E$10)*($G$10-$F$10))))</f>
        <v>1.16689105828869</v>
      </c>
      <c r="G681" s="52" t="n">
        <f aca="false">IF($G$11=$E$11,$F$11,IF(U681&lt;($F$11-$E$11)/($G$11-$E$11),$E$11+SQRT(U681*($G$11-$E$11)*($F$11-$E$11)),$G$11-SQRT((1-U681)*($G$11-$E$11)*($G$11-$F$11))))</f>
        <v>0.0999039496095874</v>
      </c>
      <c r="H681" s="53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-2333782116.57737</v>
      </c>
      <c r="I681" s="53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-19960982.9552617</v>
      </c>
      <c r="J681" s="53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257837752.661714</v>
      </c>
      <c r="K681" s="53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593981041.193124</v>
      </c>
      <c r="L681" s="53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719044710.581206</v>
      </c>
      <c r="M681" s="53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897597210.251201</v>
      </c>
      <c r="N681" s="53" t="n">
        <f aca="false">IF(COUNT('Business Case'!B11:G11)=0,"",H681+NPV(G681,I681:M681))</f>
        <v>-643550684.444138</v>
      </c>
      <c r="P681" s="54" t="n">
        <f aca="true">RAND()</f>
        <v>0.630904038256796</v>
      </c>
      <c r="Q681" s="54" t="n">
        <f aca="true">RAND()</f>
        <v>0.43350525110492</v>
      </c>
      <c r="R681" s="54" t="n">
        <f aca="true">RAND()</f>
        <v>0.568252905356303</v>
      </c>
      <c r="S681" s="54" t="n">
        <f aca="true">RAND()</f>
        <v>0.038201031100678</v>
      </c>
      <c r="T681" s="54" t="n">
        <f aca="true">RAND()</f>
        <v>0.90790538410167</v>
      </c>
      <c r="U681" s="54" t="n">
        <f aca="true">RAND()</f>
        <v>0.396167210060993</v>
      </c>
    </row>
    <row r="682" customFormat="false" ht="15" hidden="false" customHeight="false" outlineLevel="0" collapsed="false">
      <c r="A682" s="50" t="n">
        <v>602</v>
      </c>
      <c r="B682" s="51" t="n">
        <f aca="false">1+IF($G$6=$E$6,$F$6,IF(P682&lt;($F$6-$E$6)/($G$6-$E$6),$E$6+SQRT(P682*($G$6-$E$6)*($F$6-$E$6)),$G$6-SQRT((1-P682)*($G$6-$E$6)*($G$6-$F$6))))</f>
        <v>0.984471743058567</v>
      </c>
      <c r="C682" s="51" t="n">
        <f aca="false">1+IF($G$7=$E$7,$F$7,IF(Q682&lt;($F$7-$E$7)/($G$7-$E$7),$E$7+SQRT(Q682*($G$7-$E$7)*($F$7-$E$7)),$G$7-SQRT((1-Q682)*($G$7-$E$7)*($G$7-$F$7))))</f>
        <v>0.920923430121522</v>
      </c>
      <c r="D682" s="51" t="n">
        <f aca="false">1+IF($G$8=$E$8,$F$8,IF(R682&lt;($F$8-$E$8)/($G$8-$E$8),$E$8+SQRT(R682*($G$8-$E$8)*($F$8-$E$8)),$G$8-SQRT((1-R682)*($G$8-$E$8)*($G$8-$F$8))))</f>
        <v>1.03896500653219</v>
      </c>
      <c r="E682" s="51" t="n">
        <f aca="false">1+IF($G$9=$E$9,$F$9,IF(S682&lt;($F$9-$E$9)/($G$9-$E$9),$E$9+SQRT(S682*($G$9-$E$9)*($F$9-$E$9)),$G$9-SQRT((1-S682)*($G$9-$E$9)*($G$9-$F$9))))</f>
        <v>0.985757682135659</v>
      </c>
      <c r="F682" s="51" t="n">
        <f aca="false">1+IF($G$10=$E$10,$F$10,IF(T682&lt;($F$10-$E$10)/($G$10-$E$10),$E$10+SQRT(T682*($G$10-$E$10)*($F$10-$E$10)),$G$10-SQRT((1-T682)*($G$10-$E$10)*($G$10-$F$10))))</f>
        <v>1.01060342253612</v>
      </c>
      <c r="G682" s="52" t="n">
        <f aca="false">IF($G$11=$E$11,$F$11,IF(U682&lt;($F$11-$E$11)/($G$11-$E$11),$E$11+SQRT(U682*($G$11-$E$11)*($F$11-$E$11)),$G$11-SQRT((1-U682)*($G$11-$E$11)*($G$11-$F$11))))</f>
        <v>0.112193390941149</v>
      </c>
      <c r="H682" s="53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-2021206845.07223</v>
      </c>
      <c r="I682" s="53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-35453585.4625186</v>
      </c>
      <c r="J682" s="53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217327254.94586</v>
      </c>
      <c r="K682" s="53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520638266.481045</v>
      </c>
      <c r="L682" s="53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636231440.762234</v>
      </c>
      <c r="M682" s="53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808562358.560082</v>
      </c>
      <c r="N682" s="53" t="n">
        <f aca="false">IF(COUNT('Business Case'!B11:G11)=0,"",H682+NPV(G682,I682:M682))</f>
        <v>-608014543.961392</v>
      </c>
      <c r="P682" s="54" t="n">
        <f aca="true">RAND()</f>
        <v>0.475698358356836</v>
      </c>
      <c r="Q682" s="54" t="n">
        <f aca="true">RAND()</f>
        <v>0.361534533160436</v>
      </c>
      <c r="R682" s="54" t="n">
        <f aca="true">RAND()</f>
        <v>0.751648638158923</v>
      </c>
      <c r="S682" s="54" t="n">
        <f aca="true">RAND()</f>
        <v>0.294175201811227</v>
      </c>
      <c r="T682" s="54" t="n">
        <f aca="true">RAND()</f>
        <v>0.235857049314385</v>
      </c>
      <c r="U682" s="54" t="n">
        <f aca="true">RAND()</f>
        <v>0.788616449216831</v>
      </c>
    </row>
    <row r="683" customFormat="false" ht="15" hidden="false" customHeight="false" outlineLevel="0" collapsed="false">
      <c r="A683" s="50" t="n">
        <v>603</v>
      </c>
      <c r="B683" s="51" t="n">
        <f aca="false">1+IF($G$6=$E$6,$F$6,IF(P683&lt;($F$6-$E$6)/($G$6-$E$6),$E$6+SQRT(P683*($G$6-$E$6)*($F$6-$E$6)),$G$6-SQRT((1-P683)*($G$6-$E$6)*($G$6-$F$6))))</f>
        <v>0.956053239955786</v>
      </c>
      <c r="C683" s="51" t="n">
        <f aca="false">1+IF($G$7=$E$7,$F$7,IF(Q683&lt;($F$7-$E$7)/($G$7-$E$7),$E$7+SQRT(Q683*($G$7-$E$7)*($F$7-$E$7)),$G$7-SQRT((1-Q683)*($G$7-$E$7)*($G$7-$F$7))))</f>
        <v>1.02020224935713</v>
      </c>
      <c r="D683" s="51" t="n">
        <f aca="false">1+IF($G$8=$E$8,$F$8,IF(R683&lt;($F$8-$E$8)/($G$8-$E$8),$E$8+SQRT(R683*($G$8-$E$8)*($F$8-$E$8)),$G$8-SQRT((1-R683)*($G$8-$E$8)*($G$8-$F$8))))</f>
        <v>0.978035387816542</v>
      </c>
      <c r="E683" s="51" t="n">
        <f aca="false">1+IF($G$9=$E$9,$F$9,IF(S683&lt;($F$9-$E$9)/($G$9-$E$9),$E$9+SQRT(S683*($G$9-$E$9)*($F$9-$E$9)),$G$9-SQRT((1-S683)*($G$9-$E$9)*($G$9-$F$9))))</f>
        <v>1.03212324218488</v>
      </c>
      <c r="F683" s="51" t="n">
        <f aca="false">1+IF($G$10=$E$10,$F$10,IF(T683&lt;($F$10-$E$10)/($G$10-$E$10),$E$10+SQRT(T683*($G$10-$E$10)*($F$10-$E$10)),$G$10-SQRT((1-T683)*($G$10-$E$10)*($G$10-$F$10))))</f>
        <v>1.00889506510562</v>
      </c>
      <c r="G683" s="52" t="n">
        <f aca="false">IF($G$11=$E$11,$F$11,IF(U683&lt;($F$11-$E$11)/($G$11-$E$11),$E$11+SQRT(U683*($G$11-$E$11)*($F$11-$E$11)),$G$11-SQRT((1-U683)*($G$11-$E$11)*($G$11-$F$11))))</f>
        <v>0.10196715288198</v>
      </c>
      <c r="H683" s="53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-2017790130.21125</v>
      </c>
      <c r="I683" s="53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-10114801.1189372</v>
      </c>
      <c r="J683" s="53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277990889.112052</v>
      </c>
      <c r="K683" s="53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616541332.598322</v>
      </c>
      <c r="L683" s="53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746285269.2091</v>
      </c>
      <c r="M683" s="53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931683155.144905</v>
      </c>
      <c r="N683" s="53" t="n">
        <f aca="false">IF(COUNT('Business Case'!B11:G11)=0,"",H683+NPV(G683,I683:M683))</f>
        <v>-257853847.015036</v>
      </c>
      <c r="P683" s="54" t="n">
        <f aca="true">RAND()</f>
        <v>0.209464380636065</v>
      </c>
      <c r="Q683" s="54" t="n">
        <f aca="true">RAND()</f>
        <v>0.750408058193354</v>
      </c>
      <c r="R683" s="54" t="n">
        <f aca="true">RAND()</f>
        <v>0.104797729336521</v>
      </c>
      <c r="S683" s="54" t="n">
        <f aca="true">RAND()</f>
        <v>0.629468532453199</v>
      </c>
      <c r="T683" s="54" t="n">
        <f aca="true">RAND()</f>
        <v>0.224912138261049</v>
      </c>
      <c r="U683" s="54" t="n">
        <f aca="true">RAND()</f>
        <v>0.476106321638482</v>
      </c>
    </row>
    <row r="684" customFormat="false" ht="15" hidden="false" customHeight="false" outlineLevel="0" collapsed="false">
      <c r="A684" s="50" t="n">
        <v>604</v>
      </c>
      <c r="B684" s="51" t="n">
        <f aca="false">1+IF($G$6=$E$6,$F$6,IF(P684&lt;($F$6-$E$6)/($G$6-$E$6),$E$6+SQRT(P684*($G$6-$E$6)*($F$6-$E$6)),$G$6-SQRT((1-P684)*($G$6-$E$6)*($G$6-$F$6))))</f>
        <v>0.972364004291324</v>
      </c>
      <c r="C684" s="51" t="n">
        <f aca="false">1+IF($G$7=$E$7,$F$7,IF(Q684&lt;($F$7-$E$7)/($G$7-$E$7),$E$7+SQRT(Q684*($G$7-$E$7)*($F$7-$E$7)),$G$7-SQRT((1-Q684)*($G$7-$E$7)*($G$7-$F$7))))</f>
        <v>1.07837000394736</v>
      </c>
      <c r="D684" s="51" t="n">
        <f aca="false">1+IF($G$8=$E$8,$F$8,IF(R684&lt;($F$8-$E$8)/($G$8-$E$8),$E$8+SQRT(R684*($G$8-$E$8)*($F$8-$E$8)),$G$8-SQRT((1-R684)*($G$8-$E$8)*($G$8-$F$8))))</f>
        <v>1.00623335967912</v>
      </c>
      <c r="E684" s="51" t="n">
        <f aca="false">1+IF($G$9=$E$9,$F$9,IF(S684&lt;($F$9-$E$9)/($G$9-$E$9),$E$9+SQRT(S684*($G$9-$E$9)*($F$9-$E$9)),$G$9-SQRT((1-S684)*($G$9-$E$9)*($G$9-$F$9))))</f>
        <v>1.05179614909597</v>
      </c>
      <c r="F684" s="51" t="n">
        <f aca="false">1+IF($G$10=$E$10,$F$10,IF(T684&lt;($F$10-$E$10)/($G$10-$E$10),$E$10+SQRT(T684*($G$10-$E$10)*($F$10-$E$10)),$G$10-SQRT((1-T684)*($G$10-$E$10)*($G$10-$F$10))))</f>
        <v>1.01476154035053</v>
      </c>
      <c r="G684" s="52" t="n">
        <f aca="false">IF($G$11=$E$11,$F$11,IF(U684&lt;($F$11-$E$11)/($G$11-$E$11),$E$11+SQRT(U684*($G$11-$E$11)*($F$11-$E$11)),$G$11-SQRT((1-U684)*($G$11-$E$11)*($G$11-$F$11))))</f>
        <v>0.11669956446183</v>
      </c>
      <c r="H684" s="53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-2029523080.70107</v>
      </c>
      <c r="I684" s="53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-2026739.42235011</v>
      </c>
      <c r="J684" s="53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301345861.791365</v>
      </c>
      <c r="K684" s="53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655456540.022606</v>
      </c>
      <c r="L684" s="53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792819256.56022</v>
      </c>
      <c r="M684" s="53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992131095.291954</v>
      </c>
      <c r="N684" s="53" t="n">
        <f aca="false">IF(COUNT('Business Case'!B11:G11)=0,"",H684+NPV(G684,I684:M684))</f>
        <v>-237830541.603764</v>
      </c>
      <c r="P684" s="54" t="n">
        <f aca="true">RAND()</f>
        <v>0.349103274471651</v>
      </c>
      <c r="Q684" s="54" t="n">
        <f aca="true">RAND()</f>
        <v>0.923987313562947</v>
      </c>
      <c r="R684" s="54" t="n">
        <f aca="true">RAND()</f>
        <v>0.413854477528945</v>
      </c>
      <c r="S684" s="54" t="n">
        <f aca="true">RAND()</f>
        <v>0.742826764469861</v>
      </c>
      <c r="T684" s="54" t="n">
        <f aca="true">RAND()</f>
        <v>0.262171561356623</v>
      </c>
      <c r="U684" s="54" t="n">
        <f aca="true">RAND()</f>
        <v>0.882065609663326</v>
      </c>
    </row>
    <row r="685" customFormat="false" ht="15" hidden="false" customHeight="false" outlineLevel="0" collapsed="false">
      <c r="A685" s="50" t="n">
        <v>605</v>
      </c>
      <c r="B685" s="51" t="n">
        <f aca="false">1+IF($G$6=$E$6,$F$6,IF(P685&lt;($F$6-$E$6)/($G$6-$E$6),$E$6+SQRT(P685*($G$6-$E$6)*($F$6-$E$6)),$G$6-SQRT((1-P685)*($G$6-$E$6)*($G$6-$F$6))))</f>
        <v>1.00985765312833</v>
      </c>
      <c r="C685" s="51" t="n">
        <f aca="false">1+IF($G$7=$E$7,$F$7,IF(Q685&lt;($F$7-$E$7)/($G$7-$E$7),$E$7+SQRT(Q685*($G$7-$E$7)*($F$7-$E$7)),$G$7-SQRT((1-Q685)*($G$7-$E$7)*($G$7-$F$7))))</f>
        <v>0.739224074481923</v>
      </c>
      <c r="D685" s="51" t="n">
        <f aca="false">1+IF($G$8=$E$8,$F$8,IF(R685&lt;($F$8-$E$8)/($G$8-$E$8),$E$8+SQRT(R685*($G$8-$E$8)*($F$8-$E$8)),$G$8-SQRT((1-R685)*($G$8-$E$8)*($G$8-$F$8))))</f>
        <v>0.973820784218523</v>
      </c>
      <c r="E685" s="51" t="n">
        <f aca="false">1+IF($G$9=$E$9,$F$9,IF(S685&lt;($F$9-$E$9)/($G$9-$E$9),$E$9+SQRT(S685*($G$9-$E$9)*($F$9-$E$9)),$G$9-SQRT((1-S685)*($G$9-$E$9)*($G$9-$F$9))))</f>
        <v>1.10076855514858</v>
      </c>
      <c r="F685" s="51" t="n">
        <f aca="false">1+IF($G$10=$E$10,$F$10,IF(T685&lt;($F$10-$E$10)/($G$10-$E$10),$E$10+SQRT(T685*($G$10-$E$10)*($F$10-$E$10)),$G$10-SQRT((1-T685)*($G$10-$E$10)*($G$10-$F$10))))</f>
        <v>1.16637864714075</v>
      </c>
      <c r="G685" s="52" t="n">
        <f aca="false">IF($G$11=$E$11,$F$11,IF(U685&lt;($F$11-$E$11)/($G$11-$E$11),$E$11+SQRT(U685*($G$11-$E$11)*($F$11-$E$11)),$G$11-SQRT((1-U685)*($G$11-$E$11)*($G$11-$F$11))))</f>
        <v>0.123924435182014</v>
      </c>
      <c r="H685" s="53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-2332757294.28149</v>
      </c>
      <c r="I685" s="53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-68936712.8627508</v>
      </c>
      <c r="J685" s="53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173992862.384061</v>
      </c>
      <c r="K685" s="53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475241369.987911</v>
      </c>
      <c r="L685" s="53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582017318.305754</v>
      </c>
      <c r="M685" s="53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723914146.101405</v>
      </c>
      <c r="N685" s="53" t="n">
        <f aca="false">IF(COUNT('Business Case'!B11:G11)=0,"",H685+NPV(G685,I685:M685))</f>
        <v>-1153227361.58957</v>
      </c>
      <c r="P685" s="54" t="n">
        <f aca="true">RAND()</f>
        <v>0.785145598351227</v>
      </c>
      <c r="Q685" s="54" t="n">
        <f aca="true">RAND()</f>
        <v>0.0113965038441735</v>
      </c>
      <c r="R685" s="54" t="n">
        <f aca="true">RAND()</f>
        <v>0.075657301438059</v>
      </c>
      <c r="S685" s="54" t="n">
        <f aca="true">RAND()</f>
        <v>0.935367062342453</v>
      </c>
      <c r="T685" s="54" t="n">
        <f aca="true">RAND()</f>
        <v>0.90676625794651</v>
      </c>
      <c r="U685" s="54" t="n">
        <f aca="true">RAND()</f>
        <v>0.975391674761634</v>
      </c>
    </row>
    <row r="686" customFormat="false" ht="15" hidden="false" customHeight="false" outlineLevel="0" collapsed="false">
      <c r="A686" s="50" t="n">
        <v>606</v>
      </c>
      <c r="B686" s="51" t="n">
        <f aca="false">1+IF($G$6=$E$6,$F$6,IF(P686&lt;($F$6-$E$6)/($G$6-$E$6),$E$6+SQRT(P686*($G$6-$E$6)*($F$6-$E$6)),$G$6-SQRT((1-P686)*($G$6-$E$6)*($G$6-$F$6))))</f>
        <v>1.0159444716194</v>
      </c>
      <c r="C686" s="51" t="n">
        <f aca="false">1+IF($G$7=$E$7,$F$7,IF(Q686&lt;($F$7-$E$7)/($G$7-$E$7),$E$7+SQRT(Q686*($G$7-$E$7)*($F$7-$E$7)),$G$7-SQRT((1-Q686)*($G$7-$E$7)*($G$7-$F$7))))</f>
        <v>0.99034984645959</v>
      </c>
      <c r="D686" s="51" t="n">
        <f aca="false">1+IF($G$8=$E$8,$F$8,IF(R686&lt;($F$8-$E$8)/($G$8-$E$8),$E$8+SQRT(R686*($G$8-$E$8)*($F$8-$E$8)),$G$8-SQRT((1-R686)*($G$8-$E$8)*($G$8-$F$8))))</f>
        <v>0.967750469087652</v>
      </c>
      <c r="E686" s="51" t="n">
        <f aca="false">1+IF($G$9=$E$9,$F$9,IF(S686&lt;($F$9-$E$9)/($G$9-$E$9),$E$9+SQRT(S686*($G$9-$E$9)*($F$9-$E$9)),$G$9-SQRT((1-S686)*($G$9-$E$9)*($G$9-$F$9))))</f>
        <v>1.08977289282853</v>
      </c>
      <c r="F686" s="51" t="n">
        <f aca="false">1+IF($G$10=$E$10,$F$10,IF(T686&lt;($F$10-$E$10)/($G$10-$E$10),$E$10+SQRT(T686*($G$10-$E$10)*($F$10-$E$10)),$G$10-SQRT((1-T686)*($G$10-$E$10)*($G$10-$F$10))))</f>
        <v>0.990965364548366</v>
      </c>
      <c r="G686" s="52" t="n">
        <f aca="false">IF($G$11=$E$11,$F$11,IF(U686&lt;($F$11-$E$11)/($G$11-$E$11),$E$11+SQRT(U686*($G$11-$E$11)*($F$11-$E$11)),$G$11-SQRT((1-U686)*($G$11-$E$11)*($G$11-$F$11))))</f>
        <v>0.106834047045202</v>
      </c>
      <c r="H686" s="53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-1981930729.09673</v>
      </c>
      <c r="I686" s="53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27250879.3991906</v>
      </c>
      <c r="J686" s="53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360722321.618145</v>
      </c>
      <c r="K686" s="53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743742032.064519</v>
      </c>
      <c r="L686" s="53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889671393.473976</v>
      </c>
      <c r="M686" s="53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1080918570.49125</v>
      </c>
      <c r="N686" s="53" t="n">
        <f aca="false">IF(COUNT('Business Case'!B11:G11)=0,"",H686+NPV(G686,I686:M686))</f>
        <v>129122787.04371</v>
      </c>
      <c r="P686" s="54" t="n">
        <f aca="true">RAND()</f>
        <v>0.845362798229124</v>
      </c>
      <c r="Q686" s="54" t="n">
        <f aca="true">RAND()</f>
        <v>0.624466913623019</v>
      </c>
      <c r="R686" s="54" t="n">
        <f aca="true">RAND()</f>
        <v>0.0420105537108911</v>
      </c>
      <c r="S686" s="54" t="n">
        <f aca="true">RAND()</f>
        <v>0.903271881646841</v>
      </c>
      <c r="T686" s="54" t="n">
        <f aca="true">RAND()</f>
        <v>0.111877406172036</v>
      </c>
      <c r="U686" s="54" t="n">
        <f aca="true">RAND()</f>
        <v>0.642225749130709</v>
      </c>
    </row>
    <row r="687" customFormat="false" ht="15" hidden="false" customHeight="false" outlineLevel="0" collapsed="false">
      <c r="A687" s="50" t="n">
        <v>607</v>
      </c>
      <c r="B687" s="51" t="n">
        <f aca="false">1+IF($G$6=$E$6,$F$6,IF(P687&lt;($F$6-$E$6)/($G$6-$E$6),$E$6+SQRT(P687*($G$6-$E$6)*($F$6-$E$6)),$G$6-SQRT((1-P687)*($G$6-$E$6)*($G$6-$F$6))))</f>
        <v>0.960369809624675</v>
      </c>
      <c r="C687" s="51" t="n">
        <f aca="false">1+IF($G$7=$E$7,$F$7,IF(Q687&lt;($F$7-$E$7)/($G$7-$E$7),$E$7+SQRT(Q687*($G$7-$E$7)*($F$7-$E$7)),$G$7-SQRT((1-Q687)*($G$7-$E$7)*($G$7-$F$7))))</f>
        <v>0.898332532787293</v>
      </c>
      <c r="D687" s="51" t="n">
        <f aca="false">1+IF($G$8=$E$8,$F$8,IF(R687&lt;($F$8-$E$8)/($G$8-$E$8),$E$8+SQRT(R687*($G$8-$E$8)*($F$8-$E$8)),$G$8-SQRT((1-R687)*($G$8-$E$8)*($G$8-$F$8))))</f>
        <v>0.97995732098021</v>
      </c>
      <c r="E687" s="51" t="n">
        <f aca="false">1+IF($G$9=$E$9,$F$9,IF(S687&lt;($F$9-$E$9)/($G$9-$E$9),$E$9+SQRT(S687*($G$9-$E$9)*($F$9-$E$9)),$G$9-SQRT((1-S687)*($G$9-$E$9)*($G$9-$F$9))))</f>
        <v>1.04646399639768</v>
      </c>
      <c r="F687" s="51" t="n">
        <f aca="false">1+IF($G$10=$E$10,$F$10,IF(T687&lt;($F$10-$E$10)/($G$10-$E$10),$E$10+SQRT(T687*($G$10-$E$10)*($F$10-$E$10)),$G$10-SQRT((1-T687)*($G$10-$E$10)*($G$10-$F$10))))</f>
        <v>1.06066687342863</v>
      </c>
      <c r="G687" s="52" t="n">
        <f aca="false">IF($G$11=$E$11,$F$11,IF(U687&lt;($F$11-$E$11)/($G$11-$E$11),$E$11+SQRT(U687*($G$11-$E$11)*($F$11-$E$11)),$G$11-SQRT((1-U687)*($G$11-$E$11)*($G$11-$F$11))))</f>
        <v>0.107552445943623</v>
      </c>
      <c r="H687" s="53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-2121333746.85726</v>
      </c>
      <c r="I687" s="53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-43615972.1694925</v>
      </c>
      <c r="J687" s="53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212365921.322284</v>
      </c>
      <c r="K687" s="53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521381158.485492</v>
      </c>
      <c r="L687" s="53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636524455.003188</v>
      </c>
      <c r="M687" s="53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800512447.782259</v>
      </c>
      <c r="N687" s="53" t="n">
        <f aca="false">IF(COUNT('Business Case'!B11:G11)=0,"",H687+NPV(G687,I687:M687))</f>
        <v>-700473588.644593</v>
      </c>
      <c r="P687" s="54" t="n">
        <f aca="true">RAND()</f>
        <v>0.242967594274636</v>
      </c>
      <c r="Q687" s="54" t="n">
        <f aca="true">RAND()</f>
        <v>0.291376248606093</v>
      </c>
      <c r="R687" s="54" t="n">
        <f aca="true">RAND()</f>
        <v>0.119658810708179</v>
      </c>
      <c r="S687" s="54" t="n">
        <f aca="true">RAND()</f>
        <v>0.714141225548275</v>
      </c>
      <c r="T687" s="54" t="n">
        <f aca="true">RAND()</f>
        <v>0.52203956243614</v>
      </c>
      <c r="U687" s="54" t="n">
        <f aca="true">RAND()</f>
        <v>0.66407154459068</v>
      </c>
    </row>
    <row r="688" customFormat="false" ht="15" hidden="false" customHeight="false" outlineLevel="0" collapsed="false">
      <c r="A688" s="50" t="n">
        <v>608</v>
      </c>
      <c r="B688" s="51" t="n">
        <f aca="false">1+IF($G$6=$E$6,$F$6,IF(P688&lt;($F$6-$E$6)/($G$6-$E$6),$E$6+SQRT(P688*($G$6-$E$6)*($F$6-$E$6)),$G$6-SQRT((1-P688)*($G$6-$E$6)*($G$6-$F$6))))</f>
        <v>1.00992615932856</v>
      </c>
      <c r="C688" s="51" t="n">
        <f aca="false">1+IF($G$7=$E$7,$F$7,IF(Q688&lt;($F$7-$E$7)/($G$7-$E$7),$E$7+SQRT(Q688*($G$7-$E$7)*($F$7-$E$7)),$G$7-SQRT((1-Q688)*($G$7-$E$7)*($G$7-$F$7))))</f>
        <v>0.922354557934209</v>
      </c>
      <c r="D688" s="51" t="n">
        <f aca="false">1+IF($G$8=$E$8,$F$8,IF(R688&lt;($F$8-$E$8)/($G$8-$E$8),$E$8+SQRT(R688*($G$8-$E$8)*($F$8-$E$8)),$G$8-SQRT((1-R688)*($G$8-$E$8)*($G$8-$F$8))))</f>
        <v>0.97146273456234</v>
      </c>
      <c r="E688" s="51" t="n">
        <f aca="false">1+IF($G$9=$E$9,$F$9,IF(S688&lt;($F$9-$E$9)/($G$9-$E$9),$E$9+SQRT(S688*($G$9-$E$9)*($F$9-$E$9)),$G$9-SQRT((1-S688)*($G$9-$E$9)*($G$9-$F$9))))</f>
        <v>1.03996906379644</v>
      </c>
      <c r="F688" s="51" t="n">
        <f aca="false">1+IF($G$10=$E$10,$F$10,IF(T688&lt;($F$10-$E$10)/($G$10-$E$10),$E$10+SQRT(T688*($G$10-$E$10)*($F$10-$E$10)),$G$10-SQRT((1-T688)*($G$10-$E$10)*($G$10-$F$10))))</f>
        <v>1.16211324247479</v>
      </c>
      <c r="G688" s="52" t="n">
        <f aca="false">IF($G$11=$E$11,$F$11,IF(U688&lt;($F$11-$E$11)/($G$11-$E$11),$E$11+SQRT(U688*($G$11-$E$11)*($F$11-$E$11)),$G$11-SQRT((1-U688)*($G$11-$E$11)*($G$11-$F$11))))</f>
        <v>0.113599622253608</v>
      </c>
      <c r="H688" s="53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-2324226484.94957</v>
      </c>
      <c r="I688" s="53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-8107902.5589242</v>
      </c>
      <c r="J688" s="53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296168598.206239</v>
      </c>
      <c r="K688" s="53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658550761.095141</v>
      </c>
      <c r="L688" s="53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792169246.820032</v>
      </c>
      <c r="M688" s="53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969230666.904131</v>
      </c>
      <c r="N688" s="53" t="n">
        <f aca="false">IF(COUNT('Business Case'!B11:G11)=0,"",H688+NPV(G688,I688:M688))</f>
        <v>-534742626.484279</v>
      </c>
      <c r="P688" s="54" t="n">
        <f aca="true">RAND()</f>
        <v>0.785878305845359</v>
      </c>
      <c r="Q688" s="54" t="n">
        <f aca="true">RAND()</f>
        <v>0.366233699511983</v>
      </c>
      <c r="R688" s="54" t="n">
        <f aca="true">RAND()</f>
        <v>0.061419863319131</v>
      </c>
      <c r="S688" s="54" t="n">
        <f aca="true">RAND()</f>
        <v>0.677151815417825</v>
      </c>
      <c r="T688" s="54" t="n">
        <f aca="true">RAND()</f>
        <v>0.897012238022721</v>
      </c>
      <c r="U688" s="54" t="n">
        <f aca="true">RAND()</f>
        <v>0.820685073183777</v>
      </c>
    </row>
    <row r="689" customFormat="false" ht="15" hidden="false" customHeight="false" outlineLevel="0" collapsed="false">
      <c r="A689" s="50" t="n">
        <v>609</v>
      </c>
      <c r="B689" s="51" t="n">
        <f aca="false">1+IF($G$6=$E$6,$F$6,IF(P689&lt;($F$6-$E$6)/($G$6-$E$6),$E$6+SQRT(P689*($G$6-$E$6)*($F$6-$E$6)),$G$6-SQRT((1-P689)*($G$6-$E$6)*($G$6-$F$6))))</f>
        <v>0.982774795650033</v>
      </c>
      <c r="C689" s="51" t="n">
        <f aca="false">1+IF($G$7=$E$7,$F$7,IF(Q689&lt;($F$7-$E$7)/($G$7-$E$7),$E$7+SQRT(Q689*($G$7-$E$7)*($F$7-$E$7)),$G$7-SQRT((1-Q689)*($G$7-$E$7)*($G$7-$F$7))))</f>
        <v>1.02460687770604</v>
      </c>
      <c r="D689" s="51" t="n">
        <f aca="false">1+IF($G$8=$E$8,$F$8,IF(R689&lt;($F$8-$E$8)/($G$8-$E$8),$E$8+SQRT(R689*($G$8-$E$8)*($F$8-$E$8)),$G$8-SQRT((1-R689)*($G$8-$E$8)*($G$8-$F$8))))</f>
        <v>1.05466658618606</v>
      </c>
      <c r="E689" s="51" t="n">
        <f aca="false">1+IF($G$9=$E$9,$F$9,IF(S689&lt;($F$9-$E$9)/($G$9-$E$9),$E$9+SQRT(S689*($G$9-$E$9)*($F$9-$E$9)),$G$9-SQRT((1-S689)*($G$9-$E$9)*($G$9-$F$9))))</f>
        <v>1.04950567486814</v>
      </c>
      <c r="F689" s="51" t="n">
        <f aca="false">1+IF($G$10=$E$10,$F$10,IF(T689&lt;($F$10-$E$10)/($G$10-$E$10),$E$10+SQRT(T689*($G$10-$E$10)*($F$10-$E$10)),$G$10-SQRT((1-T689)*($G$10-$E$10)*($G$10-$F$10))))</f>
        <v>1.01461046432246</v>
      </c>
      <c r="G689" s="52" t="n">
        <f aca="false">IF($G$11=$E$11,$F$11,IF(U689&lt;($F$11-$E$11)/($G$11-$E$11),$E$11+SQRT(U689*($G$11-$E$11)*($F$11-$E$11)),$G$11-SQRT((1-U689)*($G$11-$E$11)*($G$11-$F$11))))</f>
        <v>0.109759784348658</v>
      </c>
      <c r="H689" s="53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-2029220928.64492</v>
      </c>
      <c r="I689" s="53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-31320788.2986403</v>
      </c>
      <c r="J689" s="53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240259869.923514</v>
      </c>
      <c r="K689" s="53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562571051.361791</v>
      </c>
      <c r="L689" s="53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687898399.517375</v>
      </c>
      <c r="M689" s="53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879300940.965806</v>
      </c>
      <c r="N689" s="53" t="n">
        <f aca="false">IF(COUNT('Business Case'!B11:G11)=0,"",H689+NPV(G689,I689:M689))</f>
        <v>-474825186.475432</v>
      </c>
      <c r="P689" s="54" t="n">
        <f aca="true">RAND()</f>
        <v>0.456777786326985</v>
      </c>
      <c r="Q689" s="54" t="n">
        <f aca="true">RAND()</f>
        <v>0.767060220464763</v>
      </c>
      <c r="R689" s="54" t="n">
        <f aca="true">RAND()</f>
        <v>0.862992106131597</v>
      </c>
      <c r="S689" s="54" t="n">
        <f aca="true">RAND()</f>
        <v>0.730690416434432</v>
      </c>
      <c r="T689" s="54" t="n">
        <f aca="true">RAND()</f>
        <v>0.261223553246833</v>
      </c>
      <c r="U689" s="54" t="n">
        <f aca="true">RAND()</f>
        <v>0.726889113591435</v>
      </c>
    </row>
    <row r="690" customFormat="false" ht="15" hidden="false" customHeight="false" outlineLevel="0" collapsed="false">
      <c r="A690" s="50" t="n">
        <v>610</v>
      </c>
      <c r="B690" s="51" t="n">
        <f aca="false">1+IF($G$6=$E$6,$F$6,IF(P690&lt;($F$6-$E$6)/($G$6-$E$6),$E$6+SQRT(P690*($G$6-$E$6)*($F$6-$E$6)),$G$6-SQRT((1-P690)*($G$6-$E$6)*($G$6-$F$6))))</f>
        <v>0.912146890240661</v>
      </c>
      <c r="C690" s="51" t="n">
        <f aca="false">1+IF($G$7=$E$7,$F$7,IF(Q690&lt;($F$7-$E$7)/($G$7-$E$7),$E$7+SQRT(Q690*($G$7-$E$7)*($F$7-$E$7)),$G$7-SQRT((1-Q690)*($G$7-$E$7)*($G$7-$F$7))))</f>
        <v>0.91115299609288</v>
      </c>
      <c r="D690" s="51" t="n">
        <f aca="false">1+IF($G$8=$E$8,$F$8,IF(R690&lt;($F$8-$E$8)/($G$8-$E$8),$E$8+SQRT(R690*($G$8-$E$8)*($F$8-$E$8)),$G$8-SQRT((1-R690)*($G$8-$E$8)*($G$8-$F$8))))</f>
        <v>1.00305182412642</v>
      </c>
      <c r="E690" s="51" t="n">
        <f aca="false">1+IF($G$9=$E$9,$F$9,IF(S690&lt;($F$9-$E$9)/($G$9-$E$9),$E$9+SQRT(S690*($G$9-$E$9)*($F$9-$E$9)),$G$9-SQRT((1-S690)*($G$9-$E$9)*($G$9-$F$9))))</f>
        <v>0.93937632500032</v>
      </c>
      <c r="F690" s="51" t="n">
        <f aca="false">1+IF($G$10=$E$10,$F$10,IF(T690&lt;($F$10-$E$10)/($G$10-$E$10),$E$10+SQRT(T690*($G$10-$E$10)*($F$10-$E$10)),$G$10-SQRT((1-T690)*($G$10-$E$10)*($G$10-$F$10))))</f>
        <v>1.13811464262307</v>
      </c>
      <c r="G690" s="52" t="n">
        <f aca="false">IF($G$11=$E$11,$F$11,IF(U690&lt;($F$11-$E$11)/($G$11-$E$11),$E$11+SQRT(U690*($G$11-$E$11)*($F$11-$E$11)),$G$11-SQRT((1-U690)*($G$11-$E$11)*($G$11-$F$11))))</f>
        <v>0.101398533076991</v>
      </c>
      <c r="H690" s="53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-2276229285.24615</v>
      </c>
      <c r="I690" s="53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-77601067.7668449</v>
      </c>
      <c r="J690" s="53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135273144.623974</v>
      </c>
      <c r="K690" s="53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405053089.145947</v>
      </c>
      <c r="L690" s="53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504734161.596427</v>
      </c>
      <c r="M690" s="53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662710670.690902</v>
      </c>
      <c r="N690" s="53" t="n">
        <f aca="false">IF(COUNT('Business Case'!B11:G11)=0,"",H690+NPV(G690,I690:M690))</f>
        <v>-1180131413.78006</v>
      </c>
      <c r="P690" s="54" t="n">
        <f aca="true">RAND()</f>
        <v>0.0098364628345778</v>
      </c>
      <c r="Q690" s="54" t="n">
        <f aca="true">RAND()</f>
        <v>0.330263613029629</v>
      </c>
      <c r="R690" s="54" t="n">
        <f aca="true">RAND()</f>
        <v>0.373403412985722</v>
      </c>
      <c r="S690" s="54" t="n">
        <f aca="true">RAND()</f>
        <v>0.0620197988212342</v>
      </c>
      <c r="T690" s="54" t="n">
        <f aca="true">RAND()</f>
        <v>0.833088890728499</v>
      </c>
      <c r="U690" s="54" t="n">
        <f aca="true">RAND()</f>
        <v>0.454637393234675</v>
      </c>
    </row>
    <row r="691" customFormat="false" ht="15" hidden="false" customHeight="false" outlineLevel="0" collapsed="false">
      <c r="A691" s="50" t="n">
        <v>611</v>
      </c>
      <c r="B691" s="51" t="n">
        <f aca="false">1+IF($G$6=$E$6,$F$6,IF(P691&lt;($F$6-$E$6)/($G$6-$E$6),$E$6+SQRT(P691*($G$6-$E$6)*($F$6-$E$6)),$G$6-SQRT((1-P691)*($G$6-$E$6)*($G$6-$F$6))))</f>
        <v>1.01869913675473</v>
      </c>
      <c r="C691" s="51" t="n">
        <f aca="false">1+IF($G$7=$E$7,$F$7,IF(Q691&lt;($F$7-$E$7)/($G$7-$E$7),$E$7+SQRT(Q691*($G$7-$E$7)*($F$7-$E$7)),$G$7-SQRT((1-Q691)*($G$7-$E$7)*($G$7-$F$7))))</f>
        <v>1.00248024974788</v>
      </c>
      <c r="D691" s="51" t="n">
        <f aca="false">1+IF($G$8=$E$8,$F$8,IF(R691&lt;($F$8-$E$8)/($G$8-$E$8),$E$8+SQRT(R691*($G$8-$E$8)*($F$8-$E$8)),$G$8-SQRT((1-R691)*($G$8-$E$8)*($G$8-$F$8))))</f>
        <v>0.990202938338133</v>
      </c>
      <c r="E691" s="51" t="n">
        <f aca="false">1+IF($G$9=$E$9,$F$9,IF(S691&lt;($F$9-$E$9)/($G$9-$E$9),$E$9+SQRT(S691*($G$9-$E$9)*($F$9-$E$9)),$G$9-SQRT((1-S691)*($G$9-$E$9)*($G$9-$F$9))))</f>
        <v>1.05553642775173</v>
      </c>
      <c r="F691" s="51" t="n">
        <f aca="false">1+IF($G$10=$E$10,$F$10,IF(T691&lt;($F$10-$E$10)/($G$10-$E$10),$E$10+SQRT(T691*($G$10-$E$10)*($F$10-$E$10)),$G$10-SQRT((1-T691)*($G$10-$E$10)*($G$10-$F$10))))</f>
        <v>1.03958783579311</v>
      </c>
      <c r="G691" s="52" t="n">
        <f aca="false">IF($G$11=$E$11,$F$11,IF(U691&lt;($F$11-$E$11)/($G$11-$E$11),$E$11+SQRT(U691*($G$11-$E$11)*($F$11-$E$11)),$G$11-SQRT((1-U691)*($G$11-$E$11)*($G$11-$F$11))))</f>
        <v>0.101958804820064</v>
      </c>
      <c r="H691" s="53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-2079175671.58621</v>
      </c>
      <c r="I691" s="53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21299084.1321412</v>
      </c>
      <c r="J691" s="53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349594575.529139</v>
      </c>
      <c r="K691" s="53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729869458.715793</v>
      </c>
      <c r="L691" s="53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874594851.620959</v>
      </c>
      <c r="M691" s="53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1068709445.03821</v>
      </c>
      <c r="N691" s="53" t="n">
        <f aca="false">IF(COUNT('Business Case'!B11:G11)=0,"",H691+NPV(G691,I691:M691))</f>
        <v>24321845.1242096</v>
      </c>
      <c r="P691" s="54" t="n">
        <f aca="true">RAND()</f>
        <v>0.869367461346745</v>
      </c>
      <c r="Q691" s="54" t="n">
        <f aca="true">RAND()</f>
        <v>0.677598863489658</v>
      </c>
      <c r="R691" s="54" t="n">
        <f aca="true">RAND()</f>
        <v>0.215503500135966</v>
      </c>
      <c r="S691" s="54" t="n">
        <f aca="true">RAND()</f>
        <v>0.762043560482578</v>
      </c>
      <c r="T691" s="54" t="n">
        <f aca="true">RAND()</f>
        <v>0.409689615383614</v>
      </c>
      <c r="U691" s="54" t="n">
        <f aca="true">RAND()</f>
        <v>0.475794248587166</v>
      </c>
    </row>
    <row r="692" customFormat="false" ht="15" hidden="false" customHeight="false" outlineLevel="0" collapsed="false">
      <c r="A692" s="50" t="n">
        <v>612</v>
      </c>
      <c r="B692" s="51" t="n">
        <f aca="false">1+IF($G$6=$E$6,$F$6,IF(P692&lt;($F$6-$E$6)/($G$6-$E$6),$E$6+SQRT(P692*($G$6-$E$6)*($F$6-$E$6)),$G$6-SQRT((1-P692)*($G$6-$E$6)*($G$6-$F$6))))</f>
        <v>0.968066744279695</v>
      </c>
      <c r="C692" s="51" t="n">
        <f aca="false">1+IF($G$7=$E$7,$F$7,IF(Q692&lt;($F$7-$E$7)/($G$7-$E$7),$E$7+SQRT(Q692*($G$7-$E$7)*($F$7-$E$7)),$G$7-SQRT((1-Q692)*($G$7-$E$7)*($G$7-$F$7))))</f>
        <v>1.10710949645239</v>
      </c>
      <c r="D692" s="51" t="n">
        <f aca="false">1+IF($G$8=$E$8,$F$8,IF(R692&lt;($F$8-$E$8)/($G$8-$E$8),$E$8+SQRT(R692*($G$8-$E$8)*($F$8-$E$8)),$G$8-SQRT((1-R692)*($G$8-$E$8)*($G$8-$F$8))))</f>
        <v>1.05134286185416</v>
      </c>
      <c r="E692" s="51" t="n">
        <f aca="false">1+IF($G$9=$E$9,$F$9,IF(S692&lt;($F$9-$E$9)/($G$9-$E$9),$E$9+SQRT(S692*($G$9-$E$9)*($F$9-$E$9)),$G$9-SQRT((1-S692)*($G$9-$E$9)*($G$9-$F$9))))</f>
        <v>1.01079743266416</v>
      </c>
      <c r="F692" s="51" t="n">
        <f aca="false">1+IF($G$10=$E$10,$F$10,IF(T692&lt;($F$10-$E$10)/($G$10-$E$10),$E$10+SQRT(T692*($G$10-$E$10)*($F$10-$E$10)),$G$10-SQRT((1-T692)*($G$10-$E$10)*($G$10-$F$10))))</f>
        <v>1.00637891872902</v>
      </c>
      <c r="G692" s="52" t="n">
        <f aca="false">IF($G$11=$E$11,$F$11,IF(U692&lt;($F$11-$E$11)/($G$11-$E$11),$E$11+SQRT(U692*($G$11-$E$11)*($F$11-$E$11)),$G$11-SQRT((1-U692)*($G$11-$E$11)*($G$11-$F$11))))</f>
        <v>0.0973576178886959</v>
      </c>
      <c r="H692" s="53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-2012757837.45805</v>
      </c>
      <c r="I692" s="53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-17938012.086342</v>
      </c>
      <c r="J692" s="53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264057087.744508</v>
      </c>
      <c r="K692" s="53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596371133.511809</v>
      </c>
      <c r="L692" s="53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727409383.535057</v>
      </c>
      <c r="M692" s="53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931128742.306361</v>
      </c>
      <c r="N692" s="53" t="n">
        <f aca="false">IF(COUNT('Business Case'!B11:G11)=0,"",H692+NPV(G692,I692:M692))</f>
        <v>-271730913.15313</v>
      </c>
      <c r="P692" s="54" t="n">
        <f aca="true">RAND()</f>
        <v>0.308872111789157</v>
      </c>
      <c r="Q692" s="54" t="n">
        <f aca="true">RAND()</f>
        <v>0.972746736376773</v>
      </c>
      <c r="R692" s="54" t="n">
        <f aca="true">RAND()</f>
        <v>0.842165527163757</v>
      </c>
      <c r="S692" s="54" t="n">
        <f aca="true">RAND()</f>
        <v>0.483270539922942</v>
      </c>
      <c r="T692" s="54" t="n">
        <f aca="true">RAND()</f>
        <v>0.208650250138131</v>
      </c>
      <c r="U692" s="54" t="n">
        <f aca="true">RAND()</f>
        <v>0.301286898769975</v>
      </c>
    </row>
    <row r="693" customFormat="false" ht="15" hidden="false" customHeight="false" outlineLevel="0" collapsed="false">
      <c r="A693" s="50" t="n">
        <v>613</v>
      </c>
      <c r="B693" s="51" t="n">
        <f aca="false">1+IF($G$6=$E$6,$F$6,IF(P693&lt;($F$6-$E$6)/($G$6-$E$6),$E$6+SQRT(P693*($G$6-$E$6)*($F$6-$E$6)),$G$6-SQRT((1-P693)*($G$6-$E$6)*($G$6-$F$6))))</f>
        <v>1.03481130537436</v>
      </c>
      <c r="C693" s="51" t="n">
        <f aca="false">1+IF($G$7=$E$7,$F$7,IF(Q693&lt;($F$7-$E$7)/($G$7-$E$7),$E$7+SQRT(Q693*($G$7-$E$7)*($F$7-$E$7)),$G$7-SQRT((1-Q693)*($G$7-$E$7)*($G$7-$F$7))))</f>
        <v>0.972735628226763</v>
      </c>
      <c r="D693" s="51" t="n">
        <f aca="false">1+IF($G$8=$E$8,$F$8,IF(R693&lt;($F$8-$E$8)/($G$8-$E$8),$E$8+SQRT(R693*($G$8-$E$8)*($F$8-$E$8)),$G$8-SQRT((1-R693)*($G$8-$E$8)*($G$8-$F$8))))</f>
        <v>1.03485138897082</v>
      </c>
      <c r="E693" s="51" t="n">
        <f aca="false">1+IF($G$9=$E$9,$F$9,IF(S693&lt;($F$9-$E$9)/($G$9-$E$9),$E$9+SQRT(S693*($G$9-$E$9)*($F$9-$E$9)),$G$9-SQRT((1-S693)*($G$9-$E$9)*($G$9-$F$9))))</f>
        <v>1.012278284138</v>
      </c>
      <c r="F693" s="51" t="n">
        <f aca="false">1+IF($G$10=$E$10,$F$10,IF(T693&lt;($F$10-$E$10)/($G$10-$E$10),$E$10+SQRT(T693*($G$10-$E$10)*($F$10-$E$10)),$G$10-SQRT((1-T693)*($G$10-$E$10)*($G$10-$F$10))))</f>
        <v>1.17222005826818</v>
      </c>
      <c r="G693" s="52" t="n">
        <f aca="false">IF($G$11=$E$11,$F$11,IF(U693&lt;($F$11-$E$11)/($G$11-$E$11),$E$11+SQRT(U693*($G$11-$E$11)*($F$11-$E$11)),$G$11-SQRT((1-U693)*($G$11-$E$11)*($G$11-$F$11))))</f>
        <v>0.103400514827303</v>
      </c>
      <c r="H693" s="53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-2344440116.53636</v>
      </c>
      <c r="I693" s="53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-4191434.01709287</v>
      </c>
      <c r="J693" s="53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304967141.056952</v>
      </c>
      <c r="K693" s="53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672736719.044406</v>
      </c>
      <c r="L693" s="53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810577598.242352</v>
      </c>
      <c r="M693" s="53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1001911712.86197</v>
      </c>
      <c r="N693" s="53" t="n">
        <f aca="false">IF(COUNT('Business Case'!B11:G11)=0,"",H693+NPV(G693,I693:M693))</f>
        <v>-437549475.141735</v>
      </c>
      <c r="P693" s="54" t="n">
        <f aca="true">RAND()</f>
        <v>0.96924047407587</v>
      </c>
      <c r="Q693" s="54" t="n">
        <f aca="true">RAND()</f>
        <v>0.550997947438867</v>
      </c>
      <c r="R693" s="54" t="n">
        <f aca="true">RAND()</f>
        <v>0.717043898731235</v>
      </c>
      <c r="S693" s="54" t="n">
        <f aca="true">RAND()</f>
        <v>0.49420610613402</v>
      </c>
      <c r="T693" s="54" t="n">
        <f aca="true">RAND()</f>
        <v>0.9193370755226</v>
      </c>
      <c r="U693" s="54" t="n">
        <f aca="true">RAND()</f>
        <v>0.528311592364983</v>
      </c>
    </row>
    <row r="694" customFormat="false" ht="15" hidden="false" customHeight="false" outlineLevel="0" collapsed="false">
      <c r="A694" s="50" t="n">
        <v>614</v>
      </c>
      <c r="B694" s="51" t="n">
        <f aca="false">1+IF($G$6=$E$6,$F$6,IF(P694&lt;($F$6-$E$6)/($G$6-$E$6),$E$6+SQRT(P694*($G$6-$E$6)*($F$6-$E$6)),$G$6-SQRT((1-P694)*($G$6-$E$6)*($G$6-$F$6))))</f>
        <v>1.00608585127506</v>
      </c>
      <c r="C694" s="51" t="n">
        <f aca="false">1+IF($G$7=$E$7,$F$7,IF(Q694&lt;($F$7-$E$7)/($G$7-$E$7),$E$7+SQRT(Q694*($G$7-$E$7)*($F$7-$E$7)),$G$7-SQRT((1-Q694)*($G$7-$E$7)*($G$7-$F$7))))</f>
        <v>0.945430783658631</v>
      </c>
      <c r="D694" s="51" t="n">
        <f aca="false">1+IF($G$8=$E$8,$F$8,IF(R694&lt;($F$8-$E$8)/($G$8-$E$8),$E$8+SQRT(R694*($G$8-$E$8)*($F$8-$E$8)),$G$8-SQRT((1-R694)*($G$8-$E$8)*($G$8-$F$8))))</f>
        <v>1.02630794703024</v>
      </c>
      <c r="E694" s="51" t="n">
        <f aca="false">1+IF($G$9=$E$9,$F$9,IF(S694&lt;($F$9-$E$9)/($G$9-$E$9),$E$9+SQRT(S694*($G$9-$E$9)*($F$9-$E$9)),$G$9-SQRT((1-S694)*($G$9-$E$9)*($G$9-$F$9))))</f>
        <v>1.08291528674952</v>
      </c>
      <c r="F694" s="51" t="n">
        <f aca="false">1+IF($G$10=$E$10,$F$10,IF(T694&lt;($F$10-$E$10)/($G$10-$E$10),$E$10+SQRT(T694*($G$10-$E$10)*($F$10-$E$10)),$G$10-SQRT((1-T694)*($G$10-$E$10)*($G$10-$F$10))))</f>
        <v>1.1035658343269</v>
      </c>
      <c r="G694" s="52" t="n">
        <f aca="false">IF($G$11=$E$11,$F$11,IF(U694&lt;($F$11-$E$11)/($G$11-$E$11),$E$11+SQRT(U694*($G$11-$E$11)*($F$11-$E$11)),$G$11-SQRT((1-U694)*($G$11-$E$11)*($G$11-$F$11))))</f>
        <v>0.101707601617295</v>
      </c>
      <c r="H694" s="53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-2207131668.65379</v>
      </c>
      <c r="I694" s="53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-31285500.7931258</v>
      </c>
      <c r="J694" s="53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251085541.906192</v>
      </c>
      <c r="K694" s="53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588634876.321856</v>
      </c>
      <c r="L694" s="53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715631494.744276</v>
      </c>
      <c r="M694" s="53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896432651.11884</v>
      </c>
      <c r="N694" s="53" t="n">
        <f aca="false">IF(COUNT('Business Case'!B11:G11)=0,"",H694+NPV(G694,I694:M694))</f>
        <v>-550389688.19544</v>
      </c>
      <c r="P694" s="54" t="n">
        <f aca="true">RAND()</f>
        <v>0.742873005568536</v>
      </c>
      <c r="Q694" s="54" t="n">
        <f aca="true">RAND()</f>
        <v>0.44619458938733</v>
      </c>
      <c r="R694" s="54" t="n">
        <f aca="true">RAND()</f>
        <v>0.637965421940126</v>
      </c>
      <c r="S694" s="54" t="n">
        <f aca="true">RAND()</f>
        <v>0.879990433282708</v>
      </c>
      <c r="T694" s="54" t="n">
        <f aca="true">RAND()</f>
        <v>0.714093801648289</v>
      </c>
      <c r="U694" s="54" t="n">
        <f aca="true">RAND()</f>
        <v>0.466360129169536</v>
      </c>
    </row>
    <row r="695" customFormat="false" ht="15" hidden="false" customHeight="false" outlineLevel="0" collapsed="false">
      <c r="A695" s="50" t="n">
        <v>615</v>
      </c>
      <c r="B695" s="51" t="n">
        <f aca="false">1+IF($G$6=$E$6,$F$6,IF(P695&lt;($F$6-$E$6)/($G$6-$E$6),$E$6+SQRT(P695*($G$6-$E$6)*($F$6-$E$6)),$G$6-SQRT((1-P695)*($G$6-$E$6)*($G$6-$F$6))))</f>
        <v>0.994799914608538</v>
      </c>
      <c r="C695" s="51" t="n">
        <f aca="false">1+IF($G$7=$E$7,$F$7,IF(Q695&lt;($F$7-$E$7)/($G$7-$E$7),$E$7+SQRT(Q695*($G$7-$E$7)*($F$7-$E$7)),$G$7-SQRT((1-Q695)*($G$7-$E$7)*($G$7-$F$7))))</f>
        <v>1.025857538306</v>
      </c>
      <c r="D695" s="51" t="n">
        <f aca="false">1+IF($G$8=$E$8,$F$8,IF(R695&lt;($F$8-$E$8)/($G$8-$E$8),$E$8+SQRT(R695*($G$8-$E$8)*($F$8-$E$8)),$G$8-SQRT((1-R695)*($G$8-$E$8)*($G$8-$F$8))))</f>
        <v>1.01055005441542</v>
      </c>
      <c r="E695" s="51" t="n">
        <f aca="false">1+IF($G$9=$E$9,$F$9,IF(S695&lt;($F$9-$E$9)/($G$9-$E$9),$E$9+SQRT(S695*($G$9-$E$9)*($F$9-$E$9)),$G$9-SQRT((1-S695)*($G$9-$E$9)*($G$9-$F$9))))</f>
        <v>1.02297470602901</v>
      </c>
      <c r="F695" s="51" t="n">
        <f aca="false">1+IF($G$10=$E$10,$F$10,IF(T695&lt;($F$10-$E$10)/($G$10-$E$10),$E$10+SQRT(T695*($G$10-$E$10)*($F$10-$E$10)),$G$10-SQRT((1-T695)*($G$10-$E$10)*($G$10-$F$10))))</f>
        <v>1.09955637240711</v>
      </c>
      <c r="G695" s="52" t="n">
        <f aca="false">IF($G$11=$E$11,$F$11,IF(U695&lt;($F$11-$E$11)/($G$11-$E$11),$E$11+SQRT(U695*($G$11-$E$11)*($F$11-$E$11)),$G$11-SQRT((1-U695)*($G$11-$E$11)*($G$11-$F$11))))</f>
        <v>0.104853666845501</v>
      </c>
      <c r="H695" s="53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-2199112744.81423</v>
      </c>
      <c r="I695" s="53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-3142170.45927694</v>
      </c>
      <c r="J695" s="53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302042211.399222</v>
      </c>
      <c r="K695" s="53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662204411.878078</v>
      </c>
      <c r="L695" s="53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799201813.750737</v>
      </c>
      <c r="M695" s="53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993182823.976452</v>
      </c>
      <c r="N695" s="53" t="n">
        <f aca="false">IF(COUNT('Business Case'!B11:G11)=0,"",H695+NPV(G695,I695:M695))</f>
        <v>-323929845.434492</v>
      </c>
      <c r="P695" s="54" t="n">
        <f aca="true">RAND()</f>
        <v>0.599134920652412</v>
      </c>
      <c r="Q695" s="54" t="n">
        <f aca="true">RAND()</f>
        <v>0.771683691919317</v>
      </c>
      <c r="R695" s="54" t="n">
        <f aca="true">RAND()</f>
        <v>0.46658048232769</v>
      </c>
      <c r="S695" s="54" t="n">
        <f aca="true">RAND()</f>
        <v>0.569721991775534</v>
      </c>
      <c r="T695" s="54" t="n">
        <f aca="true">RAND()</f>
        <v>0.698222865555908</v>
      </c>
      <c r="U695" s="54" t="n">
        <f aca="true">RAND()</f>
        <v>0.578441285921954</v>
      </c>
    </row>
    <row r="696" customFormat="false" ht="15" hidden="false" customHeight="false" outlineLevel="0" collapsed="false">
      <c r="A696" s="50" t="n">
        <v>616</v>
      </c>
      <c r="B696" s="51" t="n">
        <f aca="false">1+IF($G$6=$E$6,$F$6,IF(P696&lt;($F$6-$E$6)/($G$6-$E$6),$E$6+SQRT(P696*($G$6-$E$6)*($F$6-$E$6)),$G$6-SQRT((1-P696)*($G$6-$E$6)*($G$6-$F$6))))</f>
        <v>0.982127717240174</v>
      </c>
      <c r="C696" s="51" t="n">
        <f aca="false">1+IF($G$7=$E$7,$F$7,IF(Q696&lt;($F$7-$E$7)/($G$7-$E$7),$E$7+SQRT(Q696*($G$7-$E$7)*($F$7-$E$7)),$G$7-SQRT((1-Q696)*($G$7-$E$7)*($G$7-$F$7))))</f>
        <v>0.996964711625556</v>
      </c>
      <c r="D696" s="51" t="n">
        <f aca="false">1+IF($G$8=$E$8,$F$8,IF(R696&lt;($F$8-$E$8)/($G$8-$E$8),$E$8+SQRT(R696*($G$8-$E$8)*($F$8-$E$8)),$G$8-SQRT((1-R696)*($G$8-$E$8)*($G$8-$F$8))))</f>
        <v>1.01713220142242</v>
      </c>
      <c r="E696" s="51" t="n">
        <f aca="false">1+IF($G$9=$E$9,$F$9,IF(S696&lt;($F$9-$E$9)/($G$9-$E$9),$E$9+SQRT(S696*($G$9-$E$9)*($F$9-$E$9)),$G$9-SQRT((1-S696)*($G$9-$E$9)*($G$9-$F$9))))</f>
        <v>1.07489619612721</v>
      </c>
      <c r="F696" s="51" t="n">
        <f aca="false">1+IF($G$10=$E$10,$F$10,IF(T696&lt;($F$10-$E$10)/($G$10-$E$10),$E$10+SQRT(T696*($G$10-$E$10)*($F$10-$E$10)),$G$10-SQRT((1-T696)*($G$10-$E$10)*($G$10-$F$10))))</f>
        <v>0.994431662219559</v>
      </c>
      <c r="G696" s="52" t="n">
        <f aca="false">IF($G$11=$E$11,$F$11,IF(U696&lt;($F$11-$E$11)/($G$11-$E$11),$E$11+SQRT(U696*($G$11-$E$11)*($F$11-$E$11)),$G$11-SQRT((1-U696)*($G$11-$E$11)*($G$11-$F$11))))</f>
        <v>0.114785344869831</v>
      </c>
      <c r="H696" s="53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-1988863324.43912</v>
      </c>
      <c r="I696" s="53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-20170613.7728446</v>
      </c>
      <c r="J696" s="53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262711141.470018</v>
      </c>
      <c r="K696" s="53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595314479.823859</v>
      </c>
      <c r="L696" s="53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723447707.374456</v>
      </c>
      <c r="M696" s="53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909563907.624152</v>
      </c>
      <c r="N696" s="53" t="n">
        <f aca="false">IF(COUNT('Business Case'!B11:G11)=0,"",H696+NPV(G696,I696:M696))</f>
        <v>-369131355.087482</v>
      </c>
      <c r="P696" s="54" t="n">
        <f aca="true">RAND()</f>
        <v>0.449664129272128</v>
      </c>
      <c r="Q696" s="54" t="n">
        <f aca="true">RAND()</f>
        <v>0.653244740376664</v>
      </c>
      <c r="R696" s="54" t="n">
        <f aca="true">RAND()</f>
        <v>0.542195197260367</v>
      </c>
      <c r="S696" s="54" t="n">
        <f aca="true">RAND()</f>
        <v>0.849584497168988</v>
      </c>
      <c r="T696" s="54" t="n">
        <f aca="true">RAND()</f>
        <v>0.131611507172866</v>
      </c>
      <c r="U696" s="54" t="n">
        <f aca="true">RAND()</f>
        <v>0.84567617951334</v>
      </c>
    </row>
    <row r="697" customFormat="false" ht="15" hidden="false" customHeight="false" outlineLevel="0" collapsed="false">
      <c r="A697" s="50" t="n">
        <v>617</v>
      </c>
      <c r="B697" s="51" t="n">
        <f aca="false">1+IF($G$6=$E$6,$F$6,IF(P697&lt;($F$6-$E$6)/($G$6-$E$6),$E$6+SQRT(P697*($G$6-$E$6)*($F$6-$E$6)),$G$6-SQRT((1-P697)*($G$6-$E$6)*($G$6-$F$6))))</f>
        <v>0.998202652133254</v>
      </c>
      <c r="C697" s="51" t="n">
        <f aca="false">1+IF($G$7=$E$7,$F$7,IF(Q697&lt;($F$7-$E$7)/($G$7-$E$7),$E$7+SQRT(Q697*($G$7-$E$7)*($F$7-$E$7)),$G$7-SQRT((1-Q697)*($G$7-$E$7)*($G$7-$F$7))))</f>
        <v>0.875354124762523</v>
      </c>
      <c r="D697" s="51" t="n">
        <f aca="false">1+IF($G$8=$E$8,$F$8,IF(R697&lt;($F$8-$E$8)/($G$8-$E$8),$E$8+SQRT(R697*($G$8-$E$8)*($F$8-$E$8)),$G$8-SQRT((1-R697)*($G$8-$E$8)*($G$8-$F$8))))</f>
        <v>1.03785480427094</v>
      </c>
      <c r="E697" s="51" t="n">
        <f aca="false">1+IF($G$9=$E$9,$F$9,IF(S697&lt;($F$9-$E$9)/($G$9-$E$9),$E$9+SQRT(S697*($G$9-$E$9)*($F$9-$E$9)),$G$9-SQRT((1-S697)*($G$9-$E$9)*($G$9-$F$9))))</f>
        <v>0.940465912404567</v>
      </c>
      <c r="F697" s="51" t="n">
        <f aca="false">1+IF($G$10=$E$10,$F$10,IF(T697&lt;($F$10-$E$10)/($G$10-$E$10),$E$10+SQRT(T697*($G$10-$E$10)*($F$10-$E$10)),$G$10-SQRT((1-T697)*($G$10-$E$10)*($G$10-$F$10))))</f>
        <v>1.08024728687887</v>
      </c>
      <c r="G697" s="52" t="n">
        <f aca="false">IF($G$11=$E$11,$F$11,IF(U697&lt;($F$11-$E$11)/($G$11-$E$11),$E$11+SQRT(U697*($G$11-$E$11)*($F$11-$E$11)),$G$11-SQRT((1-U697)*($G$11-$E$11)*($G$11-$F$11))))</f>
        <v>0.100901534769444</v>
      </c>
      <c r="H697" s="53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-2160494573.75773</v>
      </c>
      <c r="I697" s="53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-36440832.3414154</v>
      </c>
      <c r="J697" s="53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214174113.882036</v>
      </c>
      <c r="K697" s="53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518801424.449432</v>
      </c>
      <c r="L697" s="53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632537604.612616</v>
      </c>
      <c r="M697" s="53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798625860.767137</v>
      </c>
      <c r="N697" s="53" t="n">
        <f aca="false">IF(COUNT('Business Case'!B11:G11)=0,"",H697+NPV(G697,I697:M697))</f>
        <v>-703580471.492978</v>
      </c>
      <c r="P697" s="54" t="n">
        <f aca="true">RAND()</f>
        <v>0.64291739240032</v>
      </c>
      <c r="Q697" s="54" t="n">
        <f aca="true">RAND()</f>
        <v>0.227770882009116</v>
      </c>
      <c r="R697" s="54" t="n">
        <f aca="true">RAND()</f>
        <v>0.742531643186455</v>
      </c>
      <c r="S697" s="54" t="n">
        <f aca="true">RAND()</f>
        <v>0.0654996026693643</v>
      </c>
      <c r="T697" s="54" t="n">
        <f aca="true">RAND()</f>
        <v>0.61578688517352</v>
      </c>
      <c r="U697" s="54" t="n">
        <f aca="true">RAND()</f>
        <v>0.435519547484082</v>
      </c>
    </row>
    <row r="698" customFormat="false" ht="15" hidden="false" customHeight="false" outlineLevel="0" collapsed="false">
      <c r="A698" s="50" t="n">
        <v>618</v>
      </c>
      <c r="B698" s="51" t="n">
        <f aca="false">1+IF($G$6=$E$6,$F$6,IF(P698&lt;($F$6-$E$6)/($G$6-$E$6),$E$6+SQRT(P698*($G$6-$E$6)*($F$6-$E$6)),$G$6-SQRT((1-P698)*($G$6-$E$6)*($G$6-$F$6))))</f>
        <v>1.01162436310631</v>
      </c>
      <c r="C698" s="51" t="n">
        <f aca="false">1+IF($G$7=$E$7,$F$7,IF(Q698&lt;($F$7-$E$7)/($G$7-$E$7),$E$7+SQRT(Q698*($G$7-$E$7)*($F$7-$E$7)),$G$7-SQRT((1-Q698)*($G$7-$E$7)*($G$7-$F$7))))</f>
        <v>1.05645985856158</v>
      </c>
      <c r="D698" s="51" t="n">
        <f aca="false">1+IF($G$8=$E$8,$F$8,IF(R698&lt;($F$8-$E$8)/($G$8-$E$8),$E$8+SQRT(R698*($G$8-$E$8)*($F$8-$E$8)),$G$8-SQRT((1-R698)*($G$8-$E$8)*($G$8-$F$8))))</f>
        <v>1.03857342719087</v>
      </c>
      <c r="E698" s="51" t="n">
        <f aca="false">1+IF($G$9=$E$9,$F$9,IF(S698&lt;($F$9-$E$9)/($G$9-$E$9),$E$9+SQRT(S698*($G$9-$E$9)*($F$9-$E$9)),$G$9-SQRT((1-S698)*($G$9-$E$9)*($G$9-$F$9))))</f>
        <v>1.0062821103625</v>
      </c>
      <c r="F698" s="51" t="n">
        <f aca="false">1+IF($G$10=$E$10,$F$10,IF(T698&lt;($F$10-$E$10)/($G$10-$E$10),$E$10+SQRT(T698*($G$10-$E$10)*($F$10-$E$10)),$G$10-SQRT((1-T698)*($G$10-$E$10)*($G$10-$F$10))))</f>
        <v>1.02992291314591</v>
      </c>
      <c r="G698" s="52" t="n">
        <f aca="false">IF($G$11=$E$11,$F$11,IF(U698&lt;($F$11-$E$11)/($G$11-$E$11),$E$11+SQRT(U698*($G$11-$E$11)*($F$11-$E$11)),$G$11-SQRT((1-U698)*($G$11-$E$11)*($G$11-$F$11))))</f>
        <v>0.0930087794656786</v>
      </c>
      <c r="H698" s="53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-2059845826.29182</v>
      </c>
      <c r="I698" s="53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12202003.3663298</v>
      </c>
      <c r="J698" s="53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325893123.297115</v>
      </c>
      <c r="K698" s="53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691080388.885195</v>
      </c>
      <c r="L698" s="53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832579768.299668</v>
      </c>
      <c r="M698" s="53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1035725968.53949</v>
      </c>
      <c r="N698" s="53" t="n">
        <f aca="false">IF(COUNT('Business Case'!B11:G11)=0,"",H698+NPV(G698,I698:M698))</f>
        <v>642909.931465864</v>
      </c>
      <c r="P698" s="54" t="n">
        <f aca="true">RAND()</f>
        <v>0.80364139906714</v>
      </c>
      <c r="Q698" s="54" t="n">
        <f aca="true">RAND()</f>
        <v>0.870373954661938</v>
      </c>
      <c r="R698" s="54" t="n">
        <f aca="true">RAND()</f>
        <v>0.748451743528278</v>
      </c>
      <c r="S698" s="54" t="n">
        <f aca="true">RAND()</f>
        <v>0.449204485283846</v>
      </c>
      <c r="T698" s="54" t="n">
        <f aca="true">RAND()</f>
        <v>0.35421434455757</v>
      </c>
      <c r="U698" s="54" t="n">
        <f aca="true">RAND()</f>
        <v>0.16922834318666</v>
      </c>
    </row>
    <row r="699" customFormat="false" ht="15" hidden="false" customHeight="false" outlineLevel="0" collapsed="false">
      <c r="A699" s="50" t="n">
        <v>619</v>
      </c>
      <c r="B699" s="51" t="n">
        <f aca="false">1+IF($G$6=$E$6,$F$6,IF(P699&lt;($F$6-$E$6)/($G$6-$E$6),$E$6+SQRT(P699*($G$6-$E$6)*($F$6-$E$6)),$G$6-SQRT((1-P699)*($G$6-$E$6)*($G$6-$F$6))))</f>
        <v>0.962174796346339</v>
      </c>
      <c r="C699" s="51" t="n">
        <f aca="false">1+IF($G$7=$E$7,$F$7,IF(Q699&lt;($F$7-$E$7)/($G$7-$E$7),$E$7+SQRT(Q699*($G$7-$E$7)*($F$7-$E$7)),$G$7-SQRT((1-Q699)*($G$7-$E$7)*($G$7-$F$7))))</f>
        <v>1.06241595816007</v>
      </c>
      <c r="D699" s="51" t="n">
        <f aca="false">1+IF($G$8=$E$8,$F$8,IF(R699&lt;($F$8-$E$8)/($G$8-$E$8),$E$8+SQRT(R699*($G$8-$E$8)*($F$8-$E$8)),$G$8-SQRT((1-R699)*($G$8-$E$8)*($G$8-$F$8))))</f>
        <v>1.07803290139542</v>
      </c>
      <c r="E699" s="51" t="n">
        <f aca="false">1+IF($G$9=$E$9,$F$9,IF(S699&lt;($F$9-$E$9)/($G$9-$E$9),$E$9+SQRT(S699*($G$9-$E$9)*($F$9-$E$9)),$G$9-SQRT((1-S699)*($G$9-$E$9)*($G$9-$F$9))))</f>
        <v>0.979565391750634</v>
      </c>
      <c r="F699" s="51" t="n">
        <f aca="false">1+IF($G$10=$E$10,$F$10,IF(T699&lt;($F$10-$E$10)/($G$10-$E$10),$E$10+SQRT(T699*($G$10-$E$10)*($F$10-$E$10)),$G$10-SQRT((1-T699)*($G$10-$E$10)*($G$10-$F$10))))</f>
        <v>1.10048521316502</v>
      </c>
      <c r="G699" s="52" t="n">
        <f aca="false">IF($G$11=$E$11,$F$11,IF(U699&lt;($F$11-$E$11)/($G$11-$E$11),$E$11+SQRT(U699*($G$11-$E$11)*($F$11-$E$11)),$G$11-SQRT((1-U699)*($G$11-$E$11)*($G$11-$F$11))))</f>
        <v>0.107127942309459</v>
      </c>
      <c r="H699" s="53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-2200970426.33004</v>
      </c>
      <c r="I699" s="53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-51367147.1517853</v>
      </c>
      <c r="J699" s="53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199600821.567807</v>
      </c>
      <c r="K699" s="53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505593050.94565</v>
      </c>
      <c r="L699" s="53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624577304.417472</v>
      </c>
      <c r="M699" s="53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818882755.859902</v>
      </c>
      <c r="N699" s="53" t="n">
        <f aca="false">IF(COUNT('Business Case'!B11:G11)=0,"",H699+NPV(G699,I699:M699))</f>
        <v>-803937774.74423</v>
      </c>
      <c r="P699" s="54" t="n">
        <f aca="true">RAND()</f>
        <v>0.257713686713914</v>
      </c>
      <c r="Q699" s="54" t="n">
        <f aca="true">RAND()</f>
        <v>0.886356083184914</v>
      </c>
      <c r="R699" s="54" t="n">
        <f aca="true">RAND()</f>
        <v>0.96782977192644</v>
      </c>
      <c r="S699" s="54" t="n">
        <f aca="true">RAND()</f>
        <v>0.253226062577275</v>
      </c>
      <c r="T699" s="54" t="n">
        <f aca="true">RAND()</f>
        <v>0.70193771356921</v>
      </c>
      <c r="U699" s="54" t="n">
        <f aca="true">RAND()</f>
        <v>0.651245984667037</v>
      </c>
    </row>
    <row r="700" customFormat="false" ht="15" hidden="false" customHeight="false" outlineLevel="0" collapsed="false">
      <c r="A700" s="50" t="n">
        <v>620</v>
      </c>
      <c r="B700" s="51" t="n">
        <f aca="false">1+IF($G$6=$E$6,$F$6,IF(P700&lt;($F$6-$E$6)/($G$6-$E$6),$E$6+SQRT(P700*($G$6-$E$6)*($F$6-$E$6)),$G$6-SQRT((1-P700)*($G$6-$E$6)*($G$6-$F$6))))</f>
        <v>0.989409166042735</v>
      </c>
      <c r="C700" s="51" t="n">
        <f aca="false">1+IF($G$7=$E$7,$F$7,IF(Q700&lt;($F$7-$E$7)/($G$7-$E$7),$E$7+SQRT(Q700*($G$7-$E$7)*($F$7-$E$7)),$G$7-SQRT((1-Q700)*($G$7-$E$7)*($G$7-$F$7))))</f>
        <v>0.828452799976645</v>
      </c>
      <c r="D700" s="51" t="n">
        <f aca="false">1+IF($G$8=$E$8,$F$8,IF(R700&lt;($F$8-$E$8)/($G$8-$E$8),$E$8+SQRT(R700*($G$8-$E$8)*($F$8-$E$8)),$G$8-SQRT((1-R700)*($G$8-$E$8)*($G$8-$F$8))))</f>
        <v>0.971342171555106</v>
      </c>
      <c r="E700" s="51" t="n">
        <f aca="false">1+IF($G$9=$E$9,$F$9,IF(S700&lt;($F$9-$E$9)/($G$9-$E$9),$E$9+SQRT(S700*($G$9-$E$9)*($F$9-$E$9)),$G$9-SQRT((1-S700)*($G$9-$E$9)*($G$9-$F$9))))</f>
        <v>0.985048648392137</v>
      </c>
      <c r="F700" s="51" t="n">
        <f aca="false">1+IF($G$10=$E$10,$F$10,IF(T700&lt;($F$10-$E$10)/($G$10-$E$10),$E$10+SQRT(T700*($G$10-$E$10)*($F$10-$E$10)),$G$10-SQRT((1-T700)*($G$10-$E$10)*($G$10-$F$10))))</f>
        <v>1.21629584290047</v>
      </c>
      <c r="G700" s="52" t="n">
        <f aca="false">IF($G$11=$E$11,$F$11,IF(U700&lt;($F$11-$E$11)/($G$11-$E$11),$E$11+SQRT(U700*($G$11-$E$11)*($F$11-$E$11)),$G$11-SQRT((1-U700)*($G$11-$E$11)*($G$11-$F$11))))</f>
        <v>0.0988358234260418</v>
      </c>
      <c r="H700" s="53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-2432591685.80094</v>
      </c>
      <c r="I700" s="53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-44767429.3562926</v>
      </c>
      <c r="J700" s="53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214660792.056189</v>
      </c>
      <c r="K700" s="53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534903805.613695</v>
      </c>
      <c r="L700" s="53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649707978.536099</v>
      </c>
      <c r="M700" s="53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805512523.686439</v>
      </c>
      <c r="N700" s="53" t="n">
        <f aca="false">IF(COUNT('Business Case'!B11:G11)=0,"",H700+NPV(G700,I700:M700))</f>
        <v>-943933011.697159</v>
      </c>
      <c r="P700" s="54" t="n">
        <f aca="true">RAND()</f>
        <v>0.532933264830495</v>
      </c>
      <c r="Q700" s="54" t="n">
        <f aca="true">RAND()</f>
        <v>0.122223124606223</v>
      </c>
      <c r="R700" s="54" t="n">
        <f aca="true">RAND()</f>
        <v>0.0607317715583411</v>
      </c>
      <c r="S700" s="54" t="n">
        <f aca="true">RAND()</f>
        <v>0.289330903733176</v>
      </c>
      <c r="T700" s="54" t="n">
        <f aca="true">RAND()</f>
        <v>0.984853730589471</v>
      </c>
      <c r="U700" s="54" t="n">
        <f aca="true">RAND()</f>
        <v>0.354788244137026</v>
      </c>
    </row>
    <row r="701" customFormat="false" ht="15" hidden="false" customHeight="false" outlineLevel="0" collapsed="false">
      <c r="A701" s="50" t="n">
        <v>621</v>
      </c>
      <c r="B701" s="51" t="n">
        <f aca="false">1+IF($G$6=$E$6,$F$6,IF(P701&lt;($F$6-$E$6)/($G$6-$E$6),$E$6+SQRT(P701*($G$6-$E$6)*($F$6-$E$6)),$G$6-SQRT((1-P701)*($G$6-$E$6)*($G$6-$F$6))))</f>
        <v>0.913642903795698</v>
      </c>
      <c r="C701" s="51" t="n">
        <f aca="false">1+IF($G$7=$E$7,$F$7,IF(Q701&lt;($F$7-$E$7)/($G$7-$E$7),$E$7+SQRT(Q701*($G$7-$E$7)*($F$7-$E$7)),$G$7-SQRT((1-Q701)*($G$7-$E$7)*($G$7-$F$7))))</f>
        <v>0.911700365478432</v>
      </c>
      <c r="D701" s="51" t="n">
        <f aca="false">1+IF($G$8=$E$8,$F$8,IF(R701&lt;($F$8-$E$8)/($G$8-$E$8),$E$8+SQRT(R701*($G$8-$E$8)*($F$8-$E$8)),$G$8-SQRT((1-R701)*($G$8-$E$8)*($G$8-$F$8))))</f>
        <v>0.983568632842221</v>
      </c>
      <c r="E701" s="51" t="n">
        <f aca="false">1+IF($G$9=$E$9,$F$9,IF(S701&lt;($F$9-$E$9)/($G$9-$E$9),$E$9+SQRT(S701*($G$9-$E$9)*($F$9-$E$9)),$G$9-SQRT((1-S701)*($G$9-$E$9)*($G$9-$F$9))))</f>
        <v>0.930638668410088</v>
      </c>
      <c r="F701" s="51" t="n">
        <f aca="false">1+IF($G$10=$E$10,$F$10,IF(T701&lt;($F$10-$E$10)/($G$10-$E$10),$E$10+SQRT(T701*($G$10-$E$10)*($F$10-$E$10)),$G$10-SQRT((1-T701)*($G$10-$E$10)*($G$10-$F$10))))</f>
        <v>1.19756958122517</v>
      </c>
      <c r="G701" s="52" t="n">
        <f aca="false">IF($G$11=$E$11,$F$11,IF(U701&lt;($F$11-$E$11)/($G$11-$E$11),$E$11+SQRT(U701*($G$11-$E$11)*($F$11-$E$11)),$G$11-SQRT((1-U701)*($G$11-$E$11)*($G$11-$F$11))))</f>
        <v>0.105022793136319</v>
      </c>
      <c r="H701" s="53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-2395139162.45033</v>
      </c>
      <c r="I701" s="53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-72062477.4151914</v>
      </c>
      <c r="J701" s="53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151149912.572939</v>
      </c>
      <c r="K701" s="53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434240781.622328</v>
      </c>
      <c r="L701" s="53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537432305.373633</v>
      </c>
      <c r="M701" s="53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695762971.027567</v>
      </c>
      <c r="N701" s="53" t="n">
        <f aca="false">IF(COUNT('Business Case'!B11:G11)=0,"",H701+NPV(G701,I701:M701))</f>
        <v>-1232016262.59976</v>
      </c>
      <c r="P701" s="54" t="n">
        <f aca="true">RAND()</f>
        <v>0.012408588265244</v>
      </c>
      <c r="Q701" s="54" t="n">
        <f aca="true">RAND()</f>
        <v>0.331978109212604</v>
      </c>
      <c r="R701" s="54" t="n">
        <f aca="true">RAND()</f>
        <v>0.150247081452777</v>
      </c>
      <c r="S701" s="54" t="n">
        <f aca="true">RAND()</f>
        <v>0.0375491200777317</v>
      </c>
      <c r="T701" s="54" t="n">
        <f aca="true">RAND()</f>
        <v>0.963347349161273</v>
      </c>
      <c r="U701" s="54" t="n">
        <f aca="true">RAND()</f>
        <v>0.584092758192606</v>
      </c>
    </row>
    <row r="702" customFormat="false" ht="15" hidden="false" customHeight="false" outlineLevel="0" collapsed="false">
      <c r="A702" s="50" t="n">
        <v>622</v>
      </c>
      <c r="B702" s="51" t="n">
        <f aca="false">1+IF($G$6=$E$6,$F$6,IF(P702&lt;($F$6-$E$6)/($G$6-$E$6),$E$6+SQRT(P702*($G$6-$E$6)*($F$6-$E$6)),$G$6-SQRT((1-P702)*($G$6-$E$6)*($G$6-$F$6))))</f>
        <v>1.0007892370928</v>
      </c>
      <c r="C702" s="51" t="n">
        <f aca="false">1+IF($G$7=$E$7,$F$7,IF(Q702&lt;($F$7-$E$7)/($G$7-$E$7),$E$7+SQRT(Q702*($G$7-$E$7)*($F$7-$E$7)),$G$7-SQRT((1-Q702)*($G$7-$E$7)*($G$7-$F$7))))</f>
        <v>1.01410366842304</v>
      </c>
      <c r="D702" s="51" t="n">
        <f aca="false">1+IF($G$8=$E$8,$F$8,IF(R702&lt;($F$8-$E$8)/($G$8-$E$8),$E$8+SQRT(R702*($G$8-$E$8)*($F$8-$E$8)),$G$8-SQRT((1-R702)*($G$8-$E$8)*($G$8-$F$8))))</f>
        <v>1.00389332061552</v>
      </c>
      <c r="E702" s="51" t="n">
        <f aca="false">1+IF($G$9=$E$9,$F$9,IF(S702&lt;($F$9-$E$9)/($G$9-$E$9),$E$9+SQRT(S702*($G$9-$E$9)*($F$9-$E$9)),$G$9-SQRT((1-S702)*($G$9-$E$9)*($G$9-$F$9))))</f>
        <v>1.03782301480576</v>
      </c>
      <c r="F702" s="51" t="n">
        <f aca="false">1+IF($G$10=$E$10,$F$10,IF(T702&lt;($F$10-$E$10)/($G$10-$E$10),$E$10+SQRT(T702*($G$10-$E$10)*($F$10-$E$10)),$G$10-SQRT((1-T702)*($G$10-$E$10)*($G$10-$F$10))))</f>
        <v>1.08410372108596</v>
      </c>
      <c r="G702" s="52" t="n">
        <f aca="false">IF($G$11=$E$11,$F$11,IF(U702&lt;($F$11-$E$11)/($G$11-$E$11),$E$11+SQRT(U702*($G$11-$E$11)*($F$11-$E$11)),$G$11-SQRT((1-U702)*($G$11-$E$11)*($G$11-$F$11))))</f>
        <v>0.114685970419782</v>
      </c>
      <c r="H702" s="53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-2168207442.17192</v>
      </c>
      <c r="I702" s="53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1516920.82766499</v>
      </c>
      <c r="J702" s="53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311635271.729453</v>
      </c>
      <c r="K702" s="53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675958808.68554</v>
      </c>
      <c r="L702" s="53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814406675.826235</v>
      </c>
      <c r="M702" s="53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1007319635.11345</v>
      </c>
      <c r="N702" s="53" t="n">
        <f aca="false">IF(COUNT('Business Case'!B11:G11)=0,"",H702+NPV(G702,I702:M702))</f>
        <v>-315144635.647517</v>
      </c>
      <c r="P702" s="54" t="n">
        <f aca="true">RAND()</f>
        <v>0.677106775212182</v>
      </c>
      <c r="Q702" s="54" t="n">
        <f aca="true">RAND()</f>
        <v>0.726402771317399</v>
      </c>
      <c r="R702" s="54" t="n">
        <f aca="true">RAND()</f>
        <v>0.38423374517927</v>
      </c>
      <c r="S702" s="54" t="n">
        <f aca="true">RAND()</f>
        <v>0.664435306472828</v>
      </c>
      <c r="T702" s="54" t="n">
        <f aca="true">RAND()</f>
        <v>0.633045661899663</v>
      </c>
      <c r="U702" s="54" t="n">
        <f aca="true">RAND()</f>
        <v>0.843653665344148</v>
      </c>
    </row>
    <row r="703" customFormat="false" ht="15" hidden="false" customHeight="false" outlineLevel="0" collapsed="false">
      <c r="A703" s="50" t="n">
        <v>623</v>
      </c>
      <c r="B703" s="51" t="n">
        <f aca="false">1+IF($G$6=$E$6,$F$6,IF(P703&lt;($F$6-$E$6)/($G$6-$E$6),$E$6+SQRT(P703*($G$6-$E$6)*($F$6-$E$6)),$G$6-SQRT((1-P703)*($G$6-$E$6)*($G$6-$F$6))))</f>
        <v>0.982713236416207</v>
      </c>
      <c r="C703" s="51" t="n">
        <f aca="false">1+IF($G$7=$E$7,$F$7,IF(Q703&lt;($F$7-$E$7)/($G$7-$E$7),$E$7+SQRT(Q703*($G$7-$E$7)*($F$7-$E$7)),$G$7-SQRT((1-Q703)*($G$7-$E$7)*($G$7-$F$7))))</f>
        <v>0.921535727645973</v>
      </c>
      <c r="D703" s="51" t="n">
        <f aca="false">1+IF($G$8=$E$8,$F$8,IF(R703&lt;($F$8-$E$8)/($G$8-$E$8),$E$8+SQRT(R703*($G$8-$E$8)*($F$8-$E$8)),$G$8-SQRT((1-R703)*($G$8-$E$8)*($G$8-$F$8))))</f>
        <v>1.03291133290089</v>
      </c>
      <c r="E703" s="51" t="n">
        <f aca="false">1+IF($G$9=$E$9,$F$9,IF(S703&lt;($F$9-$E$9)/($G$9-$E$9),$E$9+SQRT(S703*($G$9-$E$9)*($F$9-$E$9)),$G$9-SQRT((1-S703)*($G$9-$E$9)*($G$9-$F$9))))</f>
        <v>0.9595301186083</v>
      </c>
      <c r="F703" s="51" t="n">
        <f aca="false">1+IF($G$10=$E$10,$F$10,IF(T703&lt;($F$10-$E$10)/($G$10-$E$10),$E$10+SQRT(T703*($G$10-$E$10)*($F$10-$E$10)),$G$10-SQRT((1-T703)*($G$10-$E$10)*($G$10-$F$10))))</f>
        <v>1.0197794119916</v>
      </c>
      <c r="G703" s="52" t="n">
        <f aca="false">IF($G$11=$E$11,$F$11,IF(U703&lt;($F$11-$E$11)/($G$11-$E$11),$E$11+SQRT(U703*($G$11-$E$11)*($F$11-$E$11)),$G$11-SQRT((1-U703)*($G$11-$E$11)*($G$11-$F$11))))</f>
        <v>0.0976393507734037</v>
      </c>
      <c r="H703" s="53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-2039558823.9832</v>
      </c>
      <c r="I703" s="53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-30892290.0703047</v>
      </c>
      <c r="J703" s="53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223585125.651652</v>
      </c>
      <c r="K703" s="53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529051511.973188</v>
      </c>
      <c r="L703" s="53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645175038.365175</v>
      </c>
      <c r="M703" s="53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817312504.697512</v>
      </c>
      <c r="N703" s="53" t="n">
        <f aca="false">IF(COUNT('Business Case'!B11:G11)=0,"",H703+NPV(G703,I703:M703))</f>
        <v>-524638269.035314</v>
      </c>
      <c r="P703" s="54" t="n">
        <f aca="true">RAND()</f>
        <v>0.456098631896226</v>
      </c>
      <c r="Q703" s="54" t="n">
        <f aca="true">RAND()</f>
        <v>0.363541323138005</v>
      </c>
      <c r="R703" s="54" t="n">
        <f aca="true">RAND()</f>
        <v>0.699940716457685</v>
      </c>
      <c r="S703" s="54" t="n">
        <f aca="true">RAND()</f>
        <v>0.141753400860729</v>
      </c>
      <c r="T703" s="54" t="n">
        <f aca="true">RAND()</f>
        <v>0.293313078094219</v>
      </c>
      <c r="U703" s="54" t="n">
        <f aca="true">RAND()</f>
        <v>0.311146695707177</v>
      </c>
    </row>
    <row r="704" customFormat="false" ht="15" hidden="false" customHeight="false" outlineLevel="0" collapsed="false">
      <c r="A704" s="50" t="n">
        <v>624</v>
      </c>
      <c r="B704" s="51" t="n">
        <f aca="false">1+IF($G$6=$E$6,$F$6,IF(P704&lt;($F$6-$E$6)/($G$6-$E$6),$E$6+SQRT(P704*($G$6-$E$6)*($F$6-$E$6)),$G$6-SQRT((1-P704)*($G$6-$E$6)*($G$6-$F$6))))</f>
        <v>0.973829845776877</v>
      </c>
      <c r="C704" s="51" t="n">
        <f aca="false">1+IF($G$7=$E$7,$F$7,IF(Q704&lt;($F$7-$E$7)/($G$7-$E$7),$E$7+SQRT(Q704*($G$7-$E$7)*($F$7-$E$7)),$G$7-SQRT((1-Q704)*($G$7-$E$7)*($G$7-$F$7))))</f>
        <v>0.857186530846326</v>
      </c>
      <c r="D704" s="51" t="n">
        <f aca="false">1+IF($G$8=$E$8,$F$8,IF(R704&lt;($F$8-$E$8)/($G$8-$E$8),$E$8+SQRT(R704*($G$8-$E$8)*($F$8-$E$8)),$G$8-SQRT((1-R704)*($G$8-$E$8)*($G$8-$F$8))))</f>
        <v>0.994495054834758</v>
      </c>
      <c r="E704" s="51" t="n">
        <f aca="false">1+IF($G$9=$E$9,$F$9,IF(S704&lt;($F$9-$E$9)/($G$9-$E$9),$E$9+SQRT(S704*($G$9-$E$9)*($F$9-$E$9)),$G$9-SQRT((1-S704)*($G$9-$E$9)*($G$9-$F$9))))</f>
        <v>0.993030026112844</v>
      </c>
      <c r="F704" s="51" t="n">
        <f aca="false">1+IF($G$10=$E$10,$F$10,IF(T704&lt;($F$10-$E$10)/($G$10-$E$10),$E$10+SQRT(T704*($G$10-$E$10)*($F$10-$E$10)),$G$10-SQRT((1-T704)*($G$10-$E$10)*($G$10-$F$10))))</f>
        <v>1.07720648169539</v>
      </c>
      <c r="G704" s="52" t="n">
        <f aca="false">IF($G$11=$E$11,$F$11,IF(U704&lt;($F$11-$E$11)/($G$11-$E$11),$E$11+SQRT(U704*($G$11-$E$11)*($F$11-$E$11)),$G$11-SQRT((1-U704)*($G$11-$E$11)*($G$11-$F$11))))</f>
        <v>0.103479266290777</v>
      </c>
      <c r="H704" s="53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-2154412963.39078</v>
      </c>
      <c r="I704" s="53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-44874968.3510142</v>
      </c>
      <c r="J704" s="53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202453219.579492</v>
      </c>
      <c r="K704" s="53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503641731.594769</v>
      </c>
      <c r="L704" s="53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614933553.170761</v>
      </c>
      <c r="M704" s="53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773603560.63279</v>
      </c>
      <c r="N704" s="53" t="n">
        <f aca="false">IF(COUNT('Business Case'!B11:G11)=0,"",H704+NPV(G704,I704:M704))</f>
        <v>-766433299.540577</v>
      </c>
      <c r="P704" s="54" t="n">
        <f aca="true">RAND()</f>
        <v>0.363389741829166</v>
      </c>
      <c r="Q704" s="54" t="n">
        <f aca="true">RAND()</f>
        <v>0.183019299848169</v>
      </c>
      <c r="R704" s="54" t="n">
        <f aca="true">RAND()</f>
        <v>0.263974653966415</v>
      </c>
      <c r="S704" s="54" t="n">
        <f aca="true">RAND()</f>
        <v>0.346183430342261</v>
      </c>
      <c r="T704" s="54" t="n">
        <f aca="true">RAND()</f>
        <v>0.601898667092201</v>
      </c>
      <c r="U704" s="54" t="n">
        <f aca="true">RAND()</f>
        <v>0.531100455682999</v>
      </c>
    </row>
    <row r="705" customFormat="false" ht="15" hidden="false" customHeight="false" outlineLevel="0" collapsed="false">
      <c r="A705" s="50" t="n">
        <v>625</v>
      </c>
      <c r="B705" s="51" t="n">
        <f aca="false">1+IF($G$6=$E$6,$F$6,IF(P705&lt;($F$6-$E$6)/($G$6-$E$6),$E$6+SQRT(P705*($G$6-$E$6)*($F$6-$E$6)),$G$6-SQRT((1-P705)*($G$6-$E$6)*($G$6-$F$6))))</f>
        <v>0.980877262875608</v>
      </c>
      <c r="C705" s="51" t="n">
        <f aca="false">1+IF($G$7=$E$7,$F$7,IF(Q705&lt;($F$7-$E$7)/($G$7-$E$7),$E$7+SQRT(Q705*($G$7-$E$7)*($F$7-$E$7)),$G$7-SQRT((1-Q705)*($G$7-$E$7)*($G$7-$F$7))))</f>
        <v>0.962599627845616</v>
      </c>
      <c r="D705" s="51" t="n">
        <f aca="false">1+IF($G$8=$E$8,$F$8,IF(R705&lt;($F$8-$E$8)/($G$8-$E$8),$E$8+SQRT(R705*($G$8-$E$8)*($F$8-$E$8)),$G$8-SQRT((1-R705)*($G$8-$E$8)*($G$8-$F$8))))</f>
        <v>1.01727614710977</v>
      </c>
      <c r="E705" s="51" t="n">
        <f aca="false">1+IF($G$9=$E$9,$F$9,IF(S705&lt;($F$9-$E$9)/($G$9-$E$9),$E$9+SQRT(S705*($G$9-$E$9)*($F$9-$E$9)),$G$9-SQRT((1-S705)*($G$9-$E$9)*($G$9-$F$9))))</f>
        <v>0.985501819849314</v>
      </c>
      <c r="F705" s="51" t="n">
        <f aca="false">1+IF($G$10=$E$10,$F$10,IF(T705&lt;($F$10-$E$10)/($G$10-$E$10),$E$10+SQRT(T705*($G$10-$E$10)*($F$10-$E$10)),$G$10-SQRT((1-T705)*($G$10-$E$10)*($G$10-$F$10))))</f>
        <v>0.995863419688795</v>
      </c>
      <c r="G705" s="52" t="n">
        <f aca="false">IF($G$11=$E$11,$F$11,IF(U705&lt;($F$11-$E$11)/($G$11-$E$11),$E$11+SQRT(U705*($G$11-$E$11)*($F$11-$E$11)),$G$11-SQRT((1-U705)*($G$11-$E$11)*($G$11-$F$11))))</f>
        <v>0.110280215609851</v>
      </c>
      <c r="H705" s="53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-1991726839.37759</v>
      </c>
      <c r="I705" s="53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-16597554.1610474</v>
      </c>
      <c r="J705" s="53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255476510.281971</v>
      </c>
      <c r="K705" s="53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577343745.70943</v>
      </c>
      <c r="L705" s="53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700666379.092178</v>
      </c>
      <c r="M705" s="53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880138411.218429</v>
      </c>
      <c r="N705" s="53" t="n">
        <f aca="false">IF(COUNT('Business Case'!B11:G11)=0,"",H705+NPV(G705,I705:M705))</f>
        <v>-394855385.283386</v>
      </c>
      <c r="P705" s="54" t="n">
        <f aca="true">RAND()</f>
        <v>0.436075443350014</v>
      </c>
      <c r="Q705" s="54" t="n">
        <f aca="true">RAND()</f>
        <v>0.510804181812268</v>
      </c>
      <c r="R705" s="54" t="n">
        <f aca="true">RAND()</f>
        <v>0.543784277533015</v>
      </c>
      <c r="S705" s="54" t="n">
        <f aca="true">RAND()</f>
        <v>0.292422447901782</v>
      </c>
      <c r="T705" s="54" t="n">
        <f aca="true">RAND()</f>
        <v>0.140230217703371</v>
      </c>
      <c r="U705" s="54" t="n">
        <f aca="true">RAND()</f>
        <v>0.740753402404022</v>
      </c>
    </row>
    <row r="706" customFormat="false" ht="15" hidden="false" customHeight="false" outlineLevel="0" collapsed="false">
      <c r="A706" s="50" t="n">
        <v>626</v>
      </c>
      <c r="B706" s="51" t="n">
        <f aca="false">1+IF($G$6=$E$6,$F$6,IF(P706&lt;($F$6-$E$6)/($G$6-$E$6),$E$6+SQRT(P706*($G$6-$E$6)*($F$6-$E$6)),$G$6-SQRT((1-P706)*($G$6-$E$6)*($G$6-$F$6))))</f>
        <v>0.991046590988298</v>
      </c>
      <c r="C706" s="51" t="n">
        <f aca="false">1+IF($G$7=$E$7,$F$7,IF(Q706&lt;($F$7-$E$7)/($G$7-$E$7),$E$7+SQRT(Q706*($G$7-$E$7)*($F$7-$E$7)),$G$7-SQRT((1-Q706)*($G$7-$E$7)*($G$7-$F$7))))</f>
        <v>1.056191836426</v>
      </c>
      <c r="D706" s="51" t="n">
        <f aca="false">1+IF($G$8=$E$8,$F$8,IF(R706&lt;($F$8-$E$8)/($G$8-$E$8),$E$8+SQRT(R706*($G$8-$E$8)*($F$8-$E$8)),$G$8-SQRT((1-R706)*($G$8-$E$8)*($G$8-$F$8))))</f>
        <v>1.02615519616891</v>
      </c>
      <c r="E706" s="51" t="n">
        <f aca="false">1+IF($G$9=$E$9,$F$9,IF(S706&lt;($F$9-$E$9)/($G$9-$E$9),$E$9+SQRT(S706*($G$9-$E$9)*($F$9-$E$9)),$G$9-SQRT((1-S706)*($G$9-$E$9)*($G$9-$F$9))))</f>
        <v>1.02102309056922</v>
      </c>
      <c r="F706" s="51" t="n">
        <f aca="false">1+IF($G$10=$E$10,$F$10,IF(T706&lt;($F$10-$E$10)/($G$10-$E$10),$E$10+SQRT(T706*($G$10-$E$10)*($F$10-$E$10)),$G$10-SQRT((1-T706)*($G$10-$E$10)*($G$10-$F$10))))</f>
        <v>0.983398976006655</v>
      </c>
      <c r="G706" s="52" t="n">
        <f aca="false">IF($G$11=$E$11,$F$11,IF(U706&lt;($F$11-$E$11)/($G$11-$E$11),$E$11+SQRT(U706*($G$11-$E$11)*($F$11-$E$11)),$G$11-SQRT((1-U706)*($G$11-$E$11)*($G$11-$F$11))))</f>
        <v>0.110130108450359</v>
      </c>
      <c r="H706" s="53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-1966797952.01331</v>
      </c>
      <c r="I706" s="53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4731985.02198748</v>
      </c>
      <c r="J706" s="53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307256110.056378</v>
      </c>
      <c r="K706" s="53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658950183.891102</v>
      </c>
      <c r="L706" s="53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795966731.524429</v>
      </c>
      <c r="M706" s="53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994930180.944678</v>
      </c>
      <c r="N706" s="53" t="n">
        <f aca="false">IF(COUNT('Business Case'!B11:G11)=0,"",H706+NPV(G706,I706:M706))</f>
        <v>-117389703.072501</v>
      </c>
      <c r="P706" s="54" t="n">
        <f aca="true">RAND()</f>
        <v>0.552632115372691</v>
      </c>
      <c r="Q706" s="54" t="n">
        <f aca="true">RAND()</f>
        <v>0.869630051064805</v>
      </c>
      <c r="R706" s="54" t="n">
        <f aca="true">RAND()</f>
        <v>0.636462996476544</v>
      </c>
      <c r="S706" s="54" t="n">
        <f aca="true">RAND()</f>
        <v>0.556398848898233</v>
      </c>
      <c r="T706" s="54" t="n">
        <f aca="true">RAND()</f>
        <v>0.0743661065528734</v>
      </c>
      <c r="U706" s="54" t="n">
        <f aca="true">RAND()</f>
        <v>0.736791606537015</v>
      </c>
    </row>
    <row r="707" customFormat="false" ht="15" hidden="false" customHeight="false" outlineLevel="0" collapsed="false">
      <c r="A707" s="50" t="n">
        <v>627</v>
      </c>
      <c r="B707" s="51" t="n">
        <f aca="false">1+IF($G$6=$E$6,$F$6,IF(P707&lt;($F$6-$E$6)/($G$6-$E$6),$E$6+SQRT(P707*($G$6-$E$6)*($F$6-$E$6)),$G$6-SQRT((1-P707)*($G$6-$E$6)*($G$6-$F$6))))</f>
        <v>0.951032452930055</v>
      </c>
      <c r="C707" s="51" t="n">
        <f aca="false">1+IF($G$7=$E$7,$F$7,IF(Q707&lt;($F$7-$E$7)/($G$7-$E$7),$E$7+SQRT(Q707*($G$7-$E$7)*($F$7-$E$7)),$G$7-SQRT((1-Q707)*($G$7-$E$7)*($G$7-$F$7))))</f>
        <v>0.909108774637438</v>
      </c>
      <c r="D707" s="51" t="n">
        <f aca="false">1+IF($G$8=$E$8,$F$8,IF(R707&lt;($F$8-$E$8)/($G$8-$E$8),$E$8+SQRT(R707*($G$8-$E$8)*($F$8-$E$8)),$G$8-SQRT((1-R707)*($G$8-$E$8)*($G$8-$F$8))))</f>
        <v>1.06643411045761</v>
      </c>
      <c r="E707" s="51" t="n">
        <f aca="false">1+IF($G$9=$E$9,$F$9,IF(S707&lt;($F$9-$E$9)/($G$9-$E$9),$E$9+SQRT(S707*($G$9-$E$9)*($F$9-$E$9)),$G$9-SQRT((1-S707)*($G$9-$E$9)*($G$9-$F$9))))</f>
        <v>0.930598049270725</v>
      </c>
      <c r="F707" s="51" t="n">
        <f aca="false">1+IF($G$10=$E$10,$F$10,IF(T707&lt;($F$10-$E$10)/($G$10-$E$10),$E$10+SQRT(T707*($G$10-$E$10)*($F$10-$E$10)),$G$10-SQRT((1-T707)*($G$10-$E$10)*($G$10-$F$10))))</f>
        <v>1.1093493161167</v>
      </c>
      <c r="G707" s="52" t="n">
        <f aca="false">IF($G$11=$E$11,$F$11,IF(U707&lt;($F$11-$E$11)/($G$11-$E$11),$E$11+SQRT(U707*($G$11-$E$11)*($F$11-$E$11)),$G$11-SQRT((1-U707)*($G$11-$E$11)*($G$11-$F$11))))</f>
        <v>0.110131452599086</v>
      </c>
      <c r="H707" s="53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-2218698632.23339</v>
      </c>
      <c r="I707" s="53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-76232163.4435138</v>
      </c>
      <c r="J707" s="53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135622093.911303</v>
      </c>
      <c r="K707" s="53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402943817.071954</v>
      </c>
      <c r="L707" s="53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503442200.577136</v>
      </c>
      <c r="M707" s="53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667783838.038469</v>
      </c>
      <c r="N707" s="53" t="n">
        <f aca="false">IF(COUNT('Business Case'!B11:G11)=0,"",H707+NPV(G707,I707:M707))</f>
        <v>-1155257309.39324</v>
      </c>
      <c r="P707" s="54" t="n">
        <f aca="true">RAND()</f>
        <v>0.173620750137219</v>
      </c>
      <c r="Q707" s="54" t="n">
        <f aca="true">RAND()</f>
        <v>0.323899849113859</v>
      </c>
      <c r="R707" s="54" t="n">
        <f aca="true">RAND()</f>
        <v>0.924888737281874</v>
      </c>
      <c r="S707" s="54" t="n">
        <f aca="true">RAND()</f>
        <v>0.0374496247669496</v>
      </c>
      <c r="T707" s="54" t="n">
        <f aca="true">RAND()</f>
        <v>0.736231801642119</v>
      </c>
      <c r="U707" s="54" t="n">
        <f aca="true">RAND()</f>
        <v>0.736827216118426</v>
      </c>
    </row>
    <row r="708" customFormat="false" ht="15" hidden="false" customHeight="false" outlineLevel="0" collapsed="false">
      <c r="A708" s="50" t="n">
        <v>628</v>
      </c>
      <c r="B708" s="51" t="n">
        <f aca="false">1+IF($G$6=$E$6,$F$6,IF(P708&lt;($F$6-$E$6)/($G$6-$E$6),$E$6+SQRT(P708*($G$6-$E$6)*($F$6-$E$6)),$G$6-SQRT((1-P708)*($G$6-$E$6)*($G$6-$F$6))))</f>
        <v>0.955300405871518</v>
      </c>
      <c r="C708" s="51" t="n">
        <f aca="false">1+IF($G$7=$E$7,$F$7,IF(Q708&lt;($F$7-$E$7)/($G$7-$E$7),$E$7+SQRT(Q708*($G$7-$E$7)*($F$7-$E$7)),$G$7-SQRT((1-Q708)*($G$7-$E$7)*($G$7-$F$7))))</f>
        <v>0.996273989137918</v>
      </c>
      <c r="D708" s="51" t="n">
        <f aca="false">1+IF($G$8=$E$8,$F$8,IF(R708&lt;($F$8-$E$8)/($G$8-$E$8),$E$8+SQRT(R708*($G$8-$E$8)*($F$8-$E$8)),$G$8-SQRT((1-R708)*($G$8-$E$8)*($G$8-$F$8))))</f>
        <v>1.01832380904365</v>
      </c>
      <c r="E708" s="51" t="n">
        <f aca="false">1+IF($G$9=$E$9,$F$9,IF(S708&lt;($F$9-$E$9)/($G$9-$E$9),$E$9+SQRT(S708*($G$9-$E$9)*($F$9-$E$9)),$G$9-SQRT((1-S708)*($G$9-$E$9)*($G$9-$F$9))))</f>
        <v>1.00696976796179</v>
      </c>
      <c r="F708" s="51" t="n">
        <f aca="false">1+IF($G$10=$E$10,$F$10,IF(T708&lt;($F$10-$E$10)/($G$10-$E$10),$E$10+SQRT(T708*($G$10-$E$10)*($F$10-$E$10)),$G$10-SQRT((1-T708)*($G$10-$E$10)*($G$10-$F$10))))</f>
        <v>1.00966779034701</v>
      </c>
      <c r="G708" s="52" t="n">
        <f aca="false">IF($G$11=$E$11,$F$11,IF(U708&lt;($F$11-$E$11)/($G$11-$E$11),$E$11+SQRT(U708*($G$11-$E$11)*($F$11-$E$11)),$G$11-SQRT((1-U708)*($G$11-$E$11)*($G$11-$F$11))))</f>
        <v>0.116793215203931</v>
      </c>
      <c r="H708" s="53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-2019335580.69401</v>
      </c>
      <c r="I708" s="53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-33309724.0720123</v>
      </c>
      <c r="J708" s="53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226876682.544953</v>
      </c>
      <c r="K708" s="53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537546478.679268</v>
      </c>
      <c r="L708" s="53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657167447.984996</v>
      </c>
      <c r="M708" s="53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838074367.035402</v>
      </c>
      <c r="N708" s="53" t="n">
        <f aca="false">IF(COUNT('Business Case'!B11:G11)=0,"",H708+NPV(G708,I708:M708))</f>
        <v>-576464458.822078</v>
      </c>
      <c r="P708" s="54" t="n">
        <f aca="true">RAND()</f>
        <v>0.203875659303642</v>
      </c>
      <c r="Q708" s="54" t="n">
        <f aca="true">RAND()</f>
        <v>0.650209456590336</v>
      </c>
      <c r="R708" s="54" t="n">
        <f aca="true">RAND()</f>
        <v>0.555266655390831</v>
      </c>
      <c r="S708" s="54" t="n">
        <f aca="true">RAND()</f>
        <v>0.454462739282518</v>
      </c>
      <c r="T708" s="54" t="n">
        <f aca="true">RAND()</f>
        <v>0.229872386710796</v>
      </c>
      <c r="U708" s="54" t="n">
        <f aca="true">RAND()</f>
        <v>0.883720556900219</v>
      </c>
    </row>
    <row r="709" customFormat="false" ht="15" hidden="false" customHeight="false" outlineLevel="0" collapsed="false">
      <c r="A709" s="50" t="n">
        <v>629</v>
      </c>
      <c r="B709" s="51" t="n">
        <f aca="false">1+IF($G$6=$E$6,$F$6,IF(P709&lt;($F$6-$E$6)/($G$6-$E$6),$E$6+SQRT(P709*($G$6-$E$6)*($F$6-$E$6)),$G$6-SQRT((1-P709)*($G$6-$E$6)*($G$6-$F$6))))</f>
        <v>0.95271189828708</v>
      </c>
      <c r="C709" s="51" t="n">
        <f aca="false">1+IF($G$7=$E$7,$F$7,IF(Q709&lt;($F$7-$E$7)/($G$7-$E$7),$E$7+SQRT(Q709*($G$7-$E$7)*($F$7-$E$7)),$G$7-SQRT((1-Q709)*($G$7-$E$7)*($G$7-$F$7))))</f>
        <v>0.890023041602245</v>
      </c>
      <c r="D709" s="51" t="n">
        <f aca="false">1+IF($G$8=$E$8,$F$8,IF(R709&lt;($F$8-$E$8)/($G$8-$E$8),$E$8+SQRT(R709*($G$8-$E$8)*($F$8-$E$8)),$G$8-SQRT((1-R709)*($G$8-$E$8)*($G$8-$F$8))))</f>
        <v>1.04009977693341</v>
      </c>
      <c r="E709" s="51" t="n">
        <f aca="false">1+IF($G$9=$E$9,$F$9,IF(S709&lt;($F$9-$E$9)/($G$9-$E$9),$E$9+SQRT(S709*($G$9-$E$9)*($F$9-$E$9)),$G$9-SQRT((1-S709)*($G$9-$E$9)*($G$9-$F$9))))</f>
        <v>0.969391355716641</v>
      </c>
      <c r="F709" s="51" t="n">
        <f aca="false">1+IF($G$10=$E$10,$F$10,IF(T709&lt;($F$10-$E$10)/($G$10-$E$10),$E$10+SQRT(T709*($G$10-$E$10)*($F$10-$E$10)),$G$10-SQRT((1-T709)*($G$10-$E$10)*($G$10-$F$10))))</f>
        <v>1.10203339355107</v>
      </c>
      <c r="G709" s="52" t="n">
        <f aca="false">IF($G$11=$E$11,$F$11,IF(U709&lt;($F$11-$E$11)/($G$11-$E$11),$E$11+SQRT(U709*($G$11-$E$11)*($F$11-$E$11)),$G$11-SQRT((1-U709)*($G$11-$E$11)*($G$11-$F$11))))</f>
        <v>0.108647763186105</v>
      </c>
      <c r="H709" s="53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-2204066787.10214</v>
      </c>
      <c r="I709" s="53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-71378388.4751859</v>
      </c>
      <c r="J709" s="53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149250991.658178</v>
      </c>
      <c r="K709" s="53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424982041.469095</v>
      </c>
      <c r="L709" s="53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527829820.493908</v>
      </c>
      <c r="M709" s="53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689005408.219209</v>
      </c>
      <c r="N709" s="53" t="n">
        <f aca="false">IF(COUNT('Business Case'!B11:G11)=0,"",H709+NPV(G709,I709:M709))</f>
        <v>-1074349036.65725</v>
      </c>
      <c r="P709" s="54" t="n">
        <f aca="true">RAND()</f>
        <v>0.185236281401834</v>
      </c>
      <c r="Q709" s="54" t="n">
        <f aca="true">RAND()</f>
        <v>0.26747226918347</v>
      </c>
      <c r="R709" s="54" t="n">
        <f aca="true">RAND()</f>
        <v>0.760797551771489</v>
      </c>
      <c r="S709" s="54" t="n">
        <f aca="true">RAND()</f>
        <v>0.192606409927738</v>
      </c>
      <c r="T709" s="54" t="n">
        <f aca="true">RAND()</f>
        <v>0.708078445013167</v>
      </c>
      <c r="U709" s="54" t="n">
        <f aca="true">RAND()</f>
        <v>0.696054655362241</v>
      </c>
    </row>
    <row r="710" customFormat="false" ht="15" hidden="false" customHeight="false" outlineLevel="0" collapsed="false">
      <c r="A710" s="50" t="n">
        <v>630</v>
      </c>
      <c r="B710" s="51" t="n">
        <f aca="false">1+IF($G$6=$E$6,$F$6,IF(P710&lt;($F$6-$E$6)/($G$6-$E$6),$E$6+SQRT(P710*($G$6-$E$6)*($F$6-$E$6)),$G$6-SQRT((1-P710)*($G$6-$E$6)*($G$6-$F$6))))</f>
        <v>0.976737776211379</v>
      </c>
      <c r="C710" s="51" t="n">
        <f aca="false">1+IF($G$7=$E$7,$F$7,IF(Q710&lt;($F$7-$E$7)/($G$7-$E$7),$E$7+SQRT(Q710*($G$7-$E$7)*($F$7-$E$7)),$G$7-SQRT((1-Q710)*($G$7-$E$7)*($G$7-$F$7))))</f>
        <v>1.0721022504288</v>
      </c>
      <c r="D710" s="51" t="n">
        <f aca="false">1+IF($G$8=$E$8,$F$8,IF(R710&lt;($F$8-$E$8)/($G$8-$E$8),$E$8+SQRT(R710*($G$8-$E$8)*($F$8-$E$8)),$G$8-SQRT((1-R710)*($G$8-$E$8)*($G$8-$F$8))))</f>
        <v>1.00816973009216</v>
      </c>
      <c r="E710" s="51" t="n">
        <f aca="false">1+IF($G$9=$E$9,$F$9,IF(S710&lt;($F$9-$E$9)/($G$9-$E$9),$E$9+SQRT(S710*($G$9-$E$9)*($F$9-$E$9)),$G$9-SQRT((1-S710)*($G$9-$E$9)*($G$9-$F$9))))</f>
        <v>1.02301585422332</v>
      </c>
      <c r="F710" s="51" t="n">
        <f aca="false">1+IF($G$10=$E$10,$F$10,IF(T710&lt;($F$10-$E$10)/($G$10-$E$10),$E$10+SQRT(T710*($G$10-$E$10)*($F$10-$E$10)),$G$10-SQRT((1-T710)*($G$10-$E$10)*($G$10-$F$10))))</f>
        <v>0.997902562955786</v>
      </c>
      <c r="G710" s="52" t="n">
        <f aca="false">IF($G$11=$E$11,$F$11,IF(U710&lt;($F$11-$E$11)/($G$11-$E$11),$E$11+SQRT(U710*($G$11-$E$11)*($F$11-$E$11)),$G$11-SQRT((1-U710)*($G$11-$E$11)*($G$11-$F$11))))</f>
        <v>0.0989375625378239</v>
      </c>
      <c r="H710" s="53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-1995805125.91157</v>
      </c>
      <c r="I710" s="53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4839292.24011099</v>
      </c>
      <c r="J710" s="53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309226613.137147</v>
      </c>
      <c r="K710" s="53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663509062.181971</v>
      </c>
      <c r="L710" s="53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801161447.741509</v>
      </c>
      <c r="M710" s="53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1000206146.6744</v>
      </c>
      <c r="N710" s="53" t="n">
        <f aca="false">IF(COUNT('Business Case'!B11:G11)=0,"",H710+NPV(G710,I710:M710))</f>
        <v>-62016053.2538557</v>
      </c>
      <c r="P710" s="54" t="n">
        <f aca="true">RAND()</f>
        <v>0.392579086524515</v>
      </c>
      <c r="Q710" s="54" t="n">
        <f aca="true">RAND()</f>
        <v>0.910102823877675</v>
      </c>
      <c r="R710" s="54" t="n">
        <f aca="true">RAND()</f>
        <v>0.437813435243559</v>
      </c>
      <c r="S710" s="54" t="n">
        <f aca="true">RAND()</f>
        <v>0.570000712569799</v>
      </c>
      <c r="T710" s="54" t="n">
        <f aca="true">RAND()</f>
        <v>0.152977035848867</v>
      </c>
      <c r="U710" s="54" t="n">
        <f aca="true">RAND()</f>
        <v>0.358631274873993</v>
      </c>
    </row>
    <row r="711" customFormat="false" ht="15" hidden="false" customHeight="false" outlineLevel="0" collapsed="false">
      <c r="A711" s="50" t="n">
        <v>631</v>
      </c>
      <c r="B711" s="51" t="n">
        <f aca="false">1+IF($G$6=$E$6,$F$6,IF(P711&lt;($F$6-$E$6)/($G$6-$E$6),$E$6+SQRT(P711*($G$6-$E$6)*($F$6-$E$6)),$G$6-SQRT((1-P711)*($G$6-$E$6)*($G$6-$F$6))))</f>
        <v>0.994270242525002</v>
      </c>
      <c r="C711" s="51" t="n">
        <f aca="false">1+IF($G$7=$E$7,$F$7,IF(Q711&lt;($F$7-$E$7)/($G$7-$E$7),$E$7+SQRT(Q711*($G$7-$E$7)*($F$7-$E$7)),$G$7-SQRT((1-Q711)*($G$7-$E$7)*($G$7-$F$7))))</f>
        <v>1.08401267824739</v>
      </c>
      <c r="D711" s="51" t="n">
        <f aca="false">1+IF($G$8=$E$8,$F$8,IF(R711&lt;($F$8-$E$8)/($G$8-$E$8),$E$8+SQRT(R711*($G$8-$E$8)*($F$8-$E$8)),$G$8-SQRT((1-R711)*($G$8-$E$8)*($G$8-$F$8))))</f>
        <v>1.06831521969167</v>
      </c>
      <c r="E711" s="51" t="n">
        <f aca="false">1+IF($G$9=$E$9,$F$9,IF(S711&lt;($F$9-$E$9)/($G$9-$E$9),$E$9+SQRT(S711*($G$9-$E$9)*($F$9-$E$9)),$G$9-SQRT((1-S711)*($G$9-$E$9)*($G$9-$F$9))))</f>
        <v>0.97180716917077</v>
      </c>
      <c r="F711" s="51" t="n">
        <f aca="false">1+IF($G$10=$E$10,$F$10,IF(T711&lt;($F$10-$E$10)/($G$10-$E$10),$E$10+SQRT(T711*($G$10-$E$10)*($F$10-$E$10)),$G$10-SQRT((1-T711)*($G$10-$E$10)*($G$10-$F$10))))</f>
        <v>0.989373886494244</v>
      </c>
      <c r="G711" s="52" t="n">
        <f aca="false">IF($G$11=$E$11,$F$11,IF(U711&lt;($F$11-$E$11)/($G$11-$E$11),$E$11+SQRT(U711*($G$11-$E$11)*($F$11-$E$11)),$G$11-SQRT((1-U711)*($G$11-$E$11)*($G$11-$F$11))))</f>
        <v>0.104407764832601</v>
      </c>
      <c r="H711" s="53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-1978747772.98849</v>
      </c>
      <c r="I711" s="53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-3042313.23176318</v>
      </c>
      <c r="J711" s="53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286916973.916284</v>
      </c>
      <c r="K711" s="53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626344955.389044</v>
      </c>
      <c r="L711" s="53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760246872.621261</v>
      </c>
      <c r="M711" s="53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965115390.960371</v>
      </c>
      <c r="N711" s="53" t="n">
        <f aca="false">IF(COUNT('Business Case'!B11:G11)=0,"",H711+NPV(G711,I711:M711))</f>
        <v>-182883544.574217</v>
      </c>
      <c r="P711" s="54" t="n">
        <f aca="true">RAND()</f>
        <v>0.592458575048179</v>
      </c>
      <c r="Q711" s="54" t="n">
        <f aca="true">RAND()</f>
        <v>0.935491457302477</v>
      </c>
      <c r="R711" s="54" t="n">
        <f aca="true">RAND()</f>
        <v>0.93307164645421</v>
      </c>
      <c r="S711" s="54" t="n">
        <f aca="true">RAND()</f>
        <v>0.206250781772784</v>
      </c>
      <c r="T711" s="54" t="n">
        <f aca="true">RAND()</f>
        <v>0.103353529177438</v>
      </c>
      <c r="U711" s="54" t="n">
        <f aca="true">RAND()</f>
        <v>0.563358332757689</v>
      </c>
    </row>
    <row r="712" customFormat="false" ht="15" hidden="false" customHeight="false" outlineLevel="0" collapsed="false">
      <c r="A712" s="50" t="n">
        <v>632</v>
      </c>
      <c r="B712" s="51" t="n">
        <f aca="false">1+IF($G$6=$E$6,$F$6,IF(P712&lt;($F$6-$E$6)/($G$6-$E$6),$E$6+SQRT(P712*($G$6-$E$6)*($F$6-$E$6)),$G$6-SQRT((1-P712)*($G$6-$E$6)*($G$6-$F$6))))</f>
        <v>1.04350635052068</v>
      </c>
      <c r="C712" s="51" t="n">
        <f aca="false">1+IF($G$7=$E$7,$F$7,IF(Q712&lt;($F$7-$E$7)/($G$7-$E$7),$E$7+SQRT(Q712*($G$7-$E$7)*($F$7-$E$7)),$G$7-SQRT((1-Q712)*($G$7-$E$7)*($G$7-$F$7))))</f>
        <v>0.945141907713664</v>
      </c>
      <c r="D712" s="51" t="n">
        <f aca="false">1+IF($G$8=$E$8,$F$8,IF(R712&lt;($F$8-$E$8)/($G$8-$E$8),$E$8+SQRT(R712*($G$8-$E$8)*($F$8-$E$8)),$G$8-SQRT((1-R712)*($G$8-$E$8)*($G$8-$F$8))))</f>
        <v>1.01910840802527</v>
      </c>
      <c r="E712" s="51" t="n">
        <f aca="false">1+IF($G$9=$E$9,$F$9,IF(S712&lt;($F$9-$E$9)/($G$9-$E$9),$E$9+SQRT(S712*($G$9-$E$9)*($F$9-$E$9)),$G$9-SQRT((1-S712)*($G$9-$E$9)*($G$9-$F$9))))</f>
        <v>0.951431064156592</v>
      </c>
      <c r="F712" s="51" t="n">
        <f aca="false">1+IF($G$10=$E$10,$F$10,IF(T712&lt;($F$10-$E$10)/($G$10-$E$10),$E$10+SQRT(T712*($G$10-$E$10)*($F$10-$E$10)),$G$10-SQRT((1-T712)*($G$10-$E$10)*($G$10-$F$10))))</f>
        <v>1.03180403455833</v>
      </c>
      <c r="G712" s="52" t="n">
        <f aca="false">IF($G$11=$E$11,$F$11,IF(U712&lt;($F$11-$E$11)/($G$11-$E$11),$E$11+SQRT(U712*($G$11-$E$11)*($F$11-$E$11)),$G$11-SQRT((1-U712)*($G$11-$E$11)*($G$11-$F$11))))</f>
        <v>0.0983262435096604</v>
      </c>
      <c r="H712" s="53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-2063608069.11666</v>
      </c>
      <c r="I712" s="53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25135144.8705089</v>
      </c>
      <c r="J712" s="53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339871990.97447</v>
      </c>
      <c r="K712" s="53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706199038.806348</v>
      </c>
      <c r="L712" s="53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845196521.144037</v>
      </c>
      <c r="M712" s="53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1032665122.81073</v>
      </c>
      <c r="N712" s="53" t="n">
        <f aca="false">IF(COUNT('Business Case'!B11:G11)=0,"",H712+NPV(G712,I712:M712))</f>
        <v>938694.467445135</v>
      </c>
      <c r="P712" s="54" t="n">
        <f aca="true">RAND()</f>
        <v>0.994377668858633</v>
      </c>
      <c r="Q712" s="54" t="n">
        <f aca="true">RAND()</f>
        <v>0.4451448512407</v>
      </c>
      <c r="R712" s="54" t="n">
        <f aca="true">RAND()</f>
        <v>0.563770023186254</v>
      </c>
      <c r="S712" s="54" t="n">
        <f aca="true">RAND()</f>
        <v>0.105806174411179</v>
      </c>
      <c r="T712" s="54" t="n">
        <f aca="true">RAND()</f>
        <v>0.365206942199706</v>
      </c>
      <c r="U712" s="54" t="n">
        <f aca="true">RAND()</f>
        <v>0.33585120117537</v>
      </c>
    </row>
    <row r="713" customFormat="false" ht="15" hidden="false" customHeight="false" outlineLevel="0" collapsed="false">
      <c r="A713" s="50" t="n">
        <v>633</v>
      </c>
      <c r="B713" s="51" t="n">
        <f aca="false">1+IF($G$6=$E$6,$F$6,IF(P713&lt;($F$6-$E$6)/($G$6-$E$6),$E$6+SQRT(P713*($G$6-$E$6)*($F$6-$E$6)),$G$6-SQRT((1-P713)*($G$6-$E$6)*($G$6-$F$6))))</f>
        <v>1.01868996059852</v>
      </c>
      <c r="C713" s="51" t="n">
        <f aca="false">1+IF($G$7=$E$7,$F$7,IF(Q713&lt;($F$7-$E$7)/($G$7-$E$7),$E$7+SQRT(Q713*($G$7-$E$7)*($F$7-$E$7)),$G$7-SQRT((1-Q713)*($G$7-$E$7)*($G$7-$F$7))))</f>
        <v>0.841871969760471</v>
      </c>
      <c r="D713" s="51" t="n">
        <f aca="false">1+IF($G$8=$E$8,$F$8,IF(R713&lt;($F$8-$E$8)/($G$8-$E$8),$E$8+SQRT(R713*($G$8-$E$8)*($F$8-$E$8)),$G$8-SQRT((1-R713)*($G$8-$E$8)*($G$8-$F$8))))</f>
        <v>0.99333118662956</v>
      </c>
      <c r="E713" s="51" t="n">
        <f aca="false">1+IF($G$9=$E$9,$F$9,IF(S713&lt;($F$9-$E$9)/($G$9-$E$9),$E$9+SQRT(S713*($G$9-$E$9)*($F$9-$E$9)),$G$9-SQRT((1-S713)*($G$9-$E$9)*($G$9-$F$9))))</f>
        <v>0.986565780302585</v>
      </c>
      <c r="F713" s="51" t="n">
        <f aca="false">1+IF($G$10=$E$10,$F$10,IF(T713&lt;($F$10-$E$10)/($G$10-$E$10),$E$10+SQRT(T713*($G$10-$E$10)*($F$10-$E$10)),$G$10-SQRT((1-T713)*($G$10-$E$10)*($G$10-$F$10))))</f>
        <v>1.05497789270214</v>
      </c>
      <c r="G713" s="52" t="n">
        <f aca="false">IF($G$11=$E$11,$F$11,IF(U713&lt;($F$11-$E$11)/($G$11-$E$11),$E$11+SQRT(U713*($G$11-$E$11)*($F$11-$E$11)),$G$11-SQRT((1-U713)*($G$11-$E$11)*($G$11-$F$11))))</f>
        <v>0.100903582149581</v>
      </c>
      <c r="H713" s="53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-2109955785.40427</v>
      </c>
      <c r="I713" s="53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-15901307.7686476</v>
      </c>
      <c r="J713" s="53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258443149.880777</v>
      </c>
      <c r="K713" s="53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585536502.165307</v>
      </c>
      <c r="L713" s="53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706623536.174336</v>
      </c>
      <c r="M713" s="53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869637384.200048</v>
      </c>
      <c r="N713" s="53" t="n">
        <f aca="false">IF(COUNT('Business Case'!B11:G11)=0,"",H713+NPV(G713,I713:M713))</f>
        <v>-453505948.143486</v>
      </c>
      <c r="P713" s="54" t="n">
        <f aca="true">RAND()</f>
        <v>0.869290857690363</v>
      </c>
      <c r="Q713" s="54" t="n">
        <f aca="true">RAND()</f>
        <v>0.149093746694193</v>
      </c>
      <c r="R713" s="54" t="n">
        <f aca="true">RAND()</f>
        <v>0.250345564630103</v>
      </c>
      <c r="S713" s="54" t="n">
        <f aca="true">RAND()</f>
        <v>0.299745372775817</v>
      </c>
      <c r="T713" s="54" t="n">
        <f aca="true">RAND()</f>
        <v>0.49288503553467</v>
      </c>
      <c r="U713" s="54" t="n">
        <f aca="true">RAND()</f>
        <v>0.435598978849215</v>
      </c>
    </row>
    <row r="714" customFormat="false" ht="15" hidden="false" customHeight="false" outlineLevel="0" collapsed="false">
      <c r="A714" s="50" t="n">
        <v>634</v>
      </c>
      <c r="B714" s="51" t="n">
        <f aca="false">1+IF($G$6=$E$6,$F$6,IF(P714&lt;($F$6-$E$6)/($G$6-$E$6),$E$6+SQRT(P714*($G$6-$E$6)*($F$6-$E$6)),$G$6-SQRT((1-P714)*($G$6-$E$6)*($G$6-$F$6))))</f>
        <v>0.99267459540626</v>
      </c>
      <c r="C714" s="51" t="n">
        <f aca="false">1+IF($G$7=$E$7,$F$7,IF(Q714&lt;($F$7-$E$7)/($G$7-$E$7),$E$7+SQRT(Q714*($G$7-$E$7)*($F$7-$E$7)),$G$7-SQRT((1-Q714)*($G$7-$E$7)*($G$7-$F$7))))</f>
        <v>0.898615208154605</v>
      </c>
      <c r="D714" s="51" t="n">
        <f aca="false">1+IF($G$8=$E$8,$F$8,IF(R714&lt;($F$8-$E$8)/($G$8-$E$8),$E$8+SQRT(R714*($G$8-$E$8)*($F$8-$E$8)),$G$8-SQRT((1-R714)*($G$8-$E$8)*($G$8-$F$8))))</f>
        <v>0.959227989498615</v>
      </c>
      <c r="E714" s="51" t="n">
        <f aca="false">1+IF($G$9=$E$9,$F$9,IF(S714&lt;($F$9-$E$9)/($G$9-$E$9),$E$9+SQRT(S714*($G$9-$E$9)*($F$9-$E$9)),$G$9-SQRT((1-S714)*($G$9-$E$9)*($G$9-$F$9))))</f>
        <v>0.983276846365723</v>
      </c>
      <c r="F714" s="51" t="n">
        <f aca="false">1+IF($G$10=$E$10,$F$10,IF(T714&lt;($F$10-$E$10)/($G$10-$E$10),$E$10+SQRT(T714*($G$10-$E$10)*($F$10-$E$10)),$G$10-SQRT((1-T714)*($G$10-$E$10)*($G$10-$F$10))))</f>
        <v>1.00294962859469</v>
      </c>
      <c r="G714" s="52" t="n">
        <f aca="false">IF($G$11=$E$11,$F$11,IF(U714&lt;($F$11-$E$11)/($G$11-$E$11),$E$11+SQRT(U714*($G$11-$E$11)*($F$11-$E$11)),$G$11-SQRT((1-U714)*($G$11-$E$11)*($G$11-$F$11))))</f>
        <v>0.104732300963282</v>
      </c>
      <c r="H714" s="53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-2005899257.18938</v>
      </c>
      <c r="I714" s="53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3015745.66907799</v>
      </c>
      <c r="J714" s="53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292391385.938123</v>
      </c>
      <c r="K714" s="53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631914507.636902</v>
      </c>
      <c r="L714" s="53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759201697.184778</v>
      </c>
      <c r="M714" s="53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928759232.538182</v>
      </c>
      <c r="N714" s="53" t="n">
        <f aca="false">IF(COUNT('Business Case'!B11:G11)=0,"",H714+NPV(G714,I714:M714))</f>
        <v>-220740922.802734</v>
      </c>
      <c r="P714" s="54" t="n">
        <f aca="true">RAND()</f>
        <v>0.572572042247598</v>
      </c>
      <c r="Q714" s="54" t="n">
        <f aca="true">RAND()</f>
        <v>0.292207414150348</v>
      </c>
      <c r="R714" s="54" t="n">
        <f aca="true">RAND()</f>
        <v>0.011354105358206</v>
      </c>
      <c r="S714" s="54" t="n">
        <f aca="true">RAND()</f>
        <v>0.27740132562481</v>
      </c>
      <c r="T714" s="54" t="n">
        <f aca="true">RAND()</f>
        <v>0.186214853179983</v>
      </c>
      <c r="U714" s="54" t="n">
        <f aca="true">RAND()</f>
        <v>0.574362256926545</v>
      </c>
    </row>
    <row r="715" customFormat="false" ht="15" hidden="false" customHeight="false" outlineLevel="0" collapsed="false">
      <c r="A715" s="50" t="n">
        <v>635</v>
      </c>
      <c r="B715" s="51" t="n">
        <f aca="false">1+IF($G$6=$E$6,$F$6,IF(P715&lt;($F$6-$E$6)/($G$6-$E$6),$E$6+SQRT(P715*($G$6-$E$6)*($F$6-$E$6)),$G$6-SQRT((1-P715)*($G$6-$E$6)*($G$6-$F$6))))</f>
        <v>0.960627316214482</v>
      </c>
      <c r="C715" s="51" t="n">
        <f aca="false">1+IF($G$7=$E$7,$F$7,IF(Q715&lt;($F$7-$E$7)/($G$7-$E$7),$E$7+SQRT(Q715*($G$7-$E$7)*($F$7-$E$7)),$G$7-SQRT((1-Q715)*($G$7-$E$7)*($G$7-$F$7))))</f>
        <v>0.753067931146556</v>
      </c>
      <c r="D715" s="51" t="n">
        <f aca="false">1+IF($G$8=$E$8,$F$8,IF(R715&lt;($F$8-$E$8)/($G$8-$E$8),$E$8+SQRT(R715*($G$8-$E$8)*($F$8-$E$8)),$G$8-SQRT((1-R715)*($G$8-$E$8)*($G$8-$F$8))))</f>
        <v>1.02586939500894</v>
      </c>
      <c r="E715" s="51" t="n">
        <f aca="false">1+IF($G$9=$E$9,$F$9,IF(S715&lt;($F$9-$E$9)/($G$9-$E$9),$E$9+SQRT(S715*($G$9-$E$9)*($F$9-$E$9)),$G$9-SQRT((1-S715)*($G$9-$E$9)*($G$9-$F$9))))</f>
        <v>1.04130389612632</v>
      </c>
      <c r="F715" s="51" t="n">
        <f aca="false">1+IF($G$10=$E$10,$F$10,IF(T715&lt;($F$10-$E$10)/($G$10-$E$10),$E$10+SQRT(T715*($G$10-$E$10)*($F$10-$E$10)),$G$10-SQRT((1-T715)*($G$10-$E$10)*($G$10-$F$10))))</f>
        <v>1.07550627384755</v>
      </c>
      <c r="G715" s="52" t="n">
        <f aca="false">IF($G$11=$E$11,$F$11,IF(U715&lt;($F$11-$E$11)/($G$11-$E$11),$E$11+SQRT(U715*($G$11-$E$11)*($F$11-$E$11)),$G$11-SQRT((1-U715)*($G$11-$E$11)*($G$11-$F$11))))</f>
        <v>0.0964878969139926</v>
      </c>
      <c r="H715" s="53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-2151012547.69509</v>
      </c>
      <c r="I715" s="53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-96078349.301427</v>
      </c>
      <c r="J715" s="53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100969312.523438</v>
      </c>
      <c r="K715" s="53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351792288.040681</v>
      </c>
      <c r="L715" s="53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442476155.123886</v>
      </c>
      <c r="M715" s="53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579983377.402592</v>
      </c>
      <c r="N715" s="53" t="n">
        <f aca="false">IF(COUNT('Business Case'!B11:G11)=0,"",H715+NPV(G715,I715:M715))</f>
        <v>-1215764021.16232</v>
      </c>
      <c r="P715" s="54" t="n">
        <f aca="true">RAND()</f>
        <v>0.245044764758053</v>
      </c>
      <c r="Q715" s="54" t="n">
        <f aca="true">RAND()</f>
        <v>0.0208607801198192</v>
      </c>
      <c r="R715" s="54" t="n">
        <f aca="true">RAND()</f>
        <v>0.63364356024393</v>
      </c>
      <c r="S715" s="54" t="n">
        <f aca="true">RAND()</f>
        <v>0.684937520071538</v>
      </c>
      <c r="T715" s="54" t="n">
        <f aca="true">RAND()</f>
        <v>0.594025860445771</v>
      </c>
      <c r="U715" s="54" t="n">
        <f aca="true">RAND()</f>
        <v>0.271850744646448</v>
      </c>
    </row>
    <row r="716" customFormat="false" ht="15" hidden="false" customHeight="false" outlineLevel="0" collapsed="false">
      <c r="A716" s="50" t="n">
        <v>636</v>
      </c>
      <c r="B716" s="51" t="n">
        <f aca="false">1+IF($G$6=$E$6,$F$6,IF(P716&lt;($F$6-$E$6)/($G$6-$E$6),$E$6+SQRT(P716*($G$6-$E$6)*($F$6-$E$6)),$G$6-SQRT((1-P716)*($G$6-$E$6)*($G$6-$F$6))))</f>
        <v>0.95729916996508</v>
      </c>
      <c r="C716" s="51" t="n">
        <f aca="false">1+IF($G$7=$E$7,$F$7,IF(Q716&lt;($F$7-$E$7)/($G$7-$E$7),$E$7+SQRT(Q716*($G$7-$E$7)*($F$7-$E$7)),$G$7-SQRT((1-Q716)*($G$7-$E$7)*($G$7-$F$7))))</f>
        <v>0.983849644411162</v>
      </c>
      <c r="D716" s="51" t="n">
        <f aca="false">1+IF($G$8=$E$8,$F$8,IF(R716&lt;($F$8-$E$8)/($G$8-$E$8),$E$8+SQRT(R716*($G$8-$E$8)*($F$8-$E$8)),$G$8-SQRT((1-R716)*($G$8-$E$8)*($G$8-$F$8))))</f>
        <v>1.08328045210898</v>
      </c>
      <c r="E716" s="51" t="n">
        <f aca="false">1+IF($G$9=$E$9,$F$9,IF(S716&lt;($F$9-$E$9)/($G$9-$E$9),$E$9+SQRT(S716*($G$9-$E$9)*($F$9-$E$9)),$G$9-SQRT((1-S716)*($G$9-$E$9)*($G$9-$F$9))))</f>
        <v>0.922993553782631</v>
      </c>
      <c r="F716" s="51" t="n">
        <f aca="false">1+IF($G$10=$E$10,$F$10,IF(T716&lt;($F$10-$E$10)/($G$10-$E$10),$E$10+SQRT(T716*($G$10-$E$10)*($F$10-$E$10)),$G$10-SQRT((1-T716)*($G$10-$E$10)*($G$10-$F$10))))</f>
        <v>0.992683419517425</v>
      </c>
      <c r="G716" s="52" t="n">
        <f aca="false">IF($G$11=$E$11,$F$11,IF(U716&lt;($F$11-$E$11)/($G$11-$E$11),$E$11+SQRT(U716*($G$11-$E$11)*($F$11-$E$11)),$G$11-SQRT((1-U716)*($G$11-$E$11)*($G$11-$F$11))))</f>
        <v>0.100454549539057</v>
      </c>
      <c r="H716" s="53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-1985366839.03485</v>
      </c>
      <c r="I716" s="53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-53506131.2371043</v>
      </c>
      <c r="J716" s="53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172330667.967942</v>
      </c>
      <c r="K716" s="53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447801638.14886</v>
      </c>
      <c r="L716" s="53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555630507.978888</v>
      </c>
      <c r="M716" s="53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734655160.168122</v>
      </c>
      <c r="N716" s="53" t="n">
        <f aca="false">IF(COUNT('Business Case'!B11:G11)=0,"",H716+NPV(G716,I716:M716))</f>
        <v>-721562808.056911</v>
      </c>
      <c r="P716" s="54" t="n">
        <f aca="true">RAND()</f>
        <v>0.218879658579144</v>
      </c>
      <c r="Q716" s="54" t="n">
        <f aca="true">RAND()</f>
        <v>0.59681941209143</v>
      </c>
      <c r="R716" s="54" t="n">
        <f aca="true">RAND()</f>
        <v>0.981363781221323</v>
      </c>
      <c r="S716" s="54" t="n">
        <f aca="true">RAND()</f>
        <v>0.0211481406221899</v>
      </c>
      <c r="T716" s="54" t="n">
        <f aca="true">RAND()</f>
        <v>0.121458286780035</v>
      </c>
      <c r="U716" s="54" t="n">
        <f aca="true">RAND()</f>
        <v>0.418044238039972</v>
      </c>
    </row>
    <row r="717" customFormat="false" ht="15" hidden="false" customHeight="false" outlineLevel="0" collapsed="false">
      <c r="A717" s="50" t="n">
        <v>637</v>
      </c>
      <c r="B717" s="51" t="n">
        <f aca="false">1+IF($G$6=$E$6,$F$6,IF(P717&lt;($F$6-$E$6)/($G$6-$E$6),$E$6+SQRT(P717*($G$6-$E$6)*($F$6-$E$6)),$G$6-SQRT((1-P717)*($G$6-$E$6)*($G$6-$F$6))))</f>
        <v>1.00270303642418</v>
      </c>
      <c r="C717" s="51" t="n">
        <f aca="false">1+IF($G$7=$E$7,$F$7,IF(Q717&lt;($F$7-$E$7)/($G$7-$E$7),$E$7+SQRT(Q717*($G$7-$E$7)*($F$7-$E$7)),$G$7-SQRT((1-Q717)*($G$7-$E$7)*($G$7-$F$7))))</f>
        <v>1.02726039353551</v>
      </c>
      <c r="D717" s="51" t="n">
        <f aca="false">1+IF($G$8=$E$8,$F$8,IF(R717&lt;($F$8-$E$8)/($G$8-$E$8),$E$8+SQRT(R717*($G$8-$E$8)*($F$8-$E$8)),$G$8-SQRT((1-R717)*($G$8-$E$8)*($G$8-$F$8))))</f>
        <v>0.976976197379138</v>
      </c>
      <c r="E717" s="51" t="n">
        <f aca="false">1+IF($G$9=$E$9,$F$9,IF(S717&lt;($F$9-$E$9)/($G$9-$E$9),$E$9+SQRT(S717*($G$9-$E$9)*($F$9-$E$9)),$G$9-SQRT((1-S717)*($G$9-$E$9)*($G$9-$F$9))))</f>
        <v>0.984134104005099</v>
      </c>
      <c r="F717" s="51" t="n">
        <f aca="false">1+IF($G$10=$E$10,$F$10,IF(T717&lt;($F$10-$E$10)/($G$10-$E$10),$E$10+SQRT(T717*($G$10-$E$10)*($F$10-$E$10)),$G$10-SQRT((1-T717)*($G$10-$E$10)*($G$10-$F$10))))</f>
        <v>1.05146176466432</v>
      </c>
      <c r="G717" s="52" t="n">
        <f aca="false">IF($G$11=$E$11,$F$11,IF(U717&lt;($F$11-$E$11)/($G$11-$E$11),$E$11+SQRT(U717*($G$11-$E$11)*($F$11-$E$11)),$G$11-SQRT((1-U717)*($G$11-$E$11)*($G$11-$F$11))))</f>
        <v>0.0850132496544025</v>
      </c>
      <c r="H717" s="53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-2102923529.32864</v>
      </c>
      <c r="I717" s="53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31419895.1537551</v>
      </c>
      <c r="J717" s="53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361326960.44635</v>
      </c>
      <c r="K717" s="53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743807113.972162</v>
      </c>
      <c r="L717" s="53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889374218.458283</v>
      </c>
      <c r="M717" s="53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1085163673.42885</v>
      </c>
      <c r="N717" s="53" t="n">
        <f aca="false">IF(COUNT('Business Case'!B11:G11)=0,"",H717+NPV(G717,I717:M717))</f>
        <v>178626716.562395</v>
      </c>
      <c r="P717" s="54" t="n">
        <f aca="true">RAND()</f>
        <v>0.701732964867636</v>
      </c>
      <c r="Q717" s="54" t="n">
        <f aca="true">RAND()</f>
        <v>0.77681465192508</v>
      </c>
      <c r="R717" s="54" t="n">
        <f aca="true">RAND()</f>
        <v>0.0970286966717602</v>
      </c>
      <c r="S717" s="54" t="n">
        <f aca="true">RAND()</f>
        <v>0.283141898269633</v>
      </c>
      <c r="T717" s="54" t="n">
        <f aca="true">RAND()</f>
        <v>0.474434254797265</v>
      </c>
      <c r="U717" s="54" t="n">
        <f aca="true">RAND()</f>
        <v>0.0251326720973664</v>
      </c>
    </row>
    <row r="718" customFormat="false" ht="15" hidden="false" customHeight="false" outlineLevel="0" collapsed="false">
      <c r="A718" s="50" t="n">
        <v>638</v>
      </c>
      <c r="B718" s="51" t="n">
        <f aca="false">1+IF($G$6=$E$6,$F$6,IF(P718&lt;($F$6-$E$6)/($G$6-$E$6),$E$6+SQRT(P718*($G$6-$E$6)*($F$6-$E$6)),$G$6-SQRT((1-P718)*($G$6-$E$6)*($G$6-$F$6))))</f>
        <v>0.913312111438686</v>
      </c>
      <c r="C718" s="51" t="n">
        <f aca="false">1+IF($G$7=$E$7,$F$7,IF(Q718&lt;($F$7-$E$7)/($G$7-$E$7),$E$7+SQRT(Q718*($G$7-$E$7)*($F$7-$E$7)),$G$7-SQRT((1-Q718)*($G$7-$E$7)*($G$7-$F$7))))</f>
        <v>1.10298348109238</v>
      </c>
      <c r="D718" s="51" t="n">
        <f aca="false">1+IF($G$8=$E$8,$F$8,IF(R718&lt;($F$8-$E$8)/($G$8-$E$8),$E$8+SQRT(R718*($G$8-$E$8)*($F$8-$E$8)),$G$8-SQRT((1-R718)*($G$8-$E$8)*($G$8-$F$8))))</f>
        <v>0.985284089001385</v>
      </c>
      <c r="E718" s="51" t="n">
        <f aca="false">1+IF($G$9=$E$9,$F$9,IF(S718&lt;($F$9-$E$9)/($G$9-$E$9),$E$9+SQRT(S718*($G$9-$E$9)*($F$9-$E$9)),$G$9-SQRT((1-S718)*($G$9-$E$9)*($G$9-$F$9))))</f>
        <v>0.941672734821412</v>
      </c>
      <c r="F718" s="51" t="n">
        <f aca="false">1+IF($G$10=$E$10,$F$10,IF(T718&lt;($F$10-$E$10)/($G$10-$E$10),$E$10+SQRT(T718*($G$10-$E$10)*($F$10-$E$10)),$G$10-SQRT((1-T718)*($G$10-$E$10)*($G$10-$F$10))))</f>
        <v>1.15146137401671</v>
      </c>
      <c r="G718" s="52" t="n">
        <f aca="false">IF($G$11=$E$11,$F$11,IF(U718&lt;($F$11-$E$11)/($G$11-$E$11),$E$11+SQRT(U718*($G$11-$E$11)*($F$11-$E$11)),$G$11-SQRT((1-U718)*($G$11-$E$11)*($G$11-$F$11))))</f>
        <v>0.107845747619823</v>
      </c>
      <c r="H718" s="53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-2302922748.03342</v>
      </c>
      <c r="I718" s="53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-32497024.8566562</v>
      </c>
      <c r="J718" s="53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236279916.616364</v>
      </c>
      <c r="K718" s="53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562629926.79022</v>
      </c>
      <c r="L718" s="53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687036884.638828</v>
      </c>
      <c r="M718" s="53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878517426.772298</v>
      </c>
      <c r="N718" s="53" t="n">
        <f aca="false">IF(COUNT('Business Case'!B11:G11)=0,"",H718+NPV(G718,I718:M718))</f>
        <v>-743395908.371401</v>
      </c>
      <c r="P718" s="54" t="n">
        <f aca="true">RAND()</f>
        <v>0.0118141540637324</v>
      </c>
      <c r="Q718" s="54" t="n">
        <f aca="true">RAND()</f>
        <v>0.967251065923102</v>
      </c>
      <c r="R718" s="54" t="n">
        <f aca="true">RAND()</f>
        <v>0.165995591554354</v>
      </c>
      <c r="S718" s="54" t="n">
        <f aca="true">RAND()</f>
        <v>0.0694646730998271</v>
      </c>
      <c r="T718" s="54" t="n">
        <f aca="true">RAND()</f>
        <v>0.870535189191004</v>
      </c>
      <c r="U718" s="54" t="n">
        <f aca="true">RAND()</f>
        <v>0.672792734316962</v>
      </c>
    </row>
    <row r="719" customFormat="false" ht="15" hidden="false" customHeight="false" outlineLevel="0" collapsed="false">
      <c r="A719" s="50" t="n">
        <v>639</v>
      </c>
      <c r="B719" s="51" t="n">
        <f aca="false">1+IF($G$6=$E$6,$F$6,IF(P719&lt;($F$6-$E$6)/($G$6-$E$6),$E$6+SQRT(P719*($G$6-$E$6)*($F$6-$E$6)),$G$6-SQRT((1-P719)*($G$6-$E$6)*($G$6-$F$6))))</f>
        <v>1.02080666402014</v>
      </c>
      <c r="C719" s="51" t="n">
        <f aca="false">1+IF($G$7=$E$7,$F$7,IF(Q719&lt;($F$7-$E$7)/($G$7-$E$7),$E$7+SQRT(Q719*($G$7-$E$7)*($F$7-$E$7)),$G$7-SQRT((1-Q719)*($G$7-$E$7)*($G$7-$F$7))))</f>
        <v>0.974158713656918</v>
      </c>
      <c r="D719" s="51" t="n">
        <f aca="false">1+IF($G$8=$E$8,$F$8,IF(R719&lt;($F$8-$E$8)/($G$8-$E$8),$E$8+SQRT(R719*($G$8-$E$8)*($F$8-$E$8)),$G$8-SQRT((1-R719)*($G$8-$E$8)*($G$8-$F$8))))</f>
        <v>0.992349755250703</v>
      </c>
      <c r="E719" s="51" t="n">
        <f aca="false">1+IF($G$9=$E$9,$F$9,IF(S719&lt;($F$9-$E$9)/($G$9-$E$9),$E$9+SQRT(S719*($G$9-$E$9)*($F$9-$E$9)),$G$9-SQRT((1-S719)*($G$9-$E$9)*($G$9-$F$9))))</f>
        <v>1.05758539512528</v>
      </c>
      <c r="F719" s="51" t="n">
        <f aca="false">1+IF($G$10=$E$10,$F$10,IF(T719&lt;($F$10-$E$10)/($G$10-$E$10),$E$10+SQRT(T719*($G$10-$E$10)*($F$10-$E$10)),$G$10-SQRT((1-T719)*($G$10-$E$10)*($G$10-$F$10))))</f>
        <v>1.02954563899408</v>
      </c>
      <c r="G719" s="52" t="n">
        <f aca="false">IF($G$11=$E$11,$F$11,IF(U719&lt;($F$11-$E$11)/($G$11-$E$11),$E$11+SQRT(U719*($G$11-$E$11)*($F$11-$E$11)),$G$11-SQRT((1-U719)*($G$11-$E$11)*($G$11-$F$11))))</f>
        <v>0.103538583568659</v>
      </c>
      <c r="H719" s="53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-2059091277.98815</v>
      </c>
      <c r="I719" s="53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14737333.2152012</v>
      </c>
      <c r="J719" s="53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334369005.832692</v>
      </c>
      <c r="K719" s="53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705477960.399887</v>
      </c>
      <c r="L719" s="53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846389272.816428</v>
      </c>
      <c r="M719" s="53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1035410091.30868</v>
      </c>
      <c r="N719" s="53" t="n">
        <f aca="false">IF(COUNT('Business Case'!B11:G11)=0,"",H719+NPV(G719,I719:M719))</f>
        <v>-42832005.7818577</v>
      </c>
      <c r="P719" s="54" t="n">
        <f aca="true">RAND()</f>
        <v>0.886366551248929</v>
      </c>
      <c r="Q719" s="54" t="n">
        <f aca="true">RAND()</f>
        <v>0.556762964992712</v>
      </c>
      <c r="R719" s="54" t="n">
        <f aca="true">RAND()</f>
        <v>0.239133569305926</v>
      </c>
      <c r="S719" s="54" t="n">
        <f aca="true">RAND()</f>
        <v>0.772254421489294</v>
      </c>
      <c r="T719" s="54" t="n">
        <f aca="true">RAND()</f>
        <v>0.351998329512934</v>
      </c>
      <c r="U719" s="54" t="n">
        <f aca="true">RAND()</f>
        <v>0.533195626964783</v>
      </c>
    </row>
    <row r="720" customFormat="false" ht="15" hidden="false" customHeight="false" outlineLevel="0" collapsed="false">
      <c r="A720" s="50" t="n">
        <v>640</v>
      </c>
      <c r="B720" s="51" t="n">
        <f aca="false">1+IF($G$6=$E$6,$F$6,IF(P720&lt;($F$6-$E$6)/($G$6-$E$6),$E$6+SQRT(P720*($G$6-$E$6)*($F$6-$E$6)),$G$6-SQRT((1-P720)*($G$6-$E$6)*($G$6-$F$6))))</f>
        <v>0.968944598580721</v>
      </c>
      <c r="C720" s="51" t="n">
        <f aca="false">1+IF($G$7=$E$7,$F$7,IF(Q720&lt;($F$7-$E$7)/($G$7-$E$7),$E$7+SQRT(Q720*($G$7-$E$7)*($F$7-$E$7)),$G$7-SQRT((1-Q720)*($G$7-$E$7)*($G$7-$F$7))))</f>
        <v>0.969750115898871</v>
      </c>
      <c r="D720" s="51" t="n">
        <f aca="false">1+IF($G$8=$E$8,$F$8,IF(R720&lt;($F$8-$E$8)/($G$8-$E$8),$E$8+SQRT(R720*($G$8-$E$8)*($F$8-$E$8)),$G$8-SQRT((1-R720)*($G$8-$E$8)*($G$8-$F$8))))</f>
        <v>1.02857115515081</v>
      </c>
      <c r="E720" s="51" t="n">
        <f aca="false">1+IF($G$9=$E$9,$F$9,IF(S720&lt;($F$9-$E$9)/($G$9-$E$9),$E$9+SQRT(S720*($G$9-$E$9)*($F$9-$E$9)),$G$9-SQRT((1-S720)*($G$9-$E$9)*($G$9-$F$9))))</f>
        <v>1.07703782145216</v>
      </c>
      <c r="F720" s="51" t="n">
        <f aca="false">1+IF($G$10=$E$10,$F$10,IF(T720&lt;($F$10-$E$10)/($G$10-$E$10),$E$10+SQRT(T720*($G$10-$E$10)*($F$10-$E$10)),$G$10-SQRT((1-T720)*($G$10-$E$10)*($G$10-$F$10))))</f>
        <v>1.10044277289732</v>
      </c>
      <c r="G720" s="52" t="n">
        <f aca="false">IF($G$11=$E$11,$F$11,IF(U720&lt;($F$11-$E$11)/($G$11-$E$11),$E$11+SQRT(U720*($G$11-$E$11)*($F$11-$E$11)),$G$11-SQRT((1-U720)*($G$11-$E$11)*($G$11-$F$11))))</f>
        <v>0.115429791942535</v>
      </c>
      <c r="H720" s="53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-2200885545.79464</v>
      </c>
      <c r="I720" s="53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-52899863.3375473</v>
      </c>
      <c r="J720" s="53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206109962.475459</v>
      </c>
      <c r="K720" s="53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520141926.933332</v>
      </c>
      <c r="L720" s="53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638952291.30455</v>
      </c>
      <c r="M720" s="53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817557948.022407</v>
      </c>
      <c r="N720" s="53" t="n">
        <f aca="false">IF(COUNT('Business Case'!B11:G11)=0,"",H720+NPV(G720,I720:M720))</f>
        <v>-821608124.721928</v>
      </c>
      <c r="P720" s="54" t="n">
        <f aca="true">RAND()</f>
        <v>0.316890511563784</v>
      </c>
      <c r="Q720" s="54" t="n">
        <f aca="true">RAND()</f>
        <v>0.539000926129292</v>
      </c>
      <c r="R720" s="54" t="n">
        <f aca="true">RAND()</f>
        <v>0.659861341567323</v>
      </c>
      <c r="S720" s="54" t="n">
        <f aca="true">RAND()</f>
        <v>0.858040546708065</v>
      </c>
      <c r="T720" s="54" t="n">
        <f aca="true">RAND()</f>
        <v>0.701768477618107</v>
      </c>
      <c r="U720" s="54" t="n">
        <f aca="true">RAND()</f>
        <v>0.858472691441447</v>
      </c>
    </row>
    <row r="721" customFormat="false" ht="15" hidden="false" customHeight="false" outlineLevel="0" collapsed="false">
      <c r="A721" s="50" t="n">
        <v>641</v>
      </c>
      <c r="B721" s="51" t="n">
        <f aca="false">1+IF($G$6=$E$6,$F$6,IF(P721&lt;($F$6-$E$6)/($G$6-$E$6),$E$6+SQRT(P721*($G$6-$E$6)*($F$6-$E$6)),$G$6-SQRT((1-P721)*($G$6-$E$6)*($G$6-$F$6))))</f>
        <v>1.01575841028371</v>
      </c>
      <c r="C721" s="51" t="n">
        <f aca="false">1+IF($G$7=$E$7,$F$7,IF(Q721&lt;($F$7-$E$7)/($G$7-$E$7),$E$7+SQRT(Q721*($G$7-$E$7)*($F$7-$E$7)),$G$7-SQRT((1-Q721)*($G$7-$E$7)*($G$7-$F$7))))</f>
        <v>0.980947164780792</v>
      </c>
      <c r="D721" s="51" t="n">
        <f aca="false">1+IF($G$8=$E$8,$F$8,IF(R721&lt;($F$8-$E$8)/($G$8-$E$8),$E$8+SQRT(R721*($G$8-$E$8)*($F$8-$E$8)),$G$8-SQRT((1-R721)*($G$8-$E$8)*($G$8-$F$8))))</f>
        <v>0.984909265680589</v>
      </c>
      <c r="E721" s="51" t="n">
        <f aca="false">1+IF($G$9=$E$9,$F$9,IF(S721&lt;($F$9-$E$9)/($G$9-$E$9),$E$9+SQRT(S721*($G$9-$E$9)*($F$9-$E$9)),$G$9-SQRT((1-S721)*($G$9-$E$9)*($G$9-$F$9))))</f>
        <v>0.991305429678323</v>
      </c>
      <c r="F721" s="51" t="n">
        <f aca="false">1+IF($G$10=$E$10,$F$10,IF(T721&lt;($F$10-$E$10)/($G$10-$E$10),$E$10+SQRT(T721*($G$10-$E$10)*($F$10-$E$10)),$G$10-SQRT((1-T721)*($G$10-$E$10)*($G$10-$F$10))))</f>
        <v>1.08781078085374</v>
      </c>
      <c r="G721" s="52" t="n">
        <f aca="false">IF($G$11=$E$11,$F$11,IF(U721&lt;($F$11-$E$11)/($G$11-$E$11),$E$11+SQRT(U721*($G$11-$E$11)*($F$11-$E$11)),$G$11-SQRT((1-U721)*($G$11-$E$11)*($G$11-$F$11))))</f>
        <v>0.108770945787718</v>
      </c>
      <c r="H721" s="53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-2175621561.70748</v>
      </c>
      <c r="I721" s="53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20140934.2369323</v>
      </c>
      <c r="J721" s="53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341680231.105112</v>
      </c>
      <c r="K721" s="53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717610067.015978</v>
      </c>
      <c r="L721" s="53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859225600.935782</v>
      </c>
      <c r="M721" s="53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1048622326.5697</v>
      </c>
      <c r="N721" s="53" t="n">
        <f aca="false">IF(COUNT('Business Case'!B11:G11)=0,"",H721+NPV(G721,I721:M721))</f>
        <v>-158793511.899036</v>
      </c>
      <c r="P721" s="54" t="n">
        <f aca="true">RAND()</f>
        <v>0.843668471160155</v>
      </c>
      <c r="Q721" s="54" t="n">
        <f aca="true">RAND()</f>
        <v>0.584676365913818</v>
      </c>
      <c r="R721" s="54" t="n">
        <f aca="true">RAND()</f>
        <v>0.162487577381059</v>
      </c>
      <c r="S721" s="54" t="n">
        <f aca="true">RAND()</f>
        <v>0.333467259549727</v>
      </c>
      <c r="T721" s="54" t="n">
        <f aca="true">RAND()</f>
        <v>0.649262095903029</v>
      </c>
      <c r="U721" s="54" t="n">
        <f aca="true">RAND()</f>
        <v>0.699551504834662</v>
      </c>
    </row>
    <row r="722" customFormat="false" ht="15" hidden="false" customHeight="false" outlineLevel="0" collapsed="false">
      <c r="A722" s="50" t="n">
        <v>642</v>
      </c>
      <c r="B722" s="51" t="n">
        <f aca="false">1+IF($G$6=$E$6,$F$6,IF(P722&lt;($F$6-$E$6)/($G$6-$E$6),$E$6+SQRT(P722*($G$6-$E$6)*($F$6-$E$6)),$G$6-SQRT((1-P722)*($G$6-$E$6)*($G$6-$F$6))))</f>
        <v>0.945913045201401</v>
      </c>
      <c r="C722" s="51" t="n">
        <f aca="false">1+IF($G$7=$E$7,$F$7,IF(Q722&lt;($F$7-$E$7)/($G$7-$E$7),$E$7+SQRT(Q722*($G$7-$E$7)*($F$7-$E$7)),$G$7-SQRT((1-Q722)*($G$7-$E$7)*($G$7-$F$7))))</f>
        <v>0.911575296474757</v>
      </c>
      <c r="D722" s="51" t="n">
        <f aca="false">1+IF($G$8=$E$8,$F$8,IF(R722&lt;($F$8-$E$8)/($G$8-$E$8),$E$8+SQRT(R722*($G$8-$E$8)*($F$8-$E$8)),$G$8-SQRT((1-R722)*($G$8-$E$8)*($G$8-$F$8))))</f>
        <v>1.03238031825594</v>
      </c>
      <c r="E722" s="51" t="n">
        <f aca="false">1+IF($G$9=$E$9,$F$9,IF(S722&lt;($F$9-$E$9)/($G$9-$E$9),$E$9+SQRT(S722*($G$9-$E$9)*($F$9-$E$9)),$G$9-SQRT((1-S722)*($G$9-$E$9)*($G$9-$F$9))))</f>
        <v>1.06601079444629</v>
      </c>
      <c r="F722" s="51" t="n">
        <f aca="false">1+IF($G$10=$E$10,$F$10,IF(T722&lt;($F$10-$E$10)/($G$10-$E$10),$E$10+SQRT(T722*($G$10-$E$10)*($F$10-$E$10)),$G$10-SQRT((1-T722)*($G$10-$E$10)*($G$10-$F$10))))</f>
        <v>1.0166885704866</v>
      </c>
      <c r="G722" s="52" t="n">
        <f aca="false">IF($G$11=$E$11,$F$11,IF(U722&lt;($F$11-$E$11)/($G$11-$E$11),$E$11+SQRT(U722*($G$11-$E$11)*($F$11-$E$11)),$G$11-SQRT((1-U722)*($G$11-$E$11)*($G$11-$F$11))))</f>
        <v>0.0911678336050841</v>
      </c>
      <c r="H722" s="53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-2033377140.97319</v>
      </c>
      <c r="I722" s="53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-73457733.9816282</v>
      </c>
      <c r="J722" s="53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151040250.861505</v>
      </c>
      <c r="K722" s="53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426372664.228968</v>
      </c>
      <c r="L722" s="53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531005410.380571</v>
      </c>
      <c r="M722" s="53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694905875.335314</v>
      </c>
      <c r="N722" s="53" t="n">
        <f aca="false">IF(COUNT('Business Case'!B11:G11)=0,"",H722+NPV(G722,I722:M722))</f>
        <v>-821860688.031997</v>
      </c>
      <c r="P722" s="54" t="n">
        <f aca="true">RAND()</f>
        <v>0.140533847977724</v>
      </c>
      <c r="Q722" s="54" t="n">
        <f aca="true">RAND()</f>
        <v>0.331585970950971</v>
      </c>
      <c r="R722" s="54" t="n">
        <f aca="true">RAND()</f>
        <v>0.6951719093888</v>
      </c>
      <c r="S722" s="54" t="n">
        <f aca="true">RAND()</f>
        <v>0.811888356012184</v>
      </c>
      <c r="T722" s="54" t="n">
        <f aca="true">RAND()</f>
        <v>0.274210358112161</v>
      </c>
      <c r="U722" s="54" t="n">
        <f aca="true">RAND()</f>
        <v>0.124720507430846</v>
      </c>
    </row>
    <row r="723" customFormat="false" ht="15" hidden="false" customHeight="false" outlineLevel="0" collapsed="false">
      <c r="A723" s="50" t="n">
        <v>643</v>
      </c>
      <c r="B723" s="51" t="n">
        <f aca="false">1+IF($G$6=$E$6,$F$6,IF(P723&lt;($F$6-$E$6)/($G$6-$E$6),$E$6+SQRT(P723*($G$6-$E$6)*($F$6-$E$6)),$G$6-SQRT((1-P723)*($G$6-$E$6)*($G$6-$F$6))))</f>
        <v>0.955069098301538</v>
      </c>
      <c r="C723" s="51" t="n">
        <f aca="false">1+IF($G$7=$E$7,$F$7,IF(Q723&lt;($F$7-$E$7)/($G$7-$E$7),$E$7+SQRT(Q723*($G$7-$E$7)*($F$7-$E$7)),$G$7-SQRT((1-Q723)*($G$7-$E$7)*($G$7-$F$7))))</f>
        <v>1.10434646663816</v>
      </c>
      <c r="D723" s="51" t="n">
        <f aca="false">1+IF($G$8=$E$8,$F$8,IF(R723&lt;($F$8-$E$8)/($G$8-$E$8),$E$8+SQRT(R723*($G$8-$E$8)*($F$8-$E$8)),$G$8-SQRT((1-R723)*($G$8-$E$8)*($G$8-$F$8))))</f>
        <v>1.05754459816797</v>
      </c>
      <c r="E723" s="51" t="n">
        <f aca="false">1+IF($G$9=$E$9,$F$9,IF(S723&lt;($F$9-$E$9)/($G$9-$E$9),$E$9+SQRT(S723*($G$9-$E$9)*($F$9-$E$9)),$G$9-SQRT((1-S723)*($G$9-$E$9)*($G$9-$F$9))))</f>
        <v>1.01337572411907</v>
      </c>
      <c r="F723" s="51" t="n">
        <f aca="false">1+IF($G$10=$E$10,$F$10,IF(T723&lt;($F$10-$E$10)/($G$10-$E$10),$E$10+SQRT(T723*($G$10-$E$10)*($F$10-$E$10)),$G$10-SQRT((1-T723)*($G$10-$E$10)*($G$10-$F$10))))</f>
        <v>0.972876993698608</v>
      </c>
      <c r="G723" s="52" t="n">
        <f aca="false">IF($G$11=$E$11,$F$11,IF(U723&lt;($F$11-$E$11)/($G$11-$E$11),$E$11+SQRT(U723*($G$11-$E$11)*($F$11-$E$11)),$G$11-SQRT((1-U723)*($G$11-$E$11)*($G$11-$F$11))))</f>
        <v>0.101496383600481</v>
      </c>
      <c r="H723" s="53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-1945753987.39722</v>
      </c>
      <c r="I723" s="53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-30038416.6065555</v>
      </c>
      <c r="J723" s="53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235989951.350465</v>
      </c>
      <c r="K723" s="53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550662168.992416</v>
      </c>
      <c r="L723" s="53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675789663.12741</v>
      </c>
      <c r="M723" s="53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876272206.282013</v>
      </c>
      <c r="N723" s="53" t="n">
        <f aca="false">IF(COUNT('Business Case'!B11:G11)=0,"",H723+NPV(G723,I723:M723))</f>
        <v>-367003561.803302</v>
      </c>
      <c r="P723" s="54" t="n">
        <f aca="true">RAND()</f>
        <v>0.202173705849632</v>
      </c>
      <c r="Q723" s="54" t="n">
        <f aca="true">RAND()</f>
        <v>0.969122294690069</v>
      </c>
      <c r="R723" s="54" t="n">
        <f aca="true">RAND()</f>
        <v>0.8798359236854</v>
      </c>
      <c r="S723" s="54" t="n">
        <f aca="true">RAND()</f>
        <v>0.502234859733671</v>
      </c>
      <c r="T723" s="54" t="n">
        <f aca="true">RAND()</f>
        <v>0.0348904560457437</v>
      </c>
      <c r="U723" s="54" t="n">
        <f aca="true">RAND()</f>
        <v>0.458362568099379</v>
      </c>
    </row>
    <row r="724" customFormat="false" ht="15" hidden="false" customHeight="false" outlineLevel="0" collapsed="false">
      <c r="A724" s="50" t="n">
        <v>644</v>
      </c>
      <c r="B724" s="51" t="n">
        <f aca="false">1+IF($G$6=$E$6,$F$6,IF(P724&lt;($F$6-$E$6)/($G$6-$E$6),$E$6+SQRT(P724*($G$6-$E$6)*($F$6-$E$6)),$G$6-SQRT((1-P724)*($G$6-$E$6)*($G$6-$F$6))))</f>
        <v>1.02670305542038</v>
      </c>
      <c r="C724" s="51" t="n">
        <f aca="false">1+IF($G$7=$E$7,$F$7,IF(Q724&lt;($F$7-$E$7)/($G$7-$E$7),$E$7+SQRT(Q724*($G$7-$E$7)*($F$7-$E$7)),$G$7-SQRT((1-Q724)*($G$7-$E$7)*($G$7-$F$7))))</f>
        <v>0.757307128920572</v>
      </c>
      <c r="D724" s="51" t="n">
        <f aca="false">1+IF($G$8=$E$8,$F$8,IF(R724&lt;($F$8-$E$8)/($G$8-$E$8),$E$8+SQRT(R724*($G$8-$E$8)*($F$8-$E$8)),$G$8-SQRT((1-R724)*($G$8-$E$8)*($G$8-$F$8))))</f>
        <v>1.03552288737148</v>
      </c>
      <c r="E724" s="51" t="n">
        <f aca="false">1+IF($G$9=$E$9,$F$9,IF(S724&lt;($F$9-$E$9)/($G$9-$E$9),$E$9+SQRT(S724*($G$9-$E$9)*($F$9-$E$9)),$G$9-SQRT((1-S724)*($G$9-$E$9)*($G$9-$F$9))))</f>
        <v>1.01064195352706</v>
      </c>
      <c r="F724" s="51" t="n">
        <f aca="false">1+IF($G$10=$E$10,$F$10,IF(T724&lt;($F$10-$E$10)/($G$10-$E$10),$E$10+SQRT(T724*($G$10-$E$10)*($F$10-$E$10)),$G$10-SQRT((1-T724)*($G$10-$E$10)*($G$10-$F$10))))</f>
        <v>1.04265527430151</v>
      </c>
      <c r="G724" s="52" t="n">
        <f aca="false">IF($G$11=$E$11,$F$11,IF(U724&lt;($F$11-$E$11)/($G$11-$E$11),$E$11+SQRT(U724*($G$11-$E$11)*($F$11-$E$11)),$G$11-SQRT((1-U724)*($G$11-$E$11)*($G$11-$F$11))))</f>
        <v>0.0911059145173709</v>
      </c>
      <c r="H724" s="53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-2085310548.60302</v>
      </c>
      <c r="I724" s="53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-52885468.8197085</v>
      </c>
      <c r="J724" s="53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182515007.099405</v>
      </c>
      <c r="K724" s="53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470048246.733594</v>
      </c>
      <c r="L724" s="53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575386493.051381</v>
      </c>
      <c r="M724" s="53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723179308.614167</v>
      </c>
      <c r="N724" s="53" t="n">
        <f aca="false">IF(COUNT('Business Case'!B11:G11)=0,"",H724+NPV(G724,I724:M724))</f>
        <v>-745003249.841701</v>
      </c>
      <c r="P724" s="54" t="n">
        <f aca="true">RAND()</f>
        <v>0.927633649767234</v>
      </c>
      <c r="Q724" s="54" t="n">
        <f aca="true">RAND()</f>
        <v>0.0243267187045852</v>
      </c>
      <c r="R724" s="54" t="n">
        <f aca="true">RAND()</f>
        <v>0.722846796472599</v>
      </c>
      <c r="S724" s="54" t="n">
        <f aca="true">RAND()</f>
        <v>0.482115596886525</v>
      </c>
      <c r="T724" s="54" t="n">
        <f aca="true">RAND()</f>
        <v>0.42677552966691</v>
      </c>
      <c r="U724" s="54" t="n">
        <f aca="true">RAND()</f>
        <v>0.123341337267149</v>
      </c>
    </row>
    <row r="725" customFormat="false" ht="15" hidden="false" customHeight="false" outlineLevel="0" collapsed="false">
      <c r="A725" s="50" t="n">
        <v>645</v>
      </c>
      <c r="B725" s="51" t="n">
        <f aca="false">1+IF($G$6=$E$6,$F$6,IF(P725&lt;($F$6-$E$6)/($G$6-$E$6),$E$6+SQRT(P725*($G$6-$E$6)*($F$6-$E$6)),$G$6-SQRT((1-P725)*($G$6-$E$6)*($G$6-$F$6))))</f>
        <v>1.03974093171425</v>
      </c>
      <c r="C725" s="51" t="n">
        <f aca="false">1+IF($G$7=$E$7,$F$7,IF(Q725&lt;($F$7-$E$7)/($G$7-$E$7),$E$7+SQRT(Q725*($G$7-$E$7)*($F$7-$E$7)),$G$7-SQRT((1-Q725)*($G$7-$E$7)*($G$7-$F$7))))</f>
        <v>0.870204508983833</v>
      </c>
      <c r="D725" s="51" t="n">
        <f aca="false">1+IF($G$8=$E$8,$F$8,IF(R725&lt;($F$8-$E$8)/($G$8-$E$8),$E$8+SQRT(R725*($G$8-$E$8)*($F$8-$E$8)),$G$8-SQRT((1-R725)*($G$8-$E$8)*($G$8-$F$8))))</f>
        <v>0.997937936436014</v>
      </c>
      <c r="E725" s="51" t="n">
        <f aca="false">1+IF($G$9=$E$9,$F$9,IF(S725&lt;($F$9-$E$9)/($G$9-$E$9),$E$9+SQRT(S725*($G$9-$E$9)*($F$9-$E$9)),$G$9-SQRT((1-S725)*($G$9-$E$9)*($G$9-$F$9))))</f>
        <v>1.06404693682913</v>
      </c>
      <c r="F725" s="51" t="n">
        <f aca="false">1+IF($G$10=$E$10,$F$10,IF(T725&lt;($F$10-$E$10)/($G$10-$E$10),$E$10+SQRT(T725*($G$10-$E$10)*($F$10-$E$10)),$G$10-SQRT((1-T725)*($G$10-$E$10)*($G$10-$F$10))))</f>
        <v>1.07378384423147</v>
      </c>
      <c r="G725" s="52" t="n">
        <f aca="false">IF($G$11=$E$11,$F$11,IF(U725&lt;($F$11-$E$11)/($G$11-$E$11),$E$11+SQRT(U725*($G$11-$E$11)*($F$11-$E$11)),$G$11-SQRT((1-U725)*($G$11-$E$11)*($G$11-$F$11))))</f>
        <v>0.105883168888182</v>
      </c>
      <c r="H725" s="53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-2147567688.46294</v>
      </c>
      <c r="I725" s="53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-9060624.06880263</v>
      </c>
      <c r="J725" s="53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287468781.584677</v>
      </c>
      <c r="K725" s="53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637687379.449729</v>
      </c>
      <c r="L725" s="53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767799961.922244</v>
      </c>
      <c r="M725" s="53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939781921.82303</v>
      </c>
      <c r="N725" s="53" t="n">
        <f aca="false">IF(COUNT('Business Case'!B11:G11)=0,"",H725+NPV(G725,I725:M725))</f>
        <v>-367685691.357537</v>
      </c>
      <c r="P725" s="54" t="n">
        <f aca="true">RAND()</f>
        <v>0.985966869054429</v>
      </c>
      <c r="Q725" s="54" t="n">
        <f aca="true">RAND()</f>
        <v>0.214589443543908</v>
      </c>
      <c r="R725" s="54" t="n">
        <f aca="true">RAND()</f>
        <v>0.306406099965778</v>
      </c>
      <c r="S725" s="54" t="n">
        <f aca="true">RAND()</f>
        <v>0.80298855817452</v>
      </c>
      <c r="T725" s="54" t="n">
        <f aca="true">RAND()</f>
        <v>0.58597155261548</v>
      </c>
      <c r="U725" s="54" t="n">
        <f aca="true">RAND()</f>
        <v>0.612252304749356</v>
      </c>
    </row>
    <row r="726" customFormat="false" ht="15" hidden="false" customHeight="false" outlineLevel="0" collapsed="false">
      <c r="A726" s="50" t="n">
        <v>646</v>
      </c>
      <c r="B726" s="51" t="n">
        <f aca="false">1+IF($G$6=$E$6,$F$6,IF(P726&lt;($F$6-$E$6)/($G$6-$E$6),$E$6+SQRT(P726*($G$6-$E$6)*($F$6-$E$6)),$G$6-SQRT((1-P726)*($G$6-$E$6)*($G$6-$F$6))))</f>
        <v>1.03336393138107</v>
      </c>
      <c r="C726" s="51" t="n">
        <f aca="false">1+IF($G$7=$E$7,$F$7,IF(Q726&lt;($F$7-$E$7)/($G$7-$E$7),$E$7+SQRT(Q726*($G$7-$E$7)*($F$7-$E$7)),$G$7-SQRT((1-Q726)*($G$7-$E$7)*($G$7-$F$7))))</f>
        <v>0.95584930467126</v>
      </c>
      <c r="D726" s="51" t="n">
        <f aca="false">1+IF($G$8=$E$8,$F$8,IF(R726&lt;($F$8-$E$8)/($G$8-$E$8),$E$8+SQRT(R726*($G$8-$E$8)*($F$8-$E$8)),$G$8-SQRT((1-R726)*($G$8-$E$8)*($G$8-$F$8))))</f>
        <v>1.06145074009878</v>
      </c>
      <c r="E726" s="51" t="n">
        <f aca="false">1+IF($G$9=$E$9,$F$9,IF(S726&lt;($F$9-$E$9)/($G$9-$E$9),$E$9+SQRT(S726*($G$9-$E$9)*($F$9-$E$9)),$G$9-SQRT((1-S726)*($G$9-$E$9)*($G$9-$F$9))))</f>
        <v>1.02178960612255</v>
      </c>
      <c r="F726" s="51" t="n">
        <f aca="false">1+IF($G$10=$E$10,$F$10,IF(T726&lt;($F$10-$E$10)/($G$10-$E$10),$E$10+SQRT(T726*($G$10-$E$10)*($F$10-$E$10)),$G$10-SQRT((1-T726)*($G$10-$E$10)*($G$10-$F$10))))</f>
        <v>1.13439902725865</v>
      </c>
      <c r="G726" s="52" t="n">
        <f aca="false">IF($G$11=$E$11,$F$11,IF(U726&lt;($F$11-$E$11)/($G$11-$E$11),$E$11+SQRT(U726*($G$11-$E$11)*($F$11-$E$11)),$G$11-SQRT((1-U726)*($G$11-$E$11)*($G$11-$F$11))))</f>
        <v>0.110720325626379</v>
      </c>
      <c r="H726" s="53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-2268798054.51731</v>
      </c>
      <c r="I726" s="53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-20299851.608509</v>
      </c>
      <c r="J726" s="53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269343133.222943</v>
      </c>
      <c r="K726" s="53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615706069.417327</v>
      </c>
      <c r="L726" s="53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746390032.176791</v>
      </c>
      <c r="M726" s="53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934139688.496175</v>
      </c>
      <c r="N726" s="53" t="n">
        <f aca="false">IF(COUNT('Business Case'!B11:G11)=0,"",H726+NPV(G726,I726:M726))</f>
        <v>-576462003.040195</v>
      </c>
      <c r="P726" s="54" t="n">
        <f aca="true">RAND()</f>
        <v>0.963098829454177</v>
      </c>
      <c r="Q726" s="54" t="n">
        <f aca="true">RAND()</f>
        <v>0.484880494079759</v>
      </c>
      <c r="R726" s="54" t="n">
        <f aca="true">RAND()</f>
        <v>0.900930304071202</v>
      </c>
      <c r="S726" s="54" t="n">
        <f aca="true">RAND()</f>
        <v>0.561655864047716</v>
      </c>
      <c r="T726" s="54" t="n">
        <f aca="true">RAND()</f>
        <v>0.821818868016729</v>
      </c>
      <c r="U726" s="54" t="n">
        <f aca="true">RAND()</f>
        <v>0.752196104031436</v>
      </c>
    </row>
    <row r="727" customFormat="false" ht="15" hidden="false" customHeight="false" outlineLevel="0" collapsed="false">
      <c r="A727" s="50" t="n">
        <v>647</v>
      </c>
      <c r="B727" s="51" t="n">
        <f aca="false">1+IF($G$6=$E$6,$F$6,IF(P727&lt;($F$6-$E$6)/($G$6-$E$6),$E$6+SQRT(P727*($G$6-$E$6)*($F$6-$E$6)),$G$6-SQRT((1-P727)*($G$6-$E$6)*($G$6-$F$6))))</f>
        <v>0.997399490278425</v>
      </c>
      <c r="C727" s="51" t="n">
        <f aca="false">1+IF($G$7=$E$7,$F$7,IF(Q727&lt;($F$7-$E$7)/($G$7-$E$7),$E$7+SQRT(Q727*($G$7-$E$7)*($F$7-$E$7)),$G$7-SQRT((1-Q727)*($G$7-$E$7)*($G$7-$F$7))))</f>
        <v>1.03977616641902</v>
      </c>
      <c r="D727" s="51" t="n">
        <f aca="false">1+IF($G$8=$E$8,$F$8,IF(R727&lt;($F$8-$E$8)/($G$8-$E$8),$E$8+SQRT(R727*($G$8-$E$8)*($F$8-$E$8)),$G$8-SQRT((1-R727)*($G$8-$E$8)*($G$8-$F$8))))</f>
        <v>0.973319417451452</v>
      </c>
      <c r="E727" s="51" t="n">
        <f aca="false">1+IF($G$9=$E$9,$F$9,IF(S727&lt;($F$9-$E$9)/($G$9-$E$9),$E$9+SQRT(S727*($G$9-$E$9)*($F$9-$E$9)),$G$9-SQRT((1-S727)*($G$9-$E$9)*($G$9-$F$9))))</f>
        <v>1.01809763006029</v>
      </c>
      <c r="F727" s="51" t="n">
        <f aca="false">1+IF($G$10=$E$10,$F$10,IF(T727&lt;($F$10-$E$10)/($G$10-$E$10),$E$10+SQRT(T727*($G$10-$E$10)*($F$10-$E$10)),$G$10-SQRT((1-T727)*($G$10-$E$10)*($G$10-$F$10))))</f>
        <v>1.03803937191141</v>
      </c>
      <c r="G727" s="52" t="n">
        <f aca="false">IF($G$11=$E$11,$F$11,IF(U727&lt;($F$11-$E$11)/($G$11-$E$11),$E$11+SQRT(U727*($G$11-$E$11)*($F$11-$E$11)),$G$11-SQRT((1-U727)*($G$11-$E$11)*($G$11-$F$11))))</f>
        <v>0.106264813962281</v>
      </c>
      <c r="H727" s="53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-2076078743.82283</v>
      </c>
      <c r="I727" s="53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29016956.5402984</v>
      </c>
      <c r="J727" s="53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360373157.067648</v>
      </c>
      <c r="K727" s="53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743631326.190568</v>
      </c>
      <c r="L727" s="53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889924608.900576</v>
      </c>
      <c r="M727" s="53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1087051296.17214</v>
      </c>
      <c r="N727" s="53" t="n">
        <f aca="false">IF(COUNT('Business Case'!B11:G11)=0,"",H727+NPV(G727,I727:M727))</f>
        <v>44134273.7004914</v>
      </c>
      <c r="P727" s="54" t="n">
        <f aca="true">RAND()</f>
        <v>0.632444047099804</v>
      </c>
      <c r="Q727" s="54" t="n">
        <f aca="true">RAND()</f>
        <v>0.820010466825365</v>
      </c>
      <c r="R727" s="54" t="n">
        <f aca="true">RAND()</f>
        <v>0.0725060307033436</v>
      </c>
      <c r="S727" s="54" t="n">
        <f aca="true">RAND()</f>
        <v>0.536047061447664</v>
      </c>
      <c r="T727" s="54" t="n">
        <f aca="true">RAND()</f>
        <v>0.400969228537229</v>
      </c>
      <c r="U727" s="54" t="n">
        <f aca="true">RAND()</f>
        <v>0.624427295836568</v>
      </c>
    </row>
    <row r="728" customFormat="false" ht="15" hidden="false" customHeight="false" outlineLevel="0" collapsed="false">
      <c r="A728" s="50" t="n">
        <v>648</v>
      </c>
      <c r="B728" s="51" t="n">
        <f aca="false">1+IF($G$6=$E$6,$F$6,IF(P728&lt;($F$6-$E$6)/($G$6-$E$6),$E$6+SQRT(P728*($G$6-$E$6)*($F$6-$E$6)),$G$6-SQRT((1-P728)*($G$6-$E$6)*($G$6-$F$6))))</f>
        <v>1.00119634950702</v>
      </c>
      <c r="C728" s="51" t="n">
        <f aca="false">1+IF($G$7=$E$7,$F$7,IF(Q728&lt;($F$7-$E$7)/($G$7-$E$7),$E$7+SQRT(Q728*($G$7-$E$7)*($F$7-$E$7)),$G$7-SQRT((1-Q728)*($G$7-$E$7)*($G$7-$F$7))))</f>
        <v>0.943966464406425</v>
      </c>
      <c r="D728" s="51" t="n">
        <f aca="false">1+IF($G$8=$E$8,$F$8,IF(R728&lt;($F$8-$E$8)/($G$8-$E$8),$E$8+SQRT(R728*($G$8-$E$8)*($F$8-$E$8)),$G$8-SQRT((1-R728)*($G$8-$E$8)*($G$8-$F$8))))</f>
        <v>0.985155553314452</v>
      </c>
      <c r="E728" s="51" t="n">
        <f aca="false">1+IF($G$9=$E$9,$F$9,IF(S728&lt;($F$9-$E$9)/($G$9-$E$9),$E$9+SQRT(S728*($G$9-$E$9)*($F$9-$E$9)),$G$9-SQRT((1-S728)*($G$9-$E$9)*($G$9-$F$9))))</f>
        <v>0.99791661327489</v>
      </c>
      <c r="F728" s="51" t="n">
        <f aca="false">1+IF($G$10=$E$10,$F$10,IF(T728&lt;($F$10-$E$10)/($G$10-$E$10),$E$10+SQRT(T728*($G$10-$E$10)*($F$10-$E$10)),$G$10-SQRT((1-T728)*($G$10-$E$10)*($G$10-$F$10))))</f>
        <v>1.0019479321725</v>
      </c>
      <c r="G728" s="52" t="n">
        <f aca="false">IF($G$11=$E$11,$F$11,IF(U728&lt;($F$11-$E$11)/($G$11-$E$11),$E$11+SQRT(U728*($G$11-$E$11)*($F$11-$E$11)),$G$11-SQRT((1-U728)*($G$11-$E$11)*($G$11-$F$11))))</f>
        <v>0.107847386685157</v>
      </c>
      <c r="H728" s="53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-2003895864.345</v>
      </c>
      <c r="I728" s="53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6947236.86436302</v>
      </c>
      <c r="J728" s="53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304986774.496629</v>
      </c>
      <c r="K728" s="53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653123708.737521</v>
      </c>
      <c r="L728" s="53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785132731.376919</v>
      </c>
      <c r="M728" s="53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964776536.90112</v>
      </c>
      <c r="N728" s="53" t="n">
        <f aca="false">IF(COUNT('Business Case'!B11:G11)=0,"",H728+NPV(G728,I728:M728))</f>
        <v>-169425567.066616</v>
      </c>
      <c r="P728" s="54" t="n">
        <f aca="true">RAND()</f>
        <v>0.682427159807826</v>
      </c>
      <c r="Q728" s="54" t="n">
        <f aca="true">RAND()</f>
        <v>0.440886190777565</v>
      </c>
      <c r="R728" s="54" t="n">
        <f aca="true">RAND()</f>
        <v>0.164788390512699</v>
      </c>
      <c r="S728" s="54" t="n">
        <f aca="true">RAND()</f>
        <v>0.383506526208971</v>
      </c>
      <c r="T728" s="54" t="n">
        <f aca="true">RAND()</f>
        <v>0.17960228862002</v>
      </c>
      <c r="U728" s="54" t="n">
        <f aca="true">RAND()</f>
        <v>0.672841148882016</v>
      </c>
    </row>
    <row r="729" customFormat="false" ht="15" hidden="false" customHeight="false" outlineLevel="0" collapsed="false">
      <c r="A729" s="50" t="n">
        <v>649</v>
      </c>
      <c r="B729" s="51" t="n">
        <f aca="false">1+IF($G$6=$E$6,$F$6,IF(P729&lt;($F$6-$E$6)/($G$6-$E$6),$E$6+SQRT(P729*($G$6-$E$6)*($F$6-$E$6)),$G$6-SQRT((1-P729)*($G$6-$E$6)*($G$6-$F$6))))</f>
        <v>1.003285778696</v>
      </c>
      <c r="C729" s="51" t="n">
        <f aca="false">1+IF($G$7=$E$7,$F$7,IF(Q729&lt;($F$7-$E$7)/($G$7-$E$7),$E$7+SQRT(Q729*($G$7-$E$7)*($F$7-$E$7)),$G$7-SQRT((1-Q729)*($G$7-$E$7)*($G$7-$F$7))))</f>
        <v>0.929208124723841</v>
      </c>
      <c r="D729" s="51" t="n">
        <f aca="false">1+IF($G$8=$E$8,$F$8,IF(R729&lt;($F$8-$E$8)/($G$8-$E$8),$E$8+SQRT(R729*($G$8-$E$8)*($F$8-$E$8)),$G$8-SQRT((1-R729)*($G$8-$E$8)*($G$8-$F$8))))</f>
        <v>1.04702036118739</v>
      </c>
      <c r="E729" s="51" t="n">
        <f aca="false">1+IF($G$9=$E$9,$F$9,IF(S729&lt;($F$9-$E$9)/($G$9-$E$9),$E$9+SQRT(S729*($G$9-$E$9)*($F$9-$E$9)),$G$9-SQRT((1-S729)*($G$9-$E$9)*($G$9-$F$9))))</f>
        <v>0.957036179157095</v>
      </c>
      <c r="F729" s="51" t="n">
        <f aca="false">1+IF($G$10=$E$10,$F$10,IF(T729&lt;($F$10-$E$10)/($G$10-$E$10),$E$10+SQRT(T729*($G$10-$E$10)*($F$10-$E$10)),$G$10-SQRT((1-T729)*($G$10-$E$10)*($G$10-$F$10))))</f>
        <v>0.977820274427412</v>
      </c>
      <c r="G729" s="52" t="n">
        <f aca="false">IF($G$11=$E$11,$F$11,IF(U729&lt;($F$11-$E$11)/($G$11-$E$11),$E$11+SQRT(U729*($G$11-$E$11)*($F$11-$E$11)),$G$11-SQRT((1-U729)*($G$11-$E$11)*($G$11-$F$11))))</f>
        <v>0.0919581824323266</v>
      </c>
      <c r="H729" s="53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-1955640548.85482</v>
      </c>
      <c r="I729" s="53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-16658751.8246897</v>
      </c>
      <c r="J729" s="53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248883494.105162</v>
      </c>
      <c r="K729" s="53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563316753.756385</v>
      </c>
      <c r="L729" s="53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684049786.156776</v>
      </c>
      <c r="M729" s="53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861254013.487534</v>
      </c>
      <c r="N729" s="53" t="n">
        <f aca="false">IF(COUNT('Business Case'!B11:G11)=0,"",H729+NPV(G729,I729:M729))</f>
        <v>-293632455.216264</v>
      </c>
      <c r="P729" s="54" t="n">
        <f aca="true">RAND()</f>
        <v>0.709037537061447</v>
      </c>
      <c r="Q729" s="54" t="n">
        <f aca="true">RAND()</f>
        <v>0.389158255106815</v>
      </c>
      <c r="R729" s="54" t="n">
        <f aca="true">RAND()</f>
        <v>0.812877191419041</v>
      </c>
      <c r="S729" s="54" t="n">
        <f aca="true">RAND()</f>
        <v>0.13012502931361</v>
      </c>
      <c r="T729" s="54" t="n">
        <f aca="true">RAND()</f>
        <v>0.0515978446144332</v>
      </c>
      <c r="U729" s="54" t="n">
        <f aca="true">RAND()</f>
        <v>0.142998127084804</v>
      </c>
    </row>
    <row r="730" customFormat="false" ht="15" hidden="false" customHeight="false" outlineLevel="0" collapsed="false">
      <c r="A730" s="50" t="n">
        <v>650</v>
      </c>
      <c r="B730" s="51" t="n">
        <f aca="false">1+IF($G$6=$E$6,$F$6,IF(P730&lt;($F$6-$E$6)/($G$6-$E$6),$E$6+SQRT(P730*($G$6-$E$6)*($F$6-$E$6)),$G$6-SQRT((1-P730)*($G$6-$E$6)*($G$6-$F$6))))</f>
        <v>0.974620699113784</v>
      </c>
      <c r="C730" s="51" t="n">
        <f aca="false">1+IF($G$7=$E$7,$F$7,IF(Q730&lt;($F$7-$E$7)/($G$7-$E$7),$E$7+SQRT(Q730*($G$7-$E$7)*($F$7-$E$7)),$G$7-SQRT((1-Q730)*($G$7-$E$7)*($G$7-$F$7))))</f>
        <v>0.823446541750866</v>
      </c>
      <c r="D730" s="51" t="n">
        <f aca="false">1+IF($G$8=$E$8,$F$8,IF(R730&lt;($F$8-$E$8)/($G$8-$E$8),$E$8+SQRT(R730*($G$8-$E$8)*($F$8-$E$8)),$G$8-SQRT((1-R730)*($G$8-$E$8)*($G$8-$F$8))))</f>
        <v>1.0219064583768</v>
      </c>
      <c r="E730" s="51" t="n">
        <f aca="false">1+IF($G$9=$E$9,$F$9,IF(S730&lt;($F$9-$E$9)/($G$9-$E$9),$E$9+SQRT(S730*($G$9-$E$9)*($F$9-$E$9)),$G$9-SQRT((1-S730)*($G$9-$E$9)*($G$9-$F$9))))</f>
        <v>0.958197305388484</v>
      </c>
      <c r="F730" s="51" t="n">
        <f aca="false">1+IF($G$10=$E$10,$F$10,IF(T730&lt;($F$10-$E$10)/($G$10-$E$10),$E$10+SQRT(T730*($G$10-$E$10)*($F$10-$E$10)),$G$10-SQRT((1-T730)*($G$10-$E$10)*($G$10-$F$10))))</f>
        <v>1.1842742947426</v>
      </c>
      <c r="G730" s="52" t="n">
        <f aca="false">IF($G$11=$E$11,$F$11,IF(U730&lt;($F$11-$E$11)/($G$11-$E$11),$E$11+SQRT(U730*($G$11-$E$11)*($F$11-$E$11)),$G$11-SQRT((1-U730)*($G$11-$E$11)*($G$11-$F$11))))</f>
        <v>0.109639641176427</v>
      </c>
      <c r="H730" s="53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-2368548589.48519</v>
      </c>
      <c r="I730" s="53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-69715720.0639493</v>
      </c>
      <c r="J730" s="53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156855736.784142</v>
      </c>
      <c r="K730" s="53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442640908.369363</v>
      </c>
      <c r="L730" s="53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545900787.726419</v>
      </c>
      <c r="M730" s="53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698449119.968726</v>
      </c>
      <c r="N730" s="53" t="n">
        <f aca="false">IF(COUNT('Business Case'!B11:G11)=0,"",H730+NPV(G730,I730:M730))</f>
        <v>-1204776811.48821</v>
      </c>
      <c r="P730" s="54" t="n">
        <f aca="true">RAND()</f>
        <v>0.371216582415329</v>
      </c>
      <c r="Q730" s="54" t="n">
        <f aca="true">RAND()</f>
        <v>0.112881842001839</v>
      </c>
      <c r="R730" s="54" t="n">
        <f aca="true">RAND()</f>
        <v>0.593426583783061</v>
      </c>
      <c r="S730" s="54" t="n">
        <f aca="true">RAND()</f>
        <v>0.135477054179218</v>
      </c>
      <c r="T730" s="54" t="n">
        <f aca="true">RAND()</f>
        <v>0.942401755578893</v>
      </c>
      <c r="U730" s="54" t="n">
        <f aca="true">RAND()</f>
        <v>0.723637192383573</v>
      </c>
    </row>
    <row r="731" customFormat="false" ht="15" hidden="false" customHeight="false" outlineLevel="0" collapsed="false">
      <c r="A731" s="50" t="n">
        <v>651</v>
      </c>
      <c r="B731" s="51" t="n">
        <f aca="false">1+IF($G$6=$E$6,$F$6,IF(P731&lt;($F$6-$E$6)/($G$6-$E$6),$E$6+SQRT(P731*($G$6-$E$6)*($F$6-$E$6)),$G$6-SQRT((1-P731)*($G$6-$E$6)*($G$6-$F$6))))</f>
        <v>0.985454842421679</v>
      </c>
      <c r="C731" s="51" t="n">
        <f aca="false">1+IF($G$7=$E$7,$F$7,IF(Q731&lt;($F$7-$E$7)/($G$7-$E$7),$E$7+SQRT(Q731*($G$7-$E$7)*($F$7-$E$7)),$G$7-SQRT((1-Q731)*($G$7-$E$7)*($G$7-$F$7))))</f>
        <v>1.07695184651619</v>
      </c>
      <c r="D731" s="51" t="n">
        <f aca="false">1+IF($G$8=$E$8,$F$8,IF(R731&lt;($F$8-$E$8)/($G$8-$E$8),$E$8+SQRT(R731*($G$8-$E$8)*($F$8-$E$8)),$G$8-SQRT((1-R731)*($G$8-$E$8)*($G$8-$F$8))))</f>
        <v>1.04034995774856</v>
      </c>
      <c r="E731" s="51" t="n">
        <f aca="false">1+IF($G$9=$E$9,$F$9,IF(S731&lt;($F$9-$E$9)/($G$9-$E$9),$E$9+SQRT(S731*($G$9-$E$9)*($F$9-$E$9)),$G$9-SQRT((1-S731)*($G$9-$E$9)*($G$9-$F$9))))</f>
        <v>1.05284375295166</v>
      </c>
      <c r="F731" s="51" t="n">
        <f aca="false">1+IF($G$10=$E$10,$F$10,IF(T731&lt;($F$10-$E$10)/($G$10-$E$10),$E$10+SQRT(T731*($G$10-$E$10)*($F$10-$E$10)),$G$10-SQRT((1-T731)*($G$10-$E$10)*($G$10-$F$10))))</f>
        <v>1.14354871174813</v>
      </c>
      <c r="G731" s="52" t="n">
        <f aca="false">IF($G$11=$E$11,$F$11,IF(U731&lt;($F$11-$E$11)/($G$11-$E$11),$E$11+SQRT(U731*($G$11-$E$11)*($F$11-$E$11)),$G$11-SQRT((1-U731)*($G$11-$E$11)*($G$11-$F$11))))</f>
        <v>0.109602245058892</v>
      </c>
      <c r="H731" s="53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-2287097423.49626</v>
      </c>
      <c r="I731" s="53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-23374242.1659505</v>
      </c>
      <c r="J731" s="53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272337907.961311</v>
      </c>
      <c r="K731" s="53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625227493.675979</v>
      </c>
      <c r="L731" s="53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760476303.350849</v>
      </c>
      <c r="M731" s="53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962205814.66265</v>
      </c>
      <c r="N731" s="53" t="n">
        <f aca="false">IF(COUNT('Business Case'!B11:G11)=0,"",H731+NPV(G731,I731:M731))</f>
        <v>-555601545.305369</v>
      </c>
      <c r="P731" s="54" t="n">
        <f aca="true">RAND()</f>
        <v>0.486835339554267</v>
      </c>
      <c r="Q731" s="54" t="n">
        <f aca="true">RAND()</f>
        <v>0.920947663297854</v>
      </c>
      <c r="R731" s="54" t="n">
        <f aca="true">RAND()</f>
        <v>0.762791497293413</v>
      </c>
      <c r="S731" s="54" t="n">
        <f aca="true">RAND()</f>
        <v>0.748284364252839</v>
      </c>
      <c r="T731" s="54" t="n">
        <f aca="true">RAND()</f>
        <v>0.8489083097269</v>
      </c>
      <c r="U731" s="54" t="n">
        <f aca="true">RAND()</f>
        <v>0.722621062241677</v>
      </c>
    </row>
    <row r="732" customFormat="false" ht="15" hidden="false" customHeight="false" outlineLevel="0" collapsed="false">
      <c r="A732" s="50" t="n">
        <v>652</v>
      </c>
      <c r="B732" s="51" t="n">
        <f aca="false">1+IF($G$6=$E$6,$F$6,IF(P732&lt;($F$6-$E$6)/($G$6-$E$6),$E$6+SQRT(P732*($G$6-$E$6)*($F$6-$E$6)),$G$6-SQRT((1-P732)*($G$6-$E$6)*($G$6-$F$6))))</f>
        <v>0.970159880665476</v>
      </c>
      <c r="C732" s="51" t="n">
        <f aca="false">1+IF($G$7=$E$7,$F$7,IF(Q732&lt;($F$7-$E$7)/($G$7-$E$7),$E$7+SQRT(Q732*($G$7-$E$7)*($F$7-$E$7)),$G$7-SQRT((1-Q732)*($G$7-$E$7)*($G$7-$F$7))))</f>
        <v>0.894731928417567</v>
      </c>
      <c r="D732" s="51" t="n">
        <f aca="false">1+IF($G$8=$E$8,$F$8,IF(R732&lt;($F$8-$E$8)/($G$8-$E$8),$E$8+SQRT(R732*($G$8-$E$8)*($F$8-$E$8)),$G$8-SQRT((1-R732)*($G$8-$E$8)*($G$8-$F$8))))</f>
        <v>1.00271662994901</v>
      </c>
      <c r="E732" s="51" t="n">
        <f aca="false">1+IF($G$9=$E$9,$F$9,IF(S732&lt;($F$9-$E$9)/($G$9-$E$9),$E$9+SQRT(S732*($G$9-$E$9)*($F$9-$E$9)),$G$9-SQRT((1-S732)*($G$9-$E$9)*($G$9-$F$9))))</f>
        <v>0.945654219014081</v>
      </c>
      <c r="F732" s="51" t="n">
        <f aca="false">1+IF($G$10=$E$10,$F$10,IF(T732&lt;($F$10-$E$10)/($G$10-$E$10),$E$10+SQRT(T732*($G$10-$E$10)*($F$10-$E$10)),$G$10-SQRT((1-T732)*($G$10-$E$10)*($G$10-$F$10))))</f>
        <v>1.10443262887203</v>
      </c>
      <c r="G732" s="52" t="n">
        <f aca="false">IF($G$11=$E$11,$F$11,IF(U732&lt;($F$11-$E$11)/($G$11-$E$11),$E$11+SQRT(U732*($G$11-$E$11)*($F$11-$E$11)),$G$11-SQRT((1-U732)*($G$11-$E$11)*($G$11-$F$11))))</f>
        <v>0.0986224228632446</v>
      </c>
      <c r="H732" s="53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-2208865257.74405</v>
      </c>
      <c r="I732" s="53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-38208052.1252026</v>
      </c>
      <c r="J732" s="53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213498020.384117</v>
      </c>
      <c r="K732" s="53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520425724.337038</v>
      </c>
      <c r="L732" s="53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634326969.709155</v>
      </c>
      <c r="M732" s="53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799322686.322051</v>
      </c>
      <c r="N732" s="53" t="n">
        <f aca="false">IF(COUNT('Business Case'!B11:G11)=0,"",H732+NPV(G732,I732:M732))</f>
        <v>-739412742.526453</v>
      </c>
      <c r="P732" s="54" t="n">
        <f aca="true">RAND()</f>
        <v>0.328160590332919</v>
      </c>
      <c r="Q732" s="54" t="n">
        <f aca="true">RAND()</f>
        <v>0.280892769964624</v>
      </c>
      <c r="R732" s="54" t="n">
        <f aca="true">RAND()</f>
        <v>0.369063060768119</v>
      </c>
      <c r="S732" s="54" t="n">
        <f aca="true">RAND()</f>
        <v>0.0833723085514255</v>
      </c>
      <c r="T732" s="54" t="n">
        <f aca="true">RAND()</f>
        <v>0.717468539505211</v>
      </c>
      <c r="U732" s="54" t="n">
        <f aca="true">RAND()</f>
        <v>0.346794633297493</v>
      </c>
    </row>
    <row r="733" customFormat="false" ht="15" hidden="false" customHeight="false" outlineLevel="0" collapsed="false">
      <c r="A733" s="50" t="n">
        <v>653</v>
      </c>
      <c r="B733" s="51" t="n">
        <f aca="false">1+IF($G$6=$E$6,$F$6,IF(P733&lt;($F$6-$E$6)/($G$6-$E$6),$E$6+SQRT(P733*($G$6-$E$6)*($F$6-$E$6)),$G$6-SQRT((1-P733)*($G$6-$E$6)*($G$6-$F$6))))</f>
        <v>0.970533069818894</v>
      </c>
      <c r="C733" s="51" t="n">
        <f aca="false">1+IF($G$7=$E$7,$F$7,IF(Q733&lt;($F$7-$E$7)/($G$7-$E$7),$E$7+SQRT(Q733*($G$7-$E$7)*($F$7-$E$7)),$G$7-SQRT((1-Q733)*($G$7-$E$7)*($G$7-$F$7))))</f>
        <v>1.08709643346434</v>
      </c>
      <c r="D733" s="51" t="n">
        <f aca="false">1+IF($G$8=$E$8,$F$8,IF(R733&lt;($F$8-$E$8)/($G$8-$E$8),$E$8+SQRT(R733*($G$8-$E$8)*($F$8-$E$8)),$G$8-SQRT((1-R733)*($G$8-$E$8)*($G$8-$F$8))))</f>
        <v>0.982900697356476</v>
      </c>
      <c r="E733" s="51" t="n">
        <f aca="false">1+IF($G$9=$E$9,$F$9,IF(S733&lt;($F$9-$E$9)/($G$9-$E$9),$E$9+SQRT(S733*($G$9-$E$9)*($F$9-$E$9)),$G$9-SQRT((1-S733)*($G$9-$E$9)*($G$9-$F$9))))</f>
        <v>0.961775250141711</v>
      </c>
      <c r="F733" s="51" t="n">
        <f aca="false">1+IF($G$10=$E$10,$F$10,IF(T733&lt;($F$10-$E$10)/($G$10-$E$10),$E$10+SQRT(T733*($G$10-$E$10)*($F$10-$E$10)),$G$10-SQRT((1-T733)*($G$10-$E$10)*($G$10-$F$10))))</f>
        <v>1.11273403066016</v>
      </c>
      <c r="G733" s="52" t="n">
        <f aca="false">IF($G$11=$E$11,$F$11,IF(U733&lt;($F$11-$E$11)/($G$11-$E$11),$E$11+SQRT(U733*($G$11-$E$11)*($F$11-$E$11)),$G$11-SQRT((1-U733)*($G$11-$E$11)*($G$11-$F$11))))</f>
        <v>0.0907481907070471</v>
      </c>
      <c r="H733" s="53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-2225468061.32033</v>
      </c>
      <c r="I733" s="53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14449746.9611537</v>
      </c>
      <c r="J733" s="53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331631805.487758</v>
      </c>
      <c r="K733" s="53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704450565.547371</v>
      </c>
      <c r="L733" s="53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846640897.009094</v>
      </c>
      <c r="M733" s="53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1047187279.41646</v>
      </c>
      <c r="N733" s="53" t="n">
        <f aca="false">IF(COUNT('Business Case'!B11:G11)=0,"",H733+NPV(G733,I733:M733))</f>
        <v>-114222376.953934</v>
      </c>
      <c r="P733" s="54" t="n">
        <f aca="true">RAND()</f>
        <v>0.331660929205128</v>
      </c>
      <c r="Q733" s="54" t="n">
        <f aca="true">RAND()</f>
        <v>0.941379871364345</v>
      </c>
      <c r="R733" s="54" t="n">
        <f aca="true">RAND()</f>
        <v>0.144327451538993</v>
      </c>
      <c r="S733" s="54" t="n">
        <f aca="true">RAND()</f>
        <v>0.152647261202839</v>
      </c>
      <c r="T733" s="54" t="n">
        <f aca="true">RAND()</f>
        <v>0.748774048815938</v>
      </c>
      <c r="U733" s="54" t="n">
        <f aca="true">RAND()</f>
        <v>0.115523603475054</v>
      </c>
    </row>
    <row r="734" customFormat="false" ht="15" hidden="false" customHeight="false" outlineLevel="0" collapsed="false">
      <c r="A734" s="50" t="n">
        <v>654</v>
      </c>
      <c r="B734" s="51" t="n">
        <f aca="false">1+IF($G$6=$E$6,$F$6,IF(P734&lt;($F$6-$E$6)/($G$6-$E$6),$E$6+SQRT(P734*($G$6-$E$6)*($F$6-$E$6)),$G$6-SQRT((1-P734)*($G$6-$E$6)*($G$6-$F$6))))</f>
        <v>0.958555575577061</v>
      </c>
      <c r="C734" s="51" t="n">
        <f aca="false">1+IF($G$7=$E$7,$F$7,IF(Q734&lt;($F$7-$E$7)/($G$7-$E$7),$E$7+SQRT(Q734*($G$7-$E$7)*($F$7-$E$7)),$G$7-SQRT((1-Q734)*($G$7-$E$7)*($G$7-$F$7))))</f>
        <v>0.924055391974783</v>
      </c>
      <c r="D734" s="51" t="n">
        <f aca="false">1+IF($G$8=$E$8,$F$8,IF(R734&lt;($F$8-$E$8)/($G$8-$E$8),$E$8+SQRT(R734*($G$8-$E$8)*($F$8-$E$8)),$G$8-SQRT((1-R734)*($G$8-$E$8)*($G$8-$F$8))))</f>
        <v>1.03928613719835</v>
      </c>
      <c r="E734" s="51" t="n">
        <f aca="false">1+IF($G$9=$E$9,$F$9,IF(S734&lt;($F$9-$E$9)/($G$9-$E$9),$E$9+SQRT(S734*($G$9-$E$9)*($F$9-$E$9)),$G$9-SQRT((1-S734)*($G$9-$E$9)*($G$9-$F$9))))</f>
        <v>1.04426417368591</v>
      </c>
      <c r="F734" s="51" t="n">
        <f aca="false">1+IF($G$10=$E$10,$F$10,IF(T734&lt;($F$10-$E$10)/($G$10-$E$10),$E$10+SQRT(T734*($G$10-$E$10)*($F$10-$E$10)),$G$10-SQRT((1-T734)*($G$10-$E$10)*($G$10-$F$10))))</f>
        <v>1.14549754844383</v>
      </c>
      <c r="G734" s="52" t="n">
        <f aca="false">IF($G$11=$E$11,$F$11,IF(U734&lt;($F$11-$E$11)/($G$11-$E$11),$E$11+SQRT(U734*($G$11-$E$11)*($F$11-$E$11)),$G$11-SQRT((1-U734)*($G$11-$E$11)*($G$11-$F$11))))</f>
        <v>0.108901356189963</v>
      </c>
      <c r="H734" s="53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-2290995096.88766</v>
      </c>
      <c r="I734" s="53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-75088340.986192</v>
      </c>
      <c r="J734" s="53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158785156.32065</v>
      </c>
      <c r="K734" s="53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449933531.049683</v>
      </c>
      <c r="L734" s="53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558503175.452306</v>
      </c>
      <c r="M734" s="53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726868141.270855</v>
      </c>
      <c r="N734" s="53" t="n">
        <f aca="false">IF(COUNT('Business Case'!B11:G11)=0,"",H734+NPV(G734,I734:M734))</f>
        <v>-1096748400.47852</v>
      </c>
      <c r="P734" s="54" t="n">
        <f aca="true">RAND()</f>
        <v>0.22858369541073</v>
      </c>
      <c r="Q734" s="54" t="n">
        <f aca="true">RAND()</f>
        <v>0.3718579160961</v>
      </c>
      <c r="R734" s="54" t="n">
        <f aca="true">RAND()</f>
        <v>0.75425512424684</v>
      </c>
      <c r="S734" s="54" t="n">
        <f aca="true">RAND()</f>
        <v>0.7018649342314</v>
      </c>
      <c r="T734" s="54" t="n">
        <f aca="true">RAND()</f>
        <v>0.854389834916668</v>
      </c>
      <c r="U734" s="54" t="n">
        <f aca="true">RAND()</f>
        <v>0.70323148625147</v>
      </c>
    </row>
    <row r="735" customFormat="false" ht="15" hidden="false" customHeight="false" outlineLevel="0" collapsed="false">
      <c r="A735" s="50" t="n">
        <v>655</v>
      </c>
      <c r="B735" s="51" t="n">
        <f aca="false">1+IF($G$6=$E$6,$F$6,IF(P735&lt;($F$6-$E$6)/($G$6-$E$6),$E$6+SQRT(P735*($G$6-$E$6)*($F$6-$E$6)),$G$6-SQRT((1-P735)*($G$6-$E$6)*($G$6-$F$6))))</f>
        <v>1.00245566401339</v>
      </c>
      <c r="C735" s="51" t="n">
        <f aca="false">1+IF($G$7=$E$7,$F$7,IF(Q735&lt;($F$7-$E$7)/($G$7-$E$7),$E$7+SQRT(Q735*($G$7-$E$7)*($F$7-$E$7)),$G$7-SQRT((1-Q735)*($G$7-$E$7)*($G$7-$F$7))))</f>
        <v>0.827284079065952</v>
      </c>
      <c r="D735" s="51" t="n">
        <f aca="false">1+IF($G$8=$E$8,$F$8,IF(R735&lt;($F$8-$E$8)/($G$8-$E$8),$E$8+SQRT(R735*($G$8-$E$8)*($F$8-$E$8)),$G$8-SQRT((1-R735)*($G$8-$E$8)*($G$8-$F$8))))</f>
        <v>1.01627942844126</v>
      </c>
      <c r="E735" s="51" t="n">
        <f aca="false">1+IF($G$9=$E$9,$F$9,IF(S735&lt;($F$9-$E$9)/($G$9-$E$9),$E$9+SQRT(S735*($G$9-$E$9)*($F$9-$E$9)),$G$9-SQRT((1-S735)*($G$9-$E$9)*($G$9-$F$9))))</f>
        <v>0.936345962085911</v>
      </c>
      <c r="F735" s="51" t="n">
        <f aca="false">1+IF($G$10=$E$10,$F$10,IF(T735&lt;($F$10-$E$10)/($G$10-$E$10),$E$10+SQRT(T735*($G$10-$E$10)*($F$10-$E$10)),$G$10-SQRT((1-T735)*($G$10-$E$10)*($G$10-$F$10))))</f>
        <v>1.08349030841103</v>
      </c>
      <c r="G735" s="52" t="n">
        <f aca="false">IF($G$11=$E$11,$F$11,IF(U735&lt;($F$11-$E$11)/($G$11-$E$11),$E$11+SQRT(U735*($G$11-$E$11)*($F$11-$E$11)),$G$11-SQRT((1-U735)*($G$11-$E$11)*($G$11-$F$11))))</f>
        <v>0.0891206153041346</v>
      </c>
      <c r="H735" s="53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-2166980616.82207</v>
      </c>
      <c r="I735" s="53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-35617608.8034054</v>
      </c>
      <c r="J735" s="53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213253930.307184</v>
      </c>
      <c r="K735" s="53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516299984.838324</v>
      </c>
      <c r="L735" s="53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627918312.051371</v>
      </c>
      <c r="M735" s="53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785554623.353711</v>
      </c>
      <c r="N735" s="53" t="n">
        <f aca="false">IF(COUNT('Business Case'!B11:G11)=0,"",H735+NPV(G735,I735:M735))</f>
        <v>-661364656.26974</v>
      </c>
      <c r="P735" s="54" t="n">
        <f aca="true">RAND()</f>
        <v>0.698604815412334</v>
      </c>
      <c r="Q735" s="54" t="n">
        <f aca="true">RAND()</f>
        <v>0.120009161360499</v>
      </c>
      <c r="R735" s="54" t="n">
        <f aca="true">RAND()</f>
        <v>0.532724393191903</v>
      </c>
      <c r="S735" s="54" t="n">
        <f aca="true">RAND()</f>
        <v>0.0528411583980177</v>
      </c>
      <c r="T735" s="54" t="n">
        <f aca="true">RAND()</f>
        <v>0.630326968092632</v>
      </c>
      <c r="U735" s="54" t="n">
        <f aca="true">RAND()</f>
        <v>0.0831856235260138</v>
      </c>
    </row>
    <row r="736" customFormat="false" ht="15" hidden="false" customHeight="false" outlineLevel="0" collapsed="false">
      <c r="A736" s="50" t="n">
        <v>656</v>
      </c>
      <c r="B736" s="51" t="n">
        <f aca="false">1+IF($G$6=$E$6,$F$6,IF(P736&lt;($F$6-$E$6)/($G$6-$E$6),$E$6+SQRT(P736*($G$6-$E$6)*($F$6-$E$6)),$G$6-SQRT((1-P736)*($G$6-$E$6)*($G$6-$F$6))))</f>
        <v>0.947245273850353</v>
      </c>
      <c r="C736" s="51" t="n">
        <f aca="false">1+IF($G$7=$E$7,$F$7,IF(Q736&lt;($F$7-$E$7)/($G$7-$E$7),$E$7+SQRT(Q736*($G$7-$E$7)*($F$7-$E$7)),$G$7-SQRT((1-Q736)*($G$7-$E$7)*($G$7-$F$7))))</f>
        <v>1.00251256213021</v>
      </c>
      <c r="D736" s="51" t="n">
        <f aca="false">1+IF($G$8=$E$8,$F$8,IF(R736&lt;($F$8-$E$8)/($G$8-$E$8),$E$8+SQRT(R736*($G$8-$E$8)*($F$8-$E$8)),$G$8-SQRT((1-R736)*($G$8-$E$8)*($G$8-$F$8))))</f>
        <v>1.02286174371855</v>
      </c>
      <c r="E736" s="51" t="n">
        <f aca="false">1+IF($G$9=$E$9,$F$9,IF(S736&lt;($F$9-$E$9)/($G$9-$E$9),$E$9+SQRT(S736*($G$9-$E$9)*($F$9-$E$9)),$G$9-SQRT((1-S736)*($G$9-$E$9)*($G$9-$F$9))))</f>
        <v>1.08458393214188</v>
      </c>
      <c r="F736" s="51" t="n">
        <f aca="false">1+IF($G$10=$E$10,$F$10,IF(T736&lt;($F$10-$E$10)/($G$10-$E$10),$E$10+SQRT(T736*($G$10-$E$10)*($F$10-$E$10)),$G$10-SQRT((1-T736)*($G$10-$E$10)*($G$10-$F$10))))</f>
        <v>1.0985327893214</v>
      </c>
      <c r="G736" s="52" t="n">
        <f aca="false">IF($G$11=$E$11,$F$11,IF(U736&lt;($F$11-$E$11)/($G$11-$E$11),$E$11+SQRT(U736*($G$11-$E$11)*($F$11-$E$11)),$G$11-SQRT((1-U736)*($G$11-$E$11)*($G$11-$F$11))))</f>
        <v>0.112562701159398</v>
      </c>
      <c r="H736" s="53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-2197065578.64281</v>
      </c>
      <c r="I736" s="53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-60437226.4356014</v>
      </c>
      <c r="J736" s="53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192435236.06126</v>
      </c>
      <c r="K736" s="53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500234338.024192</v>
      </c>
      <c r="L736" s="53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617344208.75631</v>
      </c>
      <c r="M736" s="53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797848983.205382</v>
      </c>
      <c r="N736" s="53" t="n">
        <f aca="false">IF(COUNT('Business Case'!B11:G11)=0,"",H736+NPV(G736,I736:M736))</f>
        <v>-861690507.150965</v>
      </c>
      <c r="P736" s="54" t="n">
        <f aca="true">RAND()</f>
        <v>0.148807726746322</v>
      </c>
      <c r="Q736" s="54" t="n">
        <f aca="true">RAND()</f>
        <v>0.67774008400896</v>
      </c>
      <c r="R736" s="54" t="n">
        <f aca="true">RAND()</f>
        <v>0.603312627857124</v>
      </c>
      <c r="S736" s="54" t="n">
        <f aca="true">RAND()</f>
        <v>0.885886348426186</v>
      </c>
      <c r="T736" s="54" t="n">
        <f aca="true">RAND()</f>
        <v>0.694102454523279</v>
      </c>
      <c r="U736" s="54" t="n">
        <f aca="true">RAND()</f>
        <v>0.797293739429022</v>
      </c>
    </row>
    <row r="737" customFormat="false" ht="15" hidden="false" customHeight="false" outlineLevel="0" collapsed="false">
      <c r="A737" s="50" t="n">
        <v>657</v>
      </c>
      <c r="B737" s="51" t="n">
        <f aca="false">1+IF($G$6=$E$6,$F$6,IF(P737&lt;($F$6-$E$6)/($G$6-$E$6),$E$6+SQRT(P737*($G$6-$E$6)*($F$6-$E$6)),$G$6-SQRT((1-P737)*($G$6-$E$6)*($G$6-$F$6))))</f>
        <v>1.02153401670982</v>
      </c>
      <c r="C737" s="51" t="n">
        <f aca="false">1+IF($G$7=$E$7,$F$7,IF(Q737&lt;($F$7-$E$7)/($G$7-$E$7),$E$7+SQRT(Q737*($G$7-$E$7)*($F$7-$E$7)),$G$7-SQRT((1-Q737)*($G$7-$E$7)*($G$7-$F$7))))</f>
        <v>1.02845853981757</v>
      </c>
      <c r="D737" s="51" t="n">
        <f aca="false">1+IF($G$8=$E$8,$F$8,IF(R737&lt;($F$8-$E$8)/($G$8-$E$8),$E$8+SQRT(R737*($G$8-$E$8)*($F$8-$E$8)),$G$8-SQRT((1-R737)*($G$8-$E$8)*($G$8-$F$8))))</f>
        <v>1.00633778046528</v>
      </c>
      <c r="E737" s="51" t="n">
        <f aca="false">1+IF($G$9=$E$9,$F$9,IF(S737&lt;($F$9-$E$9)/($G$9-$E$9),$E$9+SQRT(S737*($G$9-$E$9)*($F$9-$E$9)),$G$9-SQRT((1-S737)*($G$9-$E$9)*($G$9-$F$9))))</f>
        <v>1.01170307655695</v>
      </c>
      <c r="F737" s="51" t="n">
        <f aca="false">1+IF($G$10=$E$10,$F$10,IF(T737&lt;($F$10-$E$10)/($G$10-$E$10),$E$10+SQRT(T737*($G$10-$E$10)*($F$10-$E$10)),$G$10-SQRT((1-T737)*($G$10-$E$10)*($G$10-$F$10))))</f>
        <v>1.16764641318754</v>
      </c>
      <c r="G737" s="52" t="n">
        <f aca="false">IF($G$11=$E$11,$F$11,IF(U737&lt;($F$11-$E$11)/($G$11-$E$11),$E$11+SQRT(U737*($G$11-$E$11)*($F$11-$E$11)),$G$11-SQRT((1-U737)*($G$11-$E$11)*($G$11-$F$11))))</f>
        <v>0.0988905722766781</v>
      </c>
      <c r="H737" s="53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-2335292826.37509</v>
      </c>
      <c r="I737" s="53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15603986.3509844</v>
      </c>
      <c r="J737" s="53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346300174.572176</v>
      </c>
      <c r="K737" s="53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735378683.452746</v>
      </c>
      <c r="L737" s="53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881919668.236513</v>
      </c>
      <c r="M737" s="53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1081618739.47505</v>
      </c>
      <c r="N737" s="53" t="n">
        <f aca="false">IF(COUNT('Business Case'!B11:G11)=0,"",H737+NPV(G737,I737:M737))</f>
        <v>-200343985.019913</v>
      </c>
      <c r="P737" s="54" t="n">
        <f aca="true">RAND()</f>
        <v>0.89195837270976</v>
      </c>
      <c r="Q737" s="54" t="n">
        <f aca="true">RAND()</f>
        <v>0.781150717877373</v>
      </c>
      <c r="R737" s="54" t="n">
        <f aca="true">RAND()</f>
        <v>0.415159242121967</v>
      </c>
      <c r="S737" s="54" t="n">
        <f aca="true">RAND()</f>
        <v>0.489972292431669</v>
      </c>
      <c r="T737" s="54" t="n">
        <f aca="true">RAND()</f>
        <v>0.90957182318831</v>
      </c>
      <c r="U737" s="54" t="n">
        <f aca="true">RAND()</f>
        <v>0.3568537209404</v>
      </c>
    </row>
    <row r="738" customFormat="false" ht="15" hidden="false" customHeight="false" outlineLevel="0" collapsed="false">
      <c r="A738" s="50" t="n">
        <v>658</v>
      </c>
      <c r="B738" s="51" t="n">
        <f aca="false">1+IF($G$6=$E$6,$F$6,IF(P738&lt;($F$6-$E$6)/($G$6-$E$6),$E$6+SQRT(P738*($G$6-$E$6)*($F$6-$E$6)),$G$6-SQRT((1-P738)*($G$6-$E$6)*($G$6-$F$6))))</f>
        <v>1.00394935896728</v>
      </c>
      <c r="C738" s="51" t="n">
        <f aca="false">1+IF($G$7=$E$7,$F$7,IF(Q738&lt;($F$7-$E$7)/($G$7-$E$7),$E$7+SQRT(Q738*($G$7-$E$7)*($F$7-$E$7)),$G$7-SQRT((1-Q738)*($G$7-$E$7)*($G$7-$F$7))))</f>
        <v>0.942401609513624</v>
      </c>
      <c r="D738" s="51" t="n">
        <f aca="false">1+IF($G$8=$E$8,$F$8,IF(R738&lt;($F$8-$E$8)/($G$8-$E$8),$E$8+SQRT(R738*($G$8-$E$8)*($F$8-$E$8)),$G$8-SQRT((1-R738)*($G$8-$E$8)*($G$8-$F$8))))</f>
        <v>0.987548543306552</v>
      </c>
      <c r="E738" s="51" t="n">
        <f aca="false">1+IF($G$9=$E$9,$F$9,IF(S738&lt;($F$9-$E$9)/($G$9-$E$9),$E$9+SQRT(S738*($G$9-$E$9)*($F$9-$E$9)),$G$9-SQRT((1-S738)*($G$9-$E$9)*($G$9-$F$9))))</f>
        <v>0.997478638631779</v>
      </c>
      <c r="F738" s="51" t="n">
        <f aca="false">1+IF($G$10=$E$10,$F$10,IF(T738&lt;($F$10-$E$10)/($G$10-$E$10),$E$10+SQRT(T738*($G$10-$E$10)*($F$10-$E$10)),$G$10-SQRT((1-T738)*($G$10-$E$10)*($G$10-$F$10))))</f>
        <v>0.989112963591735</v>
      </c>
      <c r="G738" s="52" t="n">
        <f aca="false">IF($G$11=$E$11,$F$11,IF(U738&lt;($F$11-$E$11)/($G$11-$E$11),$E$11+SQRT(U738*($G$11-$E$11)*($F$11-$E$11)),$G$11-SQRT((1-U738)*($G$11-$E$11)*($G$11-$F$11))))</f>
        <v>0.090516992144337</v>
      </c>
      <c r="H738" s="53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-1978225927.18347</v>
      </c>
      <c r="I738" s="53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8716237.0623655</v>
      </c>
      <c r="J738" s="53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307232274.71023</v>
      </c>
      <c r="K738" s="53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655203960.537682</v>
      </c>
      <c r="L738" s="53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787407334.295561</v>
      </c>
      <c r="M738" s="53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967246487.60948</v>
      </c>
      <c r="N738" s="53" t="n">
        <f aca="false">IF(COUNT('Business Case'!B11:G11)=0,"",H738+NPV(G738,I738:M738))</f>
        <v>-22751306.8967969</v>
      </c>
      <c r="P738" s="54" t="n">
        <f aca="true">RAND()</f>
        <v>0.717245128063421</v>
      </c>
      <c r="Q738" s="54" t="n">
        <f aca="true">RAND()</f>
        <v>0.435248446628113</v>
      </c>
      <c r="R738" s="54" t="n">
        <f aca="true">RAND()</f>
        <v>0.187985747259199</v>
      </c>
      <c r="S738" s="54" t="n">
        <f aca="true">RAND()</f>
        <v>0.380083399580198</v>
      </c>
      <c r="T738" s="54" t="n">
        <f aca="true">RAND()</f>
        <v>0.101988261395227</v>
      </c>
      <c r="U738" s="54" t="n">
        <f aca="true">RAND()</f>
        <v>0.110607123764047</v>
      </c>
    </row>
    <row r="739" customFormat="false" ht="15" hidden="false" customHeight="false" outlineLevel="0" collapsed="false">
      <c r="A739" s="50" t="n">
        <v>659</v>
      </c>
      <c r="B739" s="51" t="n">
        <f aca="false">1+IF($G$6=$E$6,$F$6,IF(P739&lt;($F$6-$E$6)/($G$6-$E$6),$E$6+SQRT(P739*($G$6-$E$6)*($F$6-$E$6)),$G$6-SQRT((1-P739)*($G$6-$E$6)*($G$6-$F$6))))</f>
        <v>1.0114054021788</v>
      </c>
      <c r="C739" s="51" t="n">
        <f aca="false">1+IF($G$7=$E$7,$F$7,IF(Q739&lt;($F$7-$E$7)/($G$7-$E$7),$E$7+SQRT(Q739*($G$7-$E$7)*($F$7-$E$7)),$G$7-SQRT((1-Q739)*($G$7-$E$7)*($G$7-$F$7))))</f>
        <v>0.928493772826262</v>
      </c>
      <c r="D739" s="51" t="n">
        <f aca="false">1+IF($G$8=$E$8,$F$8,IF(R739&lt;($F$8-$E$8)/($G$8-$E$8),$E$8+SQRT(R739*($G$8-$E$8)*($F$8-$E$8)),$G$8-SQRT((1-R739)*($G$8-$E$8)*($G$8-$F$8))))</f>
        <v>1.07662315154318</v>
      </c>
      <c r="E739" s="51" t="n">
        <f aca="false">1+IF($G$9=$E$9,$F$9,IF(S739&lt;($F$9-$E$9)/($G$9-$E$9),$E$9+SQRT(S739*($G$9-$E$9)*($F$9-$E$9)),$G$9-SQRT((1-S739)*($G$9-$E$9)*($G$9-$F$9))))</f>
        <v>1.00670968988417</v>
      </c>
      <c r="F739" s="51" t="n">
        <f aca="false">1+IF($G$10=$E$10,$F$10,IF(T739&lt;($F$10-$E$10)/($G$10-$E$10),$E$10+SQRT(T739*($G$10-$E$10)*($F$10-$E$10)),$G$10-SQRT((1-T739)*($G$10-$E$10)*($G$10-$F$10))))</f>
        <v>1.03521936146734</v>
      </c>
      <c r="G739" s="52" t="n">
        <f aca="false">IF($G$11=$E$11,$F$11,IF(U739&lt;($F$11-$E$11)/($G$11-$E$11),$E$11+SQRT(U739*($G$11-$E$11)*($F$11-$E$11)),$G$11-SQRT((1-U739)*($G$11-$E$11)*($G$11-$F$11))))</f>
        <v>0.0872710339858246</v>
      </c>
      <c r="H739" s="53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-2070438722.93468</v>
      </c>
      <c r="I739" s="53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-37915681.4687418</v>
      </c>
      <c r="J739" s="53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219526785.853688</v>
      </c>
      <c r="K739" s="53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528730221.249486</v>
      </c>
      <c r="L739" s="53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646999106.852235</v>
      </c>
      <c r="M739" s="53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825500120.909565</v>
      </c>
      <c r="N739" s="53" t="n">
        <f aca="false">IF(COUNT('Business Case'!B11:G11)=0,"",H739+NPV(G739,I739:M739))</f>
        <v>-501997425.017862</v>
      </c>
      <c r="P739" s="54" t="n">
        <f aca="true">RAND()</f>
        <v>0.80139426920263</v>
      </c>
      <c r="Q739" s="54" t="n">
        <f aca="true">RAND()</f>
        <v>0.386736327558365</v>
      </c>
      <c r="R739" s="54" t="n">
        <f aca="true">RAND()</f>
        <v>0.963568197081779</v>
      </c>
      <c r="S739" s="54" t="n">
        <f aca="true">RAND()</f>
        <v>0.452476987384284</v>
      </c>
      <c r="T739" s="54" t="n">
        <f aca="true">RAND()</f>
        <v>0.3849236974867</v>
      </c>
      <c r="U739" s="54" t="n">
        <f aca="true">RAND()</f>
        <v>0.0528679352230162</v>
      </c>
    </row>
    <row r="740" customFormat="false" ht="15" hidden="false" customHeight="false" outlineLevel="0" collapsed="false">
      <c r="A740" s="50" t="n">
        <v>660</v>
      </c>
      <c r="B740" s="51" t="n">
        <f aca="false">1+IF($G$6=$E$6,$F$6,IF(P740&lt;($F$6-$E$6)/($G$6-$E$6),$E$6+SQRT(P740*($G$6-$E$6)*($F$6-$E$6)),$G$6-SQRT((1-P740)*($G$6-$E$6)*($G$6-$F$6))))</f>
        <v>0.957540872361008</v>
      </c>
      <c r="C740" s="51" t="n">
        <f aca="false">1+IF($G$7=$E$7,$F$7,IF(Q740&lt;($F$7-$E$7)/($G$7-$E$7),$E$7+SQRT(Q740*($G$7-$E$7)*($F$7-$E$7)),$G$7-SQRT((1-Q740)*($G$7-$E$7)*($G$7-$F$7))))</f>
        <v>0.984441316468013</v>
      </c>
      <c r="D740" s="51" t="n">
        <f aca="false">1+IF($G$8=$E$8,$F$8,IF(R740&lt;($F$8-$E$8)/($G$8-$E$8),$E$8+SQRT(R740*($G$8-$E$8)*($F$8-$E$8)),$G$8-SQRT((1-R740)*($G$8-$E$8)*($G$8-$F$8))))</f>
        <v>1.04965934442268</v>
      </c>
      <c r="E740" s="51" t="n">
        <f aca="false">1+IF($G$9=$E$9,$F$9,IF(S740&lt;($F$9-$E$9)/($G$9-$E$9),$E$9+SQRT(S740*($G$9-$E$9)*($F$9-$E$9)),$G$9-SQRT((1-S740)*($G$9-$E$9)*($G$9-$F$9))))</f>
        <v>1.03676063484359</v>
      </c>
      <c r="F740" s="51" t="n">
        <f aca="false">1+IF($G$10=$E$10,$F$10,IF(T740&lt;($F$10-$E$10)/($G$10-$E$10),$E$10+SQRT(T740*($G$10-$E$10)*($F$10-$E$10)),$G$10-SQRT((1-T740)*($G$10-$E$10)*($G$10-$F$10))))</f>
        <v>1.02063873768937</v>
      </c>
      <c r="G740" s="52" t="n">
        <f aca="false">IF($G$11=$E$11,$F$11,IF(U740&lt;($F$11-$E$11)/($G$11-$E$11),$E$11+SQRT(U740*($G$11-$E$11)*($F$11-$E$11)),$G$11-SQRT((1-U740)*($G$11-$E$11)*($G$11-$F$11))))</f>
        <v>0.10225944713289</v>
      </c>
      <c r="H740" s="53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-2041277475.37874</v>
      </c>
      <c r="I740" s="53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-55246801.1607052</v>
      </c>
      <c r="J740" s="53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187864236.31664</v>
      </c>
      <c r="K740" s="53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482007210.678453</v>
      </c>
      <c r="L740" s="53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595621958.233804</v>
      </c>
      <c r="M740" s="53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774799501.079771</v>
      </c>
      <c r="N740" s="53" t="n">
        <f aca="false">IF(COUNT('Business Case'!B11:G11)=0,"",H740+NPV(G740,I740:M740))</f>
        <v>-697186949.307011</v>
      </c>
      <c r="P740" s="54" t="n">
        <f aca="true">RAND()</f>
        <v>0.220730132804387</v>
      </c>
      <c r="Q740" s="54" t="n">
        <f aca="true">RAND()</f>
        <v>0.599310092696714</v>
      </c>
      <c r="R740" s="54" t="n">
        <f aca="true">RAND()</f>
        <v>0.831054559736406</v>
      </c>
      <c r="S740" s="54" t="n">
        <f aca="true">RAND()</f>
        <v>0.658049231439294</v>
      </c>
      <c r="T740" s="54" t="n">
        <f aca="true">RAND()</f>
        <v>0.298578818016992</v>
      </c>
      <c r="U740" s="54" t="n">
        <f aca="true">RAND()</f>
        <v>0.486974484418047</v>
      </c>
    </row>
    <row r="741" customFormat="false" ht="15" hidden="false" customHeight="false" outlineLevel="0" collapsed="false">
      <c r="A741" s="50" t="n">
        <v>661</v>
      </c>
      <c r="B741" s="51" t="n">
        <f aca="false">1+IF($G$6=$E$6,$F$6,IF(P741&lt;($F$6-$E$6)/($G$6-$E$6),$E$6+SQRT(P741*($G$6-$E$6)*($F$6-$E$6)),$G$6-SQRT((1-P741)*($G$6-$E$6)*($G$6-$F$6))))</f>
        <v>1.01359303980936</v>
      </c>
      <c r="C741" s="51" t="n">
        <f aca="false">1+IF($G$7=$E$7,$F$7,IF(Q741&lt;($F$7-$E$7)/($G$7-$E$7),$E$7+SQRT(Q741*($G$7-$E$7)*($F$7-$E$7)),$G$7-SQRT((1-Q741)*($G$7-$E$7)*($G$7-$F$7))))</f>
        <v>0.983666087915047</v>
      </c>
      <c r="D741" s="51" t="n">
        <f aca="false">1+IF($G$8=$E$8,$F$8,IF(R741&lt;($F$8-$E$8)/($G$8-$E$8),$E$8+SQRT(R741*($G$8-$E$8)*($F$8-$E$8)),$G$8-SQRT((1-R741)*($G$8-$E$8)*($G$8-$F$8))))</f>
        <v>1.03358145280488</v>
      </c>
      <c r="E741" s="51" t="n">
        <f aca="false">1+IF($G$9=$E$9,$F$9,IF(S741&lt;($F$9-$E$9)/($G$9-$E$9),$E$9+SQRT(S741*($G$9-$E$9)*($F$9-$E$9)),$G$9-SQRT((1-S741)*($G$9-$E$9)*($G$9-$F$9))))</f>
        <v>1.03412971385683</v>
      </c>
      <c r="F741" s="51" t="n">
        <f aca="false">1+IF($G$10=$E$10,$F$10,IF(T741&lt;($F$10-$E$10)/($G$10-$E$10),$E$10+SQRT(T741*($G$10-$E$10)*($F$10-$E$10)),$G$10-SQRT((1-T741)*($G$10-$E$10)*($G$10-$F$10))))</f>
        <v>1.10846880638071</v>
      </c>
      <c r="G741" s="52" t="n">
        <f aca="false">IF($G$11=$E$11,$F$11,IF(U741&lt;($F$11-$E$11)/($G$11-$E$11),$E$11+SQRT(U741*($G$11-$E$11)*($F$11-$E$11)),$G$11-SQRT((1-U741)*($G$11-$E$11)*($G$11-$F$11))))</f>
        <v>0.0991155601431935</v>
      </c>
      <c r="H741" s="53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-2216937612.76142</v>
      </c>
      <c r="I741" s="53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-13409921.9621414</v>
      </c>
      <c r="J741" s="53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282766685.298971</v>
      </c>
      <c r="K741" s="53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634366732.879118</v>
      </c>
      <c r="L741" s="53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767549870.815983</v>
      </c>
      <c r="M741" s="53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957066682.823365</v>
      </c>
      <c r="N741" s="53" t="n">
        <f aca="false">IF(COUNT('Business Case'!B11:G11)=0,"",H741+NPV(G741,I741:M741))</f>
        <v>-394715671.123377</v>
      </c>
      <c r="P741" s="54" t="n">
        <f aca="true">RAND()</f>
        <v>0.823271099956918</v>
      </c>
      <c r="Q741" s="54" t="n">
        <f aca="true">RAND()</f>
        <v>0.596047773577977</v>
      </c>
      <c r="R741" s="54" t="n">
        <f aca="true">RAND()</f>
        <v>0.705905105899307</v>
      </c>
      <c r="S741" s="54" t="n">
        <f aca="true">RAND()</f>
        <v>0.641975381042687</v>
      </c>
      <c r="T741" s="54" t="n">
        <f aca="true">RAND()</f>
        <v>0.732918949769321</v>
      </c>
      <c r="U741" s="54" t="n">
        <f aca="true">RAND()</f>
        <v>0.365404639588049</v>
      </c>
    </row>
    <row r="742" customFormat="false" ht="15" hidden="false" customHeight="false" outlineLevel="0" collapsed="false">
      <c r="A742" s="50" t="n">
        <v>662</v>
      </c>
      <c r="B742" s="51" t="n">
        <f aca="false">1+IF($G$6=$E$6,$F$6,IF(P742&lt;($F$6-$E$6)/($G$6-$E$6),$E$6+SQRT(P742*($G$6-$E$6)*($F$6-$E$6)),$G$6-SQRT((1-P742)*($G$6-$E$6)*($G$6-$F$6))))</f>
        <v>0.997688588837814</v>
      </c>
      <c r="C742" s="51" t="n">
        <f aca="false">1+IF($G$7=$E$7,$F$7,IF(Q742&lt;($F$7-$E$7)/($G$7-$E$7),$E$7+SQRT(Q742*($G$7-$E$7)*($F$7-$E$7)),$G$7-SQRT((1-Q742)*($G$7-$E$7)*($G$7-$F$7))))</f>
        <v>0.808150804729365</v>
      </c>
      <c r="D742" s="51" t="n">
        <f aca="false">1+IF($G$8=$E$8,$F$8,IF(R742&lt;($F$8-$E$8)/($G$8-$E$8),$E$8+SQRT(R742*($G$8-$E$8)*($F$8-$E$8)),$G$8-SQRT((1-R742)*($G$8-$E$8)*($G$8-$F$8))))</f>
        <v>1.05191358455479</v>
      </c>
      <c r="E742" s="51" t="n">
        <f aca="false">1+IF($G$9=$E$9,$F$9,IF(S742&lt;($F$9-$E$9)/($G$9-$E$9),$E$9+SQRT(S742*($G$9-$E$9)*($F$9-$E$9)),$G$9-SQRT((1-S742)*($G$9-$E$9)*($G$9-$F$9))))</f>
        <v>1.02280426727692</v>
      </c>
      <c r="F742" s="51" t="n">
        <f aca="false">1+IF($G$10=$E$10,$F$10,IF(T742&lt;($F$10-$E$10)/($G$10-$E$10),$E$10+SQRT(T742*($G$10-$E$10)*($F$10-$E$10)),$G$10-SQRT((1-T742)*($G$10-$E$10)*($G$10-$F$10))))</f>
        <v>1.21843913722869</v>
      </c>
      <c r="G742" s="52" t="n">
        <f aca="false">IF($G$11=$E$11,$F$11,IF(U742&lt;($F$11-$E$11)/($G$11-$E$11),$E$11+SQRT(U742*($G$11-$E$11)*($F$11-$E$11)),$G$11-SQRT((1-U742)*($G$11-$E$11)*($G$11-$F$11))))</f>
        <v>0.105706001441266</v>
      </c>
      <c r="H742" s="53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-2436878274.45738</v>
      </c>
      <c r="I742" s="53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-83866342.0122431</v>
      </c>
      <c r="J742" s="53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141351698.720218</v>
      </c>
      <c r="K742" s="53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427491696.314113</v>
      </c>
      <c r="L742" s="53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530429511.368304</v>
      </c>
      <c r="M742" s="53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683687752.82351</v>
      </c>
      <c r="N742" s="53" t="n">
        <f aca="false">IF(COUNT('Business Case'!B11:G11)=0,"",H742+NPV(G742,I742:M742))</f>
        <v>-1312330909.78973</v>
      </c>
      <c r="P742" s="54" t="n">
        <f aca="true">RAND()</f>
        <v>0.636204025941566</v>
      </c>
      <c r="Q742" s="54" t="n">
        <f aca="true">RAND()</f>
        <v>0.0866414560267357</v>
      </c>
      <c r="R742" s="54" t="n">
        <f aca="true">RAND()</f>
        <v>0.845846443308709</v>
      </c>
      <c r="S742" s="54" t="n">
        <f aca="true">RAND()</f>
        <v>0.568566548721046</v>
      </c>
      <c r="T742" s="54" t="n">
        <f aca="true">RAND()</f>
        <v>0.986718825881742</v>
      </c>
      <c r="U742" s="54" t="n">
        <f aca="true">RAND()</f>
        <v>0.606534422685498</v>
      </c>
    </row>
    <row r="743" customFormat="false" ht="15" hidden="false" customHeight="false" outlineLevel="0" collapsed="false">
      <c r="A743" s="50" t="n">
        <v>663</v>
      </c>
      <c r="B743" s="51" t="n">
        <f aca="false">1+IF($G$6=$E$6,$F$6,IF(P743&lt;($F$6-$E$6)/($G$6-$E$6),$E$6+SQRT(P743*($G$6-$E$6)*($F$6-$E$6)),$G$6-SQRT((1-P743)*($G$6-$E$6)*($G$6-$F$6))))</f>
        <v>0.934121216644422</v>
      </c>
      <c r="C743" s="51" t="n">
        <f aca="false">1+IF($G$7=$E$7,$F$7,IF(Q743&lt;($F$7-$E$7)/($G$7-$E$7),$E$7+SQRT(Q743*($G$7-$E$7)*($F$7-$E$7)),$G$7-SQRT((1-Q743)*($G$7-$E$7)*($G$7-$F$7))))</f>
        <v>0.856962866397837</v>
      </c>
      <c r="D743" s="51" t="n">
        <f aca="false">1+IF($G$8=$E$8,$F$8,IF(R743&lt;($F$8-$E$8)/($G$8-$E$8),$E$8+SQRT(R743*($G$8-$E$8)*($F$8-$E$8)),$G$8-SQRT((1-R743)*($G$8-$E$8)*($G$8-$F$8))))</f>
        <v>0.987317118142164</v>
      </c>
      <c r="E743" s="51" t="n">
        <f aca="false">1+IF($G$9=$E$9,$F$9,IF(S743&lt;($F$9-$E$9)/($G$9-$E$9),$E$9+SQRT(S743*($G$9-$E$9)*($F$9-$E$9)),$G$9-SQRT((1-S743)*($G$9-$E$9)*($G$9-$F$9))))</f>
        <v>1.04642688900618</v>
      </c>
      <c r="F743" s="51" t="n">
        <f aca="false">1+IF($G$10=$E$10,$F$10,IF(T743&lt;($F$10-$E$10)/($G$10-$E$10),$E$10+SQRT(T743*($G$10-$E$10)*($F$10-$E$10)),$G$10-SQRT((1-T743)*($G$10-$E$10)*($G$10-$F$10))))</f>
        <v>1.10349212330821</v>
      </c>
      <c r="G743" s="52" t="n">
        <f aca="false">IF($G$11=$E$11,$F$11,IF(U743&lt;($F$11-$E$11)/($G$11-$E$11),$E$11+SQRT(U743*($G$11-$E$11)*($F$11-$E$11)),$G$11-SQRT((1-U743)*($G$11-$E$11)*($G$11-$F$11))))</f>
        <v>0.111454511581053</v>
      </c>
      <c r="H743" s="53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-2206984246.61642</v>
      </c>
      <c r="I743" s="53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-78108874.9888092</v>
      </c>
      <c r="J743" s="53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144431658.978311</v>
      </c>
      <c r="K743" s="53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422146799.110841</v>
      </c>
      <c r="L743" s="53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523992505.772167</v>
      </c>
      <c r="M743" s="53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676152913.469739</v>
      </c>
      <c r="N743" s="53" t="n">
        <f aca="false">IF(COUNT('Business Case'!B11:G11)=0,"",H743+NPV(G743,I743:M743))</f>
        <v>-1110871365.85499</v>
      </c>
      <c r="P743" s="54" t="n">
        <f aca="true">RAND()</f>
        <v>0.0776171616863735</v>
      </c>
      <c r="Q743" s="54" t="n">
        <f aca="true">RAND()</f>
        <v>0.182498825391299</v>
      </c>
      <c r="R743" s="54" t="n">
        <f aca="true">RAND()</f>
        <v>0.18567564085816</v>
      </c>
      <c r="S743" s="54" t="n">
        <f aca="true">RAND()</f>
        <v>0.713936284774999</v>
      </c>
      <c r="T743" s="54" t="n">
        <f aca="true">RAND()</f>
        <v>0.713805894230184</v>
      </c>
      <c r="U743" s="54" t="n">
        <f aca="true">RAND()</f>
        <v>0.770709906201792</v>
      </c>
    </row>
    <row r="744" customFormat="false" ht="15" hidden="false" customHeight="false" outlineLevel="0" collapsed="false">
      <c r="A744" s="50" t="n">
        <v>664</v>
      </c>
      <c r="B744" s="51" t="n">
        <f aca="false">1+IF($G$6=$E$6,$F$6,IF(P744&lt;($F$6-$E$6)/($G$6-$E$6),$E$6+SQRT(P744*($G$6-$E$6)*($F$6-$E$6)),$G$6-SQRT((1-P744)*($G$6-$E$6)*($G$6-$F$6))))</f>
        <v>1.02125896790805</v>
      </c>
      <c r="C744" s="51" t="n">
        <f aca="false">1+IF($G$7=$E$7,$F$7,IF(Q744&lt;($F$7-$E$7)/($G$7-$E$7),$E$7+SQRT(Q744*($G$7-$E$7)*($F$7-$E$7)),$G$7-SQRT((1-Q744)*($G$7-$E$7)*($G$7-$F$7))))</f>
        <v>0.777538054271055</v>
      </c>
      <c r="D744" s="51" t="n">
        <f aca="false">1+IF($G$8=$E$8,$F$8,IF(R744&lt;($F$8-$E$8)/($G$8-$E$8),$E$8+SQRT(R744*($G$8-$E$8)*($F$8-$E$8)),$G$8-SQRT((1-R744)*($G$8-$E$8)*($G$8-$F$8))))</f>
        <v>1.01184069172609</v>
      </c>
      <c r="E744" s="51" t="n">
        <f aca="false">1+IF($G$9=$E$9,$F$9,IF(S744&lt;($F$9-$E$9)/($G$9-$E$9),$E$9+SQRT(S744*($G$9-$E$9)*($F$9-$E$9)),$G$9-SQRT((1-S744)*($G$9-$E$9)*($G$9-$F$9))))</f>
        <v>1.01128139068915</v>
      </c>
      <c r="F744" s="51" t="n">
        <f aca="false">1+IF($G$10=$E$10,$F$10,IF(T744&lt;($F$10-$E$10)/($G$10-$E$10),$E$10+SQRT(T744*($G$10-$E$10)*($F$10-$E$10)),$G$10-SQRT((1-T744)*($G$10-$E$10)*($G$10-$F$10))))</f>
        <v>1.04928394595338</v>
      </c>
      <c r="G744" s="52" t="n">
        <f aca="false">IF($G$11=$E$11,$F$11,IF(U744&lt;($F$11-$E$11)/($G$11-$E$11),$E$11+SQRT(U744*($G$11-$E$11)*($F$11-$E$11)),$G$11-SQRT((1-U744)*($G$11-$E$11)*($G$11-$F$11))))</f>
        <v>0.0922991986528567</v>
      </c>
      <c r="H744" s="53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-2098567891.90675</v>
      </c>
      <c r="I744" s="53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-42248767.9272175</v>
      </c>
      <c r="J744" s="53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205399542.625503</v>
      </c>
      <c r="K744" s="53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505512050.475892</v>
      </c>
      <c r="L744" s="53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615504467.412534</v>
      </c>
      <c r="M744" s="53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766440857.884077</v>
      </c>
      <c r="N744" s="53" t="n">
        <f aca="false">IF(COUNT('Business Case'!B11:G11)=0,"",H744+NPV(G744,I744:M744))</f>
        <v>-651912203.154098</v>
      </c>
      <c r="P744" s="54" t="n">
        <f aca="true">RAND()</f>
        <v>0.889860409905302</v>
      </c>
      <c r="Q744" s="54" t="n">
        <f aca="true">RAND()</f>
        <v>0.0445344434084527</v>
      </c>
      <c r="R744" s="54" t="n">
        <f aca="true">RAND()</f>
        <v>0.481862424311077</v>
      </c>
      <c r="S744" s="54" t="n">
        <f aca="true">RAND()</f>
        <v>0.486857264823063</v>
      </c>
      <c r="T744" s="54" t="n">
        <f aca="true">RAND()</f>
        <v>0.46284087530603</v>
      </c>
      <c r="U744" s="54" t="n">
        <f aca="true">RAND()</f>
        <v>0.151270287502432</v>
      </c>
    </row>
    <row r="745" customFormat="false" ht="15" hidden="false" customHeight="false" outlineLevel="0" collapsed="false">
      <c r="A745" s="50" t="n">
        <v>665</v>
      </c>
      <c r="B745" s="51" t="n">
        <f aca="false">1+IF($G$6=$E$6,$F$6,IF(P745&lt;($F$6-$E$6)/($G$6-$E$6),$E$6+SQRT(P745*($G$6-$E$6)*($F$6-$E$6)),$G$6-SQRT((1-P745)*($G$6-$E$6)*($G$6-$F$6))))</f>
        <v>0.992624323656546</v>
      </c>
      <c r="C745" s="51" t="n">
        <f aca="false">1+IF($G$7=$E$7,$F$7,IF(Q745&lt;($F$7-$E$7)/($G$7-$E$7),$E$7+SQRT(Q745*($G$7-$E$7)*($F$7-$E$7)),$G$7-SQRT((1-Q745)*($G$7-$E$7)*($G$7-$F$7))))</f>
        <v>0.778379521330567</v>
      </c>
      <c r="D745" s="51" t="n">
        <f aca="false">1+IF($G$8=$E$8,$F$8,IF(R745&lt;($F$8-$E$8)/($G$8-$E$8),$E$8+SQRT(R745*($G$8-$E$8)*($F$8-$E$8)),$G$8-SQRT((1-R745)*($G$8-$E$8)*($G$8-$F$8))))</f>
        <v>1.00545863241525</v>
      </c>
      <c r="E745" s="51" t="n">
        <f aca="false">1+IF($G$9=$E$9,$F$9,IF(S745&lt;($F$9-$E$9)/($G$9-$E$9),$E$9+SQRT(S745*($G$9-$E$9)*($F$9-$E$9)),$G$9-SQRT((1-S745)*($G$9-$E$9)*($G$9-$F$9))))</f>
        <v>1.01944638647617</v>
      </c>
      <c r="F745" s="51" t="n">
        <f aca="false">1+IF($G$10=$E$10,$F$10,IF(T745&lt;($F$10-$E$10)/($G$10-$E$10),$E$10+SQRT(T745*($G$10-$E$10)*($F$10-$E$10)),$G$10-SQRT((1-T745)*($G$10-$E$10)*($G$10-$F$10))))</f>
        <v>1.08953697513601</v>
      </c>
      <c r="G745" s="52" t="n">
        <f aca="false">IF($G$11=$E$11,$F$11,IF(U745&lt;($F$11-$E$11)/($G$11-$E$11),$E$11+SQRT(U745*($G$11-$E$11)*($F$11-$E$11)),$G$11-SQRT((1-U745)*($G$11-$E$11)*($G$11-$F$11))))</f>
        <v>0.109667201540833</v>
      </c>
      <c r="H745" s="53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-2179073950.27201</v>
      </c>
      <c r="I745" s="53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-61769168.6829843</v>
      </c>
      <c r="J745" s="53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170434213.340458</v>
      </c>
      <c r="K745" s="53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457114444.120701</v>
      </c>
      <c r="L745" s="53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561217956.152458</v>
      </c>
      <c r="M745" s="53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708081071.950815</v>
      </c>
      <c r="N745" s="53" t="n">
        <f aca="false">IF(COUNT('Business Case'!B11:G11)=0,"",H745+NPV(G745,I745:M745))</f>
        <v>-970810869.377308</v>
      </c>
      <c r="P745" s="54" t="n">
        <f aca="true">RAND()</f>
        <v>0.571951022188843</v>
      </c>
      <c r="Q745" s="54" t="n">
        <f aca="true">RAND()</f>
        <v>0.0455062915852506</v>
      </c>
      <c r="R745" s="54" t="n">
        <f aca="true">RAND()</f>
        <v>0.404128654347072</v>
      </c>
      <c r="S745" s="54" t="n">
        <f aca="true">RAND()</f>
        <v>0.545486773223178</v>
      </c>
      <c r="T745" s="54" t="n">
        <f aca="true">RAND()</f>
        <v>0.656688235353292</v>
      </c>
      <c r="U745" s="54" t="n">
        <f aca="true">RAND()</f>
        <v>0.724384871212591</v>
      </c>
    </row>
    <row r="746" customFormat="false" ht="15" hidden="false" customHeight="false" outlineLevel="0" collapsed="false">
      <c r="A746" s="50" t="n">
        <v>666</v>
      </c>
      <c r="B746" s="51" t="n">
        <f aca="false">1+IF($G$6=$E$6,$F$6,IF(P746&lt;($F$6-$E$6)/($G$6-$E$6),$E$6+SQRT(P746*($G$6-$E$6)*($F$6-$E$6)),$G$6-SQRT((1-P746)*($G$6-$E$6)*($G$6-$F$6))))</f>
        <v>1.00525744180035</v>
      </c>
      <c r="C746" s="51" t="n">
        <f aca="false">1+IF($G$7=$E$7,$F$7,IF(Q746&lt;($F$7-$E$7)/($G$7-$E$7),$E$7+SQRT(Q746*($G$7-$E$7)*($F$7-$E$7)),$G$7-SQRT((1-Q746)*($G$7-$E$7)*($G$7-$F$7))))</f>
        <v>0.76668730159318</v>
      </c>
      <c r="D746" s="51" t="n">
        <f aca="false">1+IF($G$8=$E$8,$F$8,IF(R746&lt;($F$8-$E$8)/($G$8-$E$8),$E$8+SQRT(R746*($G$8-$E$8)*($F$8-$E$8)),$G$8-SQRT((1-R746)*($G$8-$E$8)*($G$8-$F$8))))</f>
        <v>1.01053836221757</v>
      </c>
      <c r="E746" s="51" t="n">
        <f aca="false">1+IF($G$9=$E$9,$F$9,IF(S746&lt;($F$9-$E$9)/($G$9-$E$9),$E$9+SQRT(S746*($G$9-$E$9)*($F$9-$E$9)),$G$9-SQRT((1-S746)*($G$9-$E$9)*($G$9-$F$9))))</f>
        <v>1.01747150830746</v>
      </c>
      <c r="F746" s="51" t="n">
        <f aca="false">1+IF($G$10=$E$10,$F$10,IF(T746&lt;($F$10-$E$10)/($G$10-$E$10),$E$10+SQRT(T746*($G$10-$E$10)*($F$10-$E$10)),$G$10-SQRT((1-T746)*($G$10-$E$10)*($G$10-$F$10))))</f>
        <v>0.973003436450536</v>
      </c>
      <c r="G746" s="52" t="n">
        <f aca="false">IF($G$11=$E$11,$F$11,IF(U746&lt;($F$11-$E$11)/($G$11-$E$11),$E$11+SQRT(U746*($G$11-$E$11)*($F$11-$E$11)),$G$11-SQRT((1-U746)*($G$11-$E$11)*($G$11-$F$11))))</f>
        <v>0.088660852669145</v>
      </c>
      <c r="H746" s="53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-1946006872.90107</v>
      </c>
      <c r="I746" s="53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-47283877.8145876</v>
      </c>
      <c r="J746" s="53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187371063.602665</v>
      </c>
      <c r="K746" s="53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470676176.842443</v>
      </c>
      <c r="L746" s="53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575530508.718505</v>
      </c>
      <c r="M746" s="53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722028608.105212</v>
      </c>
      <c r="N746" s="53" t="n">
        <f aca="false">IF(COUNT('Business Case'!B11:G11)=0,"",H746+NPV(G746,I746:M746))</f>
        <v>-584661476.74101</v>
      </c>
      <c r="P746" s="54" t="n">
        <f aca="true">RAND()</f>
        <v>0.733080464766757</v>
      </c>
      <c r="Q746" s="54" t="n">
        <f aca="true">RAND()</f>
        <v>0.0329421940279978</v>
      </c>
      <c r="R746" s="54" t="n">
        <f aca="true">RAND()</f>
        <v>0.466441024352409</v>
      </c>
      <c r="S746" s="54" t="n">
        <f aca="true">RAND()</f>
        <v>0.531631970391995</v>
      </c>
      <c r="T746" s="54" t="n">
        <f aca="true">RAND()</f>
        <v>0.0352772059022562</v>
      </c>
      <c r="U746" s="54" t="n">
        <f aca="true">RAND()</f>
        <v>0.0750103689566351</v>
      </c>
    </row>
    <row r="747" customFormat="false" ht="15" hidden="false" customHeight="false" outlineLevel="0" collapsed="false">
      <c r="A747" s="50" t="n">
        <v>667</v>
      </c>
      <c r="B747" s="51" t="n">
        <f aca="false">1+IF($G$6=$E$6,$F$6,IF(P747&lt;($F$6-$E$6)/($G$6-$E$6),$E$6+SQRT(P747*($G$6-$E$6)*($F$6-$E$6)),$G$6-SQRT((1-P747)*($G$6-$E$6)*($G$6-$F$6))))</f>
        <v>0.924972928761894</v>
      </c>
      <c r="C747" s="51" t="n">
        <f aca="false">1+IF($G$7=$E$7,$F$7,IF(Q747&lt;($F$7-$E$7)/($G$7-$E$7),$E$7+SQRT(Q747*($G$7-$E$7)*($F$7-$E$7)),$G$7-SQRT((1-Q747)*($G$7-$E$7)*($G$7-$F$7))))</f>
        <v>1.00780846280025</v>
      </c>
      <c r="D747" s="51" t="n">
        <f aca="false">1+IF($G$8=$E$8,$F$8,IF(R747&lt;($F$8-$E$8)/($G$8-$E$8),$E$8+SQRT(R747*($G$8-$E$8)*($F$8-$E$8)),$G$8-SQRT((1-R747)*($G$8-$E$8)*($G$8-$F$8))))</f>
        <v>1.00692237957126</v>
      </c>
      <c r="E747" s="51" t="n">
        <f aca="false">1+IF($G$9=$E$9,$F$9,IF(S747&lt;($F$9-$E$9)/($G$9-$E$9),$E$9+SQRT(S747*($G$9-$E$9)*($F$9-$E$9)),$G$9-SQRT((1-S747)*($G$9-$E$9)*($G$9-$F$9))))</f>
        <v>1.00637741113062</v>
      </c>
      <c r="F747" s="51" t="n">
        <f aca="false">1+IF($G$10=$E$10,$F$10,IF(T747&lt;($F$10-$E$10)/($G$10-$E$10),$E$10+SQRT(T747*($G$10-$E$10)*($F$10-$E$10)),$G$10-SQRT((1-T747)*($G$10-$E$10)*($G$10-$F$10))))</f>
        <v>1.12180894684158</v>
      </c>
      <c r="G747" s="52" t="n">
        <f aca="false">IF($G$11=$E$11,$F$11,IF(U747&lt;($F$11-$E$11)/($G$11-$E$11),$E$11+SQRT(U747*($G$11-$E$11)*($F$11-$E$11)),$G$11-SQRT((1-U747)*($G$11-$E$11)*($G$11-$F$11))))</f>
        <v>0.110961611009464</v>
      </c>
      <c r="H747" s="53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-2243617893.68317</v>
      </c>
      <c r="I747" s="53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-59566193.5188892</v>
      </c>
      <c r="J747" s="53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184480392.586183</v>
      </c>
      <c r="K747" s="53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484617426.033334</v>
      </c>
      <c r="L747" s="53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598182966.11971</v>
      </c>
      <c r="M747" s="53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775374695.402149</v>
      </c>
      <c r="N747" s="53" t="n">
        <f aca="false">IF(COUNT('Business Case'!B11:G11)=0,"",H747+NPV(G747,I747:M747))</f>
        <v>-943498309.274303</v>
      </c>
      <c r="P747" s="54" t="n">
        <f aca="true">RAND()</f>
        <v>0.0415764780631084</v>
      </c>
      <c r="Q747" s="54" t="n">
        <f aca="true">RAND()</f>
        <v>0.700467655537385</v>
      </c>
      <c r="R747" s="54" t="n">
        <f aca="true">RAND()</f>
        <v>0.422437105021566</v>
      </c>
      <c r="S747" s="54" t="n">
        <f aca="true">RAND()</f>
        <v>0.449934719105519</v>
      </c>
      <c r="T747" s="54" t="n">
        <f aca="true">RAND()</f>
        <v>0.780894051868485</v>
      </c>
      <c r="U747" s="54" t="n">
        <f aca="true">RAND()</f>
        <v>0.758359829763366</v>
      </c>
    </row>
    <row r="748" customFormat="false" ht="15" hidden="false" customHeight="false" outlineLevel="0" collapsed="false">
      <c r="A748" s="50" t="n">
        <v>668</v>
      </c>
      <c r="B748" s="51" t="n">
        <f aca="false">1+IF($G$6=$E$6,$F$6,IF(P748&lt;($F$6-$E$6)/($G$6-$E$6),$E$6+SQRT(P748*($G$6-$E$6)*($F$6-$E$6)),$G$6-SQRT((1-P748)*($G$6-$E$6)*($G$6-$F$6))))</f>
        <v>0.937644573815457</v>
      </c>
      <c r="C748" s="51" t="n">
        <f aca="false">1+IF($G$7=$E$7,$F$7,IF(Q748&lt;($F$7-$E$7)/($G$7-$E$7),$E$7+SQRT(Q748*($G$7-$E$7)*($F$7-$E$7)),$G$7-SQRT((1-Q748)*($G$7-$E$7)*($G$7-$F$7))))</f>
        <v>1.05663681929975</v>
      </c>
      <c r="D748" s="51" t="n">
        <f aca="false">1+IF($G$8=$E$8,$F$8,IF(R748&lt;($F$8-$E$8)/($G$8-$E$8),$E$8+SQRT(R748*($G$8-$E$8)*($F$8-$E$8)),$G$8-SQRT((1-R748)*($G$8-$E$8)*($G$8-$F$8))))</f>
        <v>1.03950098480175</v>
      </c>
      <c r="E748" s="51" t="n">
        <f aca="false">1+IF($G$9=$E$9,$F$9,IF(S748&lt;($F$9-$E$9)/($G$9-$E$9),$E$9+SQRT(S748*($G$9-$E$9)*($F$9-$E$9)),$G$9-SQRT((1-S748)*($G$9-$E$9)*($G$9-$F$9))))</f>
        <v>1.02323805786619</v>
      </c>
      <c r="F748" s="51" t="n">
        <f aca="false">1+IF($G$10=$E$10,$F$10,IF(T748&lt;($F$10-$E$10)/($G$10-$E$10),$E$10+SQRT(T748*($G$10-$E$10)*($F$10-$E$10)),$G$10-SQRT((1-T748)*($G$10-$E$10)*($G$10-$F$10))))</f>
        <v>1.15927110961677</v>
      </c>
      <c r="G748" s="52" t="n">
        <f aca="false">IF($G$11=$E$11,$F$11,IF(U748&lt;($F$11-$E$11)/($G$11-$E$11),$E$11+SQRT(U748*($G$11-$E$11)*($F$11-$E$11)),$G$11-SQRT((1-U748)*($G$11-$E$11)*($G$11-$F$11))))</f>
        <v>0.108729925360432</v>
      </c>
      <c r="H748" s="53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-2318542219.23354</v>
      </c>
      <c r="I748" s="53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-63576764.786544</v>
      </c>
      <c r="J748" s="53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185638501.818066</v>
      </c>
      <c r="K748" s="53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492817323.903515</v>
      </c>
      <c r="L748" s="53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610129391.838987</v>
      </c>
      <c r="M748" s="53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798451110.042303</v>
      </c>
      <c r="N748" s="53" t="n">
        <f aca="false">IF(COUNT('Business Case'!B11:G11)=0,"",H748+NPV(G748,I748:M748))</f>
        <v>-982968926.817287</v>
      </c>
      <c r="P748" s="54" t="n">
        <f aca="true">RAND()</f>
        <v>0.0944742625164912</v>
      </c>
      <c r="Q748" s="54" t="n">
        <f aca="true">RAND()</f>
        <v>0.870863947993086</v>
      </c>
      <c r="R748" s="54" t="n">
        <f aca="true">RAND()</f>
        <v>0.755991277336096</v>
      </c>
      <c r="S748" s="54" t="n">
        <f aca="true">RAND()</f>
        <v>0.571504267372418</v>
      </c>
      <c r="T748" s="54" t="n">
        <f aca="true">RAND()</f>
        <v>0.890243579331039</v>
      </c>
      <c r="U748" s="54" t="n">
        <f aca="true">RAND()</f>
        <v>0.698389283218137</v>
      </c>
    </row>
    <row r="749" customFormat="false" ht="15" hidden="false" customHeight="false" outlineLevel="0" collapsed="false">
      <c r="A749" s="50" t="n">
        <v>669</v>
      </c>
      <c r="B749" s="51" t="n">
        <f aca="false">1+IF($G$6=$E$6,$F$6,IF(P749&lt;($F$6-$E$6)/($G$6-$E$6),$E$6+SQRT(P749*($G$6-$E$6)*($F$6-$E$6)),$G$6-SQRT((1-P749)*($G$6-$E$6)*($G$6-$F$6))))</f>
        <v>0.972576202297608</v>
      </c>
      <c r="C749" s="51" t="n">
        <f aca="false">1+IF($G$7=$E$7,$F$7,IF(Q749&lt;($F$7-$E$7)/($G$7-$E$7),$E$7+SQRT(Q749*($G$7-$E$7)*($F$7-$E$7)),$G$7-SQRT((1-Q749)*($G$7-$E$7)*($G$7-$F$7))))</f>
        <v>1.01349997124613</v>
      </c>
      <c r="D749" s="51" t="n">
        <f aca="false">1+IF($G$8=$E$8,$F$8,IF(R749&lt;($F$8-$E$8)/($G$8-$E$8),$E$8+SQRT(R749*($G$8-$E$8)*($F$8-$E$8)),$G$8-SQRT((1-R749)*($G$8-$E$8)*($G$8-$F$8))))</f>
        <v>1.00836311296318</v>
      </c>
      <c r="E749" s="51" t="n">
        <f aca="false">1+IF($G$9=$E$9,$F$9,IF(S749&lt;($F$9-$E$9)/($G$9-$E$9),$E$9+SQRT(S749*($G$9-$E$9)*($F$9-$E$9)),$G$9-SQRT((1-S749)*($G$9-$E$9)*($G$9-$F$9))))</f>
        <v>1.00405024697998</v>
      </c>
      <c r="F749" s="51" t="n">
        <f aca="false">1+IF($G$10=$E$10,$F$10,IF(T749&lt;($F$10-$E$10)/($G$10-$E$10),$E$10+SQRT(T749*($G$10-$E$10)*($F$10-$E$10)),$G$10-SQRT((1-T749)*($G$10-$E$10)*($G$10-$F$10))))</f>
        <v>1.0970991511731</v>
      </c>
      <c r="G749" s="52" t="n">
        <f aca="false">IF($G$11=$E$11,$F$11,IF(U749&lt;($F$11-$E$11)/($G$11-$E$11),$E$11+SQRT(U749*($G$11-$E$11)*($F$11-$E$11)),$G$11-SQRT((1-U749)*($G$11-$E$11)*($G$11-$F$11))))</f>
        <v>0.0977539007832099</v>
      </c>
      <c r="H749" s="53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-2194198302.34621</v>
      </c>
      <c r="I749" s="53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-19390657.2071724</v>
      </c>
      <c r="J749" s="53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264803542.43032</v>
      </c>
      <c r="K749" s="53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603852699.626468</v>
      </c>
      <c r="L749" s="53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732650097.2435</v>
      </c>
      <c r="M749" s="53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920013084.801771</v>
      </c>
      <c r="N749" s="53" t="n">
        <f aca="false">IF(COUNT('Business Case'!B11:G11)=0,"",H749+NPV(G749,I749:M749))</f>
        <v>-454003979.65377</v>
      </c>
      <c r="P749" s="54" t="n">
        <f aca="true">RAND()</f>
        <v>0.351153675996221</v>
      </c>
      <c r="Q749" s="54" t="n">
        <f aca="true">RAND()</f>
        <v>0.723966550373213</v>
      </c>
      <c r="R749" s="54" t="n">
        <f aca="true">RAND()</f>
        <v>0.440178728946723</v>
      </c>
      <c r="S749" s="54" t="n">
        <f aca="true">RAND()</f>
        <v>0.431964522490566</v>
      </c>
      <c r="T749" s="54" t="n">
        <f aca="true">RAND()</f>
        <v>0.688284405706859</v>
      </c>
      <c r="U749" s="54" t="n">
        <f aca="true">RAND()</f>
        <v>0.315200993020062</v>
      </c>
    </row>
    <row r="750" customFormat="false" ht="15" hidden="false" customHeight="false" outlineLevel="0" collapsed="false">
      <c r="A750" s="50" t="n">
        <v>670</v>
      </c>
      <c r="B750" s="51" t="n">
        <f aca="false">1+IF($G$6=$E$6,$F$6,IF(P750&lt;($F$6-$E$6)/($G$6-$E$6),$E$6+SQRT(P750*($G$6-$E$6)*($F$6-$E$6)),$G$6-SQRT((1-P750)*($G$6-$E$6)*($G$6-$F$6))))</f>
        <v>0.960989404888812</v>
      </c>
      <c r="C750" s="51" t="n">
        <f aca="false">1+IF($G$7=$E$7,$F$7,IF(Q750&lt;($F$7-$E$7)/($G$7-$E$7),$E$7+SQRT(Q750*($G$7-$E$7)*($F$7-$E$7)),$G$7-SQRT((1-Q750)*($G$7-$E$7)*($G$7-$F$7))))</f>
        <v>0.971301919622954</v>
      </c>
      <c r="D750" s="51" t="n">
        <f aca="false">1+IF($G$8=$E$8,$F$8,IF(R750&lt;($F$8-$E$8)/($G$8-$E$8),$E$8+SQRT(R750*($G$8-$E$8)*($F$8-$E$8)),$G$8-SQRT((1-R750)*($G$8-$E$8)*($G$8-$F$8))))</f>
        <v>1.05556993998508</v>
      </c>
      <c r="E750" s="51" t="n">
        <f aca="false">1+IF($G$9=$E$9,$F$9,IF(S750&lt;($F$9-$E$9)/($G$9-$E$9),$E$9+SQRT(S750*($G$9-$E$9)*($F$9-$E$9)),$G$9-SQRT((1-S750)*($G$9-$E$9)*($G$9-$F$9))))</f>
        <v>0.966124535169638</v>
      </c>
      <c r="F750" s="51" t="n">
        <f aca="false">1+IF($G$10=$E$10,$F$10,IF(T750&lt;($F$10-$E$10)/($G$10-$E$10),$E$10+SQRT(T750*($G$10-$E$10)*($F$10-$E$10)),$G$10-SQRT((1-T750)*($G$10-$E$10)*($G$10-$F$10))))</f>
        <v>1.08755103275003</v>
      </c>
      <c r="G750" s="52" t="n">
        <f aca="false">IF($G$11=$E$11,$F$11,IF(U750&lt;($F$11-$E$11)/($G$11-$E$11),$E$11+SQRT(U750*($G$11-$E$11)*($F$11-$E$11)),$G$11-SQRT((1-U750)*($G$11-$E$11)*($G$11-$F$11))))</f>
        <v>0.101540366064844</v>
      </c>
      <c r="H750" s="53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-2175102065.50006</v>
      </c>
      <c r="I750" s="53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-54855193.7069239</v>
      </c>
      <c r="J750" s="53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184815643.418388</v>
      </c>
      <c r="K750" s="53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478864032.181201</v>
      </c>
      <c r="L750" s="53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591012990.327045</v>
      </c>
      <c r="M750" s="53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768435725.399447</v>
      </c>
      <c r="N750" s="53" t="n">
        <f aca="false">IF(COUNT('Business Case'!B11:G11)=0,"",H750+NPV(G750,I750:M750))</f>
        <v>-839088946.885855</v>
      </c>
      <c r="P750" s="54" t="n">
        <f aca="true">RAND()</f>
        <v>0.247980500579429</v>
      </c>
      <c r="Q750" s="54" t="n">
        <f aca="true">RAND()</f>
        <v>0.545220234008146</v>
      </c>
      <c r="R750" s="54" t="n">
        <f aca="true">RAND()</f>
        <v>0.868397984471396</v>
      </c>
      <c r="S750" s="54" t="n">
        <f aca="true">RAND()</f>
        <v>0.174898166056025</v>
      </c>
      <c r="T750" s="54" t="n">
        <f aca="true">RAND()</f>
        <v>0.648137773858907</v>
      </c>
      <c r="U750" s="54" t="n">
        <f aca="true">RAND()</f>
        <v>0.460032824184623</v>
      </c>
    </row>
    <row r="751" customFormat="false" ht="15" hidden="false" customHeight="false" outlineLevel="0" collapsed="false">
      <c r="A751" s="50" t="n">
        <v>671</v>
      </c>
      <c r="B751" s="51" t="n">
        <f aca="false">1+IF($G$6=$E$6,$F$6,IF(P751&lt;($F$6-$E$6)/($G$6-$E$6),$E$6+SQRT(P751*($G$6-$E$6)*($F$6-$E$6)),$G$6-SQRT((1-P751)*($G$6-$E$6)*($G$6-$F$6))))</f>
        <v>0.958725281720616</v>
      </c>
      <c r="C751" s="51" t="n">
        <f aca="false">1+IF($G$7=$E$7,$F$7,IF(Q751&lt;($F$7-$E$7)/($G$7-$E$7),$E$7+SQRT(Q751*($G$7-$E$7)*($F$7-$E$7)),$G$7-SQRT((1-Q751)*($G$7-$E$7)*($G$7-$F$7))))</f>
        <v>0.917253493544856</v>
      </c>
      <c r="D751" s="51" t="n">
        <f aca="false">1+IF($G$8=$E$8,$F$8,IF(R751&lt;($F$8-$E$8)/($G$8-$E$8),$E$8+SQRT(R751*($G$8-$E$8)*($F$8-$E$8)),$G$8-SQRT((1-R751)*($G$8-$E$8)*($G$8-$F$8))))</f>
        <v>1.04260517441849</v>
      </c>
      <c r="E751" s="51" t="n">
        <f aca="false">1+IF($G$9=$E$9,$F$9,IF(S751&lt;($F$9-$E$9)/($G$9-$E$9),$E$9+SQRT(S751*($G$9-$E$9)*($F$9-$E$9)),$G$9-SQRT((1-S751)*($G$9-$E$9)*($G$9-$F$9))))</f>
        <v>1.07396150241584</v>
      </c>
      <c r="F751" s="51" t="n">
        <f aca="false">1+IF($G$10=$E$10,$F$10,IF(T751&lt;($F$10-$E$10)/($G$10-$E$10),$E$10+SQRT(T751*($G$10-$E$10)*($F$10-$E$10)),$G$10-SQRT((1-T751)*($G$10-$E$10)*($G$10-$F$10))))</f>
        <v>0.997815906239562</v>
      </c>
      <c r="G751" s="52" t="n">
        <f aca="false">IF($G$11=$E$11,$F$11,IF(U751&lt;($F$11-$E$11)/($G$11-$E$11),$E$11+SQRT(U751*($G$11-$E$11)*($F$11-$E$11)),$G$11-SQRT((1-U751)*($G$11-$E$11)*($G$11-$F$11))))</f>
        <v>0.0831297694982964</v>
      </c>
      <c r="H751" s="53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-1995631812.47912</v>
      </c>
      <c r="I751" s="53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-67365722.9049349</v>
      </c>
      <c r="J751" s="53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163355261.327794</v>
      </c>
      <c r="K751" s="53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443967040.872502</v>
      </c>
      <c r="L751" s="53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551265896.196862</v>
      </c>
      <c r="M751" s="53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718421129.387505</v>
      </c>
      <c r="N751" s="53" t="n">
        <f aca="false">IF(COUNT('Business Case'!B11:G11)=0,"",H751+NPV(G751,I751:M751))</f>
        <v>-686739962.202046</v>
      </c>
      <c r="P751" s="54" t="n">
        <f aca="true">RAND()</f>
        <v>0.229910580877711</v>
      </c>
      <c r="Q751" s="54" t="n">
        <f aca="true">RAND()</f>
        <v>0.349622818203296</v>
      </c>
      <c r="R751" s="54" t="n">
        <f aca="true">RAND()</f>
        <v>0.780388933097846</v>
      </c>
      <c r="S751" s="54" t="n">
        <f aca="true">RAND()</f>
        <v>0.845817250270508</v>
      </c>
      <c r="T751" s="54" t="n">
        <f aca="true">RAND()</f>
        <v>0.152424059300706</v>
      </c>
      <c r="U751" s="54" t="n">
        <f aca="true">RAND()</f>
        <v>0.00979545711246639</v>
      </c>
    </row>
    <row r="752" customFormat="false" ht="15" hidden="false" customHeight="false" outlineLevel="0" collapsed="false">
      <c r="A752" s="50" t="n">
        <v>672</v>
      </c>
      <c r="B752" s="51" t="n">
        <f aca="false">1+IF($G$6=$E$6,$F$6,IF(P752&lt;($F$6-$E$6)/($G$6-$E$6),$E$6+SQRT(P752*($G$6-$E$6)*($F$6-$E$6)),$G$6-SQRT((1-P752)*($G$6-$E$6)*($G$6-$F$6))))</f>
        <v>1.00580489696227</v>
      </c>
      <c r="C752" s="51" t="n">
        <f aca="false">1+IF($G$7=$E$7,$F$7,IF(Q752&lt;($F$7-$E$7)/($G$7-$E$7),$E$7+SQRT(Q752*($G$7-$E$7)*($F$7-$E$7)),$G$7-SQRT((1-Q752)*($G$7-$E$7)*($G$7-$F$7))))</f>
        <v>1.0016160470222</v>
      </c>
      <c r="D752" s="51" t="n">
        <f aca="false">1+IF($G$8=$E$8,$F$8,IF(R752&lt;($F$8-$E$8)/($G$8-$E$8),$E$8+SQRT(R752*($G$8-$E$8)*($F$8-$E$8)),$G$8-SQRT((1-R752)*($G$8-$E$8)*($G$8-$F$8))))</f>
        <v>0.995329732764536</v>
      </c>
      <c r="E752" s="51" t="n">
        <f aca="false">1+IF($G$9=$E$9,$F$9,IF(S752&lt;($F$9-$E$9)/($G$9-$E$9),$E$9+SQRT(S752*($G$9-$E$9)*($F$9-$E$9)),$G$9-SQRT((1-S752)*($G$9-$E$9)*($G$9-$F$9))))</f>
        <v>1.00715187430086</v>
      </c>
      <c r="F752" s="51" t="n">
        <f aca="false">1+IF($G$10=$E$10,$F$10,IF(T752&lt;($F$10-$E$10)/($G$10-$E$10),$E$10+SQRT(T752*($G$10-$E$10)*($F$10-$E$10)),$G$10-SQRT((1-T752)*($G$10-$E$10)*($G$10-$F$10))))</f>
        <v>1.03431151362102</v>
      </c>
      <c r="G752" s="52" t="n">
        <f aca="false">IF($G$11=$E$11,$F$11,IF(U752&lt;($F$11-$E$11)/($G$11-$E$11),$E$11+SQRT(U752*($G$11-$E$11)*($F$11-$E$11)),$G$11-SQRT((1-U752)*($G$11-$E$11)*($G$11-$F$11))))</f>
        <v>0.0889984708954149</v>
      </c>
      <c r="H752" s="53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-2068623027.24204</v>
      </c>
      <c r="I752" s="53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15932015.262373</v>
      </c>
      <c r="J752" s="53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330737366.458922</v>
      </c>
      <c r="K752" s="53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697258293.336523</v>
      </c>
      <c r="L752" s="53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837010202.433034</v>
      </c>
      <c r="M752" s="53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1028502558.60351</v>
      </c>
      <c r="N752" s="53" t="n">
        <f aca="false">IF(COUNT('Business Case'!B11:G11)=0,"",H752+NPV(G752,I752:M752))</f>
        <v>31471480.1530864</v>
      </c>
      <c r="P752" s="54" t="n">
        <f aca="true">RAND()</f>
        <v>0.739572382331203</v>
      </c>
      <c r="Q752" s="54" t="n">
        <f aca="true">RAND()</f>
        <v>0.673810407387885</v>
      </c>
      <c r="R752" s="54" t="n">
        <f aca="true">RAND()</f>
        <v>0.273971289667228</v>
      </c>
      <c r="S752" s="54" t="n">
        <f aca="true">RAND()</f>
        <v>0.45585101291313</v>
      </c>
      <c r="T752" s="54" t="n">
        <f aca="true">RAND()</f>
        <v>0.379713024580593</v>
      </c>
      <c r="U752" s="54" t="n">
        <f aca="true">RAND()</f>
        <v>0.0809724784556294</v>
      </c>
    </row>
    <row r="753" customFormat="false" ht="15" hidden="false" customHeight="false" outlineLevel="0" collapsed="false">
      <c r="A753" s="50" t="n">
        <v>673</v>
      </c>
      <c r="B753" s="51" t="n">
        <f aca="false">1+IF($G$6=$E$6,$F$6,IF(P753&lt;($F$6-$E$6)/($G$6-$E$6),$E$6+SQRT(P753*($G$6-$E$6)*($F$6-$E$6)),$G$6-SQRT((1-P753)*($G$6-$E$6)*($G$6-$F$6))))</f>
        <v>1.03646779334896</v>
      </c>
      <c r="C753" s="51" t="n">
        <f aca="false">1+IF($G$7=$E$7,$F$7,IF(Q753&lt;($F$7-$E$7)/($G$7-$E$7),$E$7+SQRT(Q753*($G$7-$E$7)*($F$7-$E$7)),$G$7-SQRT((1-Q753)*($G$7-$E$7)*($G$7-$F$7))))</f>
        <v>0.881800977129782</v>
      </c>
      <c r="D753" s="51" t="n">
        <f aca="false">1+IF($G$8=$E$8,$F$8,IF(R753&lt;($F$8-$E$8)/($G$8-$E$8),$E$8+SQRT(R753*($G$8-$E$8)*($F$8-$E$8)),$G$8-SQRT((1-R753)*($G$8-$E$8)*($G$8-$F$8))))</f>
        <v>1.06896160062291</v>
      </c>
      <c r="E753" s="51" t="n">
        <f aca="false">1+IF($G$9=$E$9,$F$9,IF(S753&lt;($F$9-$E$9)/($G$9-$E$9),$E$9+SQRT(S753*($G$9-$E$9)*($F$9-$E$9)),$G$9-SQRT((1-S753)*($G$9-$E$9)*($G$9-$F$9))))</f>
        <v>1.06921319076168</v>
      </c>
      <c r="F753" s="51" t="n">
        <f aca="false">1+IF($G$10=$E$10,$F$10,IF(T753&lt;($F$10-$E$10)/($G$10-$E$10),$E$10+SQRT(T753*($G$10-$E$10)*($F$10-$E$10)),$G$10-SQRT((1-T753)*($G$10-$E$10)*($G$10-$F$10))))</f>
        <v>1.12398821421666</v>
      </c>
      <c r="G753" s="52" t="n">
        <f aca="false">IF($G$11=$E$11,$F$11,IF(U753&lt;($F$11-$E$11)/($G$11-$E$11),$E$11+SQRT(U753*($G$11-$E$11)*($F$11-$E$11)),$G$11-SQRT((1-U753)*($G$11-$E$11)*($G$11-$F$11))))</f>
        <v>0.0950062021666224</v>
      </c>
      <c r="H753" s="53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-2247976428.43332</v>
      </c>
      <c r="I753" s="53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-45764492.4637751</v>
      </c>
      <c r="J753" s="53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220291551.163167</v>
      </c>
      <c r="K753" s="53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542547005.500943</v>
      </c>
      <c r="L753" s="53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662818752.671751</v>
      </c>
      <c r="M753" s="53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836543948.795132</v>
      </c>
      <c r="N753" s="53" t="n">
        <f aca="false">IF(COUNT('Business Case'!B11:G11)=0,"",H753+NPV(G753,I753:M753))</f>
        <v>-700410715.037643</v>
      </c>
      <c r="P753" s="54" t="n">
        <f aca="true">RAND()</f>
        <v>0.975583917753821</v>
      </c>
      <c r="Q753" s="54" t="n">
        <f aca="true">RAND()</f>
        <v>0.244826631743284</v>
      </c>
      <c r="R753" s="54" t="n">
        <f aca="true">RAND()</f>
        <v>0.935774517607223</v>
      </c>
      <c r="S753" s="54" t="n">
        <f aca="true">RAND()</f>
        <v>0.825959772082445</v>
      </c>
      <c r="T753" s="54" t="n">
        <f aca="true">RAND()</f>
        <v>0.788280397915915</v>
      </c>
      <c r="U753" s="54" t="n">
        <f aca="true">RAND()</f>
        <v>0.225186103465542</v>
      </c>
    </row>
    <row r="754" customFormat="false" ht="15" hidden="false" customHeight="false" outlineLevel="0" collapsed="false">
      <c r="A754" s="50" t="n">
        <v>674</v>
      </c>
      <c r="B754" s="51" t="n">
        <f aca="false">1+IF($G$6=$E$6,$F$6,IF(P754&lt;($F$6-$E$6)/($G$6-$E$6),$E$6+SQRT(P754*($G$6-$E$6)*($F$6-$E$6)),$G$6-SQRT((1-P754)*($G$6-$E$6)*($G$6-$F$6))))</f>
        <v>1.03360741518533</v>
      </c>
      <c r="C754" s="51" t="n">
        <f aca="false">1+IF($G$7=$E$7,$F$7,IF(Q754&lt;($F$7-$E$7)/($G$7-$E$7),$E$7+SQRT(Q754*($G$7-$E$7)*($F$7-$E$7)),$G$7-SQRT((1-Q754)*($G$7-$E$7)*($G$7-$F$7))))</f>
        <v>0.787304634013594</v>
      </c>
      <c r="D754" s="51" t="n">
        <f aca="false">1+IF($G$8=$E$8,$F$8,IF(R754&lt;($F$8-$E$8)/($G$8-$E$8),$E$8+SQRT(R754*($G$8-$E$8)*($F$8-$E$8)),$G$8-SQRT((1-R754)*($G$8-$E$8)*($G$8-$F$8))))</f>
        <v>1.00642193212725</v>
      </c>
      <c r="E754" s="51" t="n">
        <f aca="false">1+IF($G$9=$E$9,$F$9,IF(S754&lt;($F$9-$E$9)/($G$9-$E$9),$E$9+SQRT(S754*($G$9-$E$9)*($F$9-$E$9)),$G$9-SQRT((1-S754)*($G$9-$E$9)*($G$9-$F$9))))</f>
        <v>0.9880692713981</v>
      </c>
      <c r="F754" s="51" t="n">
        <f aca="false">1+IF($G$10=$E$10,$F$10,IF(T754&lt;($F$10-$E$10)/($G$10-$E$10),$E$10+SQRT(T754*($G$10-$E$10)*($F$10-$E$10)),$G$10-SQRT((1-T754)*($G$10-$E$10)*($G$10-$F$10))))</f>
        <v>1.04309122133284</v>
      </c>
      <c r="G754" s="52" t="n">
        <f aca="false">IF($G$11=$E$11,$F$11,IF(U754&lt;($F$11-$E$11)/($G$11-$E$11),$E$11+SQRT(U754*($G$11-$E$11)*($F$11-$E$11)),$G$11-SQRT((1-U754)*($G$11-$E$11)*($G$11-$F$11))))</f>
        <v>0.103315751501998</v>
      </c>
      <c r="H754" s="53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-2086182442.66568</v>
      </c>
      <c r="I754" s="53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-26092126.5009998</v>
      </c>
      <c r="J754" s="53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234813840.500622</v>
      </c>
      <c r="K754" s="53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547874368.568885</v>
      </c>
      <c r="L754" s="53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662966704.887111</v>
      </c>
      <c r="M754" s="53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817646948.467712</v>
      </c>
      <c r="N754" s="53" t="n">
        <f aca="false">IF(COUNT('Business Case'!B11:G11)=0,"",H754+NPV(G754,I754:M754))</f>
        <v>-561501042.533885</v>
      </c>
      <c r="P754" s="54" t="n">
        <f aca="true">RAND()</f>
        <v>0.96417108841253</v>
      </c>
      <c r="Q754" s="54" t="n">
        <f aca="true">RAND()</f>
        <v>0.0564599934833149</v>
      </c>
      <c r="R754" s="54" t="n">
        <f aca="true">RAND()</f>
        <v>0.416209680880171</v>
      </c>
      <c r="S754" s="54" t="n">
        <f aca="true">RAND()</f>
        <v>0.310247862583685</v>
      </c>
      <c r="T754" s="54" t="n">
        <f aca="true">RAND()</f>
        <v>0.429183430806194</v>
      </c>
      <c r="U754" s="54" t="n">
        <f aca="true">RAND()</f>
        <v>0.52530058806457</v>
      </c>
    </row>
    <row r="755" customFormat="false" ht="15" hidden="false" customHeight="false" outlineLevel="0" collapsed="false">
      <c r="A755" s="50" t="n">
        <v>675</v>
      </c>
      <c r="B755" s="51" t="n">
        <f aca="false">1+IF($G$6=$E$6,$F$6,IF(P755&lt;($F$6-$E$6)/($G$6-$E$6),$E$6+SQRT(P755*($G$6-$E$6)*($F$6-$E$6)),$G$6-SQRT((1-P755)*($G$6-$E$6)*($G$6-$F$6))))</f>
        <v>0.948062067112396</v>
      </c>
      <c r="C755" s="51" t="n">
        <f aca="false">1+IF($G$7=$E$7,$F$7,IF(Q755&lt;($F$7-$E$7)/($G$7-$E$7),$E$7+SQRT(Q755*($G$7-$E$7)*($F$7-$E$7)),$G$7-SQRT((1-Q755)*($G$7-$E$7)*($G$7-$F$7))))</f>
        <v>0.858157928711083</v>
      </c>
      <c r="D755" s="51" t="n">
        <f aca="false">1+IF($G$8=$E$8,$F$8,IF(R755&lt;($F$8-$E$8)/($G$8-$E$8),$E$8+SQRT(R755*($G$8-$E$8)*($F$8-$E$8)),$G$8-SQRT((1-R755)*($G$8-$E$8)*($G$8-$F$8))))</f>
        <v>1.0420637605552</v>
      </c>
      <c r="E755" s="51" t="n">
        <f aca="false">1+IF($G$9=$E$9,$F$9,IF(S755&lt;($F$9-$E$9)/($G$9-$E$9),$E$9+SQRT(S755*($G$9-$E$9)*($F$9-$E$9)),$G$9-SQRT((1-S755)*($G$9-$E$9)*($G$9-$F$9))))</f>
        <v>1.11608573915942</v>
      </c>
      <c r="F755" s="51" t="n">
        <f aca="false">1+IF($G$10=$E$10,$F$10,IF(T755&lt;($F$10-$E$10)/($G$10-$E$10),$E$10+SQRT(T755*($G$10-$E$10)*($F$10-$E$10)),$G$10-SQRT((1-T755)*($G$10-$E$10)*($G$10-$F$10))))</f>
        <v>0.985122602474513</v>
      </c>
      <c r="G755" s="52" t="n">
        <f aca="false">IF($G$11=$E$11,$F$11,IF(U755&lt;($F$11-$E$11)/($G$11-$E$11),$E$11+SQRT(U755*($G$11-$E$11)*($F$11-$E$11)),$G$11-SQRT((1-U755)*($G$11-$E$11)*($G$11-$F$11))))</f>
        <v>0.0906037512962746</v>
      </c>
      <c r="H755" s="53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-1970245204.94903</v>
      </c>
      <c r="I755" s="53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-90796848.7572336</v>
      </c>
      <c r="J755" s="53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117802303.874427</v>
      </c>
      <c r="K755" s="53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375657586.629813</v>
      </c>
      <c r="L755" s="53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473308203.529015</v>
      </c>
      <c r="M755" s="53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627954816.649916</v>
      </c>
      <c r="N755" s="53" t="n">
        <f aca="false">IF(COUNT('Business Case'!B11:G11)=0,"",H755+NPV(G755,I755:M755))</f>
        <v>-923301059.912865</v>
      </c>
      <c r="P755" s="54" t="n">
        <f aca="true">RAND()</f>
        <v>0.153997486341097</v>
      </c>
      <c r="Q755" s="54" t="n">
        <f aca="true">RAND()</f>
        <v>0.185288373438371</v>
      </c>
      <c r="R755" s="54" t="n">
        <f aca="true">RAND()</f>
        <v>0.776226143932991</v>
      </c>
      <c r="S755" s="54" t="n">
        <f aca="true">RAND()</f>
        <v>0.969328610976992</v>
      </c>
      <c r="T755" s="54" t="n">
        <f aca="true">RAND()</f>
        <v>0.0822398136388438</v>
      </c>
      <c r="U755" s="54" t="n">
        <f aca="true">RAND()</f>
        <v>0.112439541553245</v>
      </c>
    </row>
    <row r="756" customFormat="false" ht="15" hidden="false" customHeight="false" outlineLevel="0" collapsed="false">
      <c r="A756" s="50" t="n">
        <v>676</v>
      </c>
      <c r="B756" s="51" t="n">
        <f aca="false">1+IF($G$6=$E$6,$F$6,IF(P756&lt;($F$6-$E$6)/($G$6-$E$6),$E$6+SQRT(P756*($G$6-$E$6)*($F$6-$E$6)),$G$6-SQRT((1-P756)*($G$6-$E$6)*($G$6-$F$6))))</f>
        <v>0.918066662684519</v>
      </c>
      <c r="C756" s="51" t="n">
        <f aca="false">1+IF($G$7=$E$7,$F$7,IF(Q756&lt;($F$7-$E$7)/($G$7-$E$7),$E$7+SQRT(Q756*($G$7-$E$7)*($F$7-$E$7)),$G$7-SQRT((1-Q756)*($G$7-$E$7)*($G$7-$F$7))))</f>
        <v>0.871186877736421</v>
      </c>
      <c r="D756" s="51" t="n">
        <f aca="false">1+IF($G$8=$E$8,$F$8,IF(R756&lt;($F$8-$E$8)/($G$8-$E$8),$E$8+SQRT(R756*($G$8-$E$8)*($F$8-$E$8)),$G$8-SQRT((1-R756)*($G$8-$E$8)*($G$8-$F$8))))</f>
        <v>1.02841338399232</v>
      </c>
      <c r="E756" s="51" t="n">
        <f aca="false">1+IF($G$9=$E$9,$F$9,IF(S756&lt;($F$9-$E$9)/($G$9-$E$9),$E$9+SQRT(S756*($G$9-$E$9)*($F$9-$E$9)),$G$9-SQRT((1-S756)*($G$9-$E$9)*($G$9-$F$9))))</f>
        <v>0.995699750535279</v>
      </c>
      <c r="F756" s="51" t="n">
        <f aca="false">1+IF($G$10=$E$10,$F$10,IF(T756&lt;($F$10-$E$10)/($G$10-$E$10),$E$10+SQRT(T756*($G$10-$E$10)*($F$10-$E$10)),$G$10-SQRT((1-T756)*($G$10-$E$10)*($G$10-$F$10))))</f>
        <v>1.04590660139923</v>
      </c>
      <c r="G756" s="52" t="n">
        <f aca="false">IF($G$11=$E$11,$F$11,IF(U756&lt;($F$11-$E$11)/($G$11-$E$11),$E$11+SQRT(U756*($G$11-$E$11)*($F$11-$E$11)),$G$11-SQRT((1-U756)*($G$11-$E$11)*($G$11-$F$11))))</f>
        <v>0.0952215587843905</v>
      </c>
      <c r="H756" s="53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-2091813202.79846</v>
      </c>
      <c r="I756" s="53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-91190887.7643707</v>
      </c>
      <c r="J756" s="53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105259416.646329</v>
      </c>
      <c r="K756" s="53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354005051.12699</v>
      </c>
      <c r="L756" s="53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447129837.603243</v>
      </c>
      <c r="M756" s="53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599157271.803021</v>
      </c>
      <c r="N756" s="53" t="n">
        <f aca="false">IF(COUNT('Business Case'!B11:G11)=0,"",H756+NPV(G756,I756:M756))</f>
        <v>-1126881111.09795</v>
      </c>
      <c r="P756" s="54" t="n">
        <f aca="true">RAND()</f>
        <v>0.0217602867037457</v>
      </c>
      <c r="Q756" s="54" t="n">
        <f aca="true">RAND()</f>
        <v>0.217073682289958</v>
      </c>
      <c r="R756" s="54" t="n">
        <f aca="true">RAND()</f>
        <v>0.65835709390462</v>
      </c>
      <c r="S756" s="54" t="n">
        <f aca="true">RAND()</f>
        <v>0.366337690100587</v>
      </c>
      <c r="T756" s="54" t="n">
        <f aca="true">RAND()</f>
        <v>0.444611795301167</v>
      </c>
      <c r="U756" s="54" t="n">
        <f aca="true">RAND()</f>
        <v>0.231695851826656</v>
      </c>
    </row>
    <row r="757" customFormat="false" ht="15" hidden="false" customHeight="false" outlineLevel="0" collapsed="false">
      <c r="A757" s="50" t="n">
        <v>677</v>
      </c>
      <c r="B757" s="51" t="n">
        <f aca="false">1+IF($G$6=$E$6,$F$6,IF(P757&lt;($F$6-$E$6)/($G$6-$E$6),$E$6+SQRT(P757*($G$6-$E$6)*($F$6-$E$6)),$G$6-SQRT((1-P757)*($G$6-$E$6)*($G$6-$F$6))))</f>
        <v>0.987619676279378</v>
      </c>
      <c r="C757" s="51" t="n">
        <f aca="false">1+IF($G$7=$E$7,$F$7,IF(Q757&lt;($F$7-$E$7)/($G$7-$E$7),$E$7+SQRT(Q757*($G$7-$E$7)*($F$7-$E$7)),$G$7-SQRT((1-Q757)*($G$7-$E$7)*($G$7-$F$7))))</f>
        <v>0.808864601955564</v>
      </c>
      <c r="D757" s="51" t="n">
        <f aca="false">1+IF($G$8=$E$8,$F$8,IF(R757&lt;($F$8-$E$8)/($G$8-$E$8),$E$8+SQRT(R757*($G$8-$E$8)*($F$8-$E$8)),$G$8-SQRT((1-R757)*($G$8-$E$8)*($G$8-$F$8))))</f>
        <v>1.02209090408145</v>
      </c>
      <c r="E757" s="51" t="n">
        <f aca="false">1+IF($G$9=$E$9,$F$9,IF(S757&lt;($F$9-$E$9)/($G$9-$E$9),$E$9+SQRT(S757*($G$9-$E$9)*($F$9-$E$9)),$G$9-SQRT((1-S757)*($G$9-$E$9)*($G$9-$F$9))))</f>
        <v>0.999473517072611</v>
      </c>
      <c r="F757" s="51" t="n">
        <f aca="false">1+IF($G$10=$E$10,$F$10,IF(T757&lt;($F$10-$E$10)/($G$10-$E$10),$E$10+SQRT(T757*($G$10-$E$10)*($F$10-$E$10)),$G$10-SQRT((1-T757)*($G$10-$E$10)*($G$10-$F$10))))</f>
        <v>1.04251282465464</v>
      </c>
      <c r="G757" s="52" t="n">
        <f aca="false">IF($G$11=$E$11,$F$11,IF(U757&lt;($F$11-$E$11)/($G$11-$E$11),$E$11+SQRT(U757*($G$11-$E$11)*($F$11-$E$11)),$G$11-SQRT((1-U757)*($G$11-$E$11)*($G$11-$F$11))))</f>
        <v>0.101764609355215</v>
      </c>
      <c r="H757" s="53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-2085025649.30928</v>
      </c>
      <c r="I757" s="53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-56693911.1856499</v>
      </c>
      <c r="J757" s="53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174401009.13601</v>
      </c>
      <c r="K757" s="53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457621570.690403</v>
      </c>
      <c r="L757" s="53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562261487.407036</v>
      </c>
      <c r="M757" s="53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714107008.758811</v>
      </c>
      <c r="N757" s="53" t="n">
        <f aca="false">IF(COUNT('Business Case'!B11:G11)=0,"",H757+NPV(G757,I757:M757))</f>
        <v>-829200206.656469</v>
      </c>
      <c r="P757" s="54" t="n">
        <f aca="true">RAND()</f>
        <v>0.511813844753534</v>
      </c>
      <c r="Q757" s="54" t="n">
        <f aca="true">RAND()</f>
        <v>0.0877889004366174</v>
      </c>
      <c r="R757" s="54" t="n">
        <f aca="true">RAND()</f>
        <v>0.595344851543584</v>
      </c>
      <c r="S757" s="54" t="n">
        <f aca="true">RAND()</f>
        <v>0.395799223951798</v>
      </c>
      <c r="T757" s="54" t="n">
        <f aca="true">RAND()</f>
        <v>0.425987627562721</v>
      </c>
      <c r="U757" s="54" t="n">
        <f aca="true">RAND()</f>
        <v>0.46850847675759</v>
      </c>
    </row>
    <row r="758" customFormat="false" ht="15" hidden="false" customHeight="false" outlineLevel="0" collapsed="false">
      <c r="A758" s="50" t="n">
        <v>678</v>
      </c>
      <c r="B758" s="51" t="n">
        <f aca="false">1+IF($G$6=$E$6,$F$6,IF(P758&lt;($F$6-$E$6)/($G$6-$E$6),$E$6+SQRT(P758*($G$6-$E$6)*($F$6-$E$6)),$G$6-SQRT((1-P758)*($G$6-$E$6)*($G$6-$F$6))))</f>
        <v>1.00621411139793</v>
      </c>
      <c r="C758" s="51" t="n">
        <f aca="false">1+IF($G$7=$E$7,$F$7,IF(Q758&lt;($F$7-$E$7)/($G$7-$E$7),$E$7+SQRT(Q758*($G$7-$E$7)*($F$7-$E$7)),$G$7-SQRT((1-Q758)*($G$7-$E$7)*($G$7-$F$7))))</f>
        <v>0.935861835159377</v>
      </c>
      <c r="D758" s="51" t="n">
        <f aca="false">1+IF($G$8=$E$8,$F$8,IF(R758&lt;($F$8-$E$8)/($G$8-$E$8),$E$8+SQRT(R758*($G$8-$E$8)*($F$8-$E$8)),$G$8-SQRT((1-R758)*($G$8-$E$8)*($G$8-$F$8))))</f>
        <v>1.03166540973745</v>
      </c>
      <c r="E758" s="51" t="n">
        <f aca="false">1+IF($G$9=$E$9,$F$9,IF(S758&lt;($F$9-$E$9)/($G$9-$E$9),$E$9+SQRT(S758*($G$9-$E$9)*($F$9-$E$9)),$G$9-SQRT((1-S758)*($G$9-$E$9)*($G$9-$F$9))))</f>
        <v>1.04564118121855</v>
      </c>
      <c r="F758" s="51" t="n">
        <f aca="false">1+IF($G$10=$E$10,$F$10,IF(T758&lt;($F$10-$E$10)/($G$10-$E$10),$E$10+SQRT(T758*($G$10-$E$10)*($F$10-$E$10)),$G$10-SQRT((1-T758)*($G$10-$E$10)*($G$10-$F$10))))</f>
        <v>1.04213549806332</v>
      </c>
      <c r="G758" s="52" t="n">
        <f aca="false">IF($G$11=$E$11,$F$11,IF(U758&lt;($F$11-$E$11)/($G$11-$E$11),$E$11+SQRT(U758*($G$11-$E$11)*($F$11-$E$11)),$G$11-SQRT((1-U758)*($G$11-$E$11)*($G$11-$F$11))))</f>
        <v>0.111720155209647</v>
      </c>
      <c r="H758" s="53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-2084270996.12663</v>
      </c>
      <c r="I758" s="53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-24675559.9521751</v>
      </c>
      <c r="J758" s="53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252369161.502201</v>
      </c>
      <c r="K758" s="53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581520657.859743</v>
      </c>
      <c r="L758" s="53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706413268.765162</v>
      </c>
      <c r="M758" s="53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885407306.078616</v>
      </c>
      <c r="N758" s="53" t="n">
        <f aca="false">IF(COUNT('Business Case'!B11:G11)=0,"",H758+NPV(G758,I758:M758))</f>
        <v>-495182977.608697</v>
      </c>
      <c r="P758" s="54" t="n">
        <f aca="true">RAND()</f>
        <v>0.744372794577002</v>
      </c>
      <c r="Q758" s="54" t="n">
        <f aca="true">RAND()</f>
        <v>0.412080039146291</v>
      </c>
      <c r="R758" s="54" t="n">
        <f aca="true">RAND()</f>
        <v>0.688692251576602</v>
      </c>
      <c r="S758" s="54" t="n">
        <f aca="true">RAND()</f>
        <v>0.709579651801058</v>
      </c>
      <c r="T758" s="54" t="n">
        <f aca="true">RAND()</f>
        <v>0.423897984461523</v>
      </c>
      <c r="U758" s="54" t="n">
        <f aca="true">RAND()</f>
        <v>0.777231516293731</v>
      </c>
    </row>
    <row r="759" customFormat="false" ht="15" hidden="false" customHeight="false" outlineLevel="0" collapsed="false">
      <c r="A759" s="50" t="n">
        <v>679</v>
      </c>
      <c r="B759" s="51" t="n">
        <f aca="false">1+IF($G$6=$E$6,$F$6,IF(P759&lt;($F$6-$E$6)/($G$6-$E$6),$E$6+SQRT(P759*($G$6-$E$6)*($F$6-$E$6)),$G$6-SQRT((1-P759)*($G$6-$E$6)*($G$6-$F$6))))</f>
        <v>0.934754450529247</v>
      </c>
      <c r="C759" s="51" t="n">
        <f aca="false">1+IF($G$7=$E$7,$F$7,IF(Q759&lt;($F$7-$E$7)/($G$7-$E$7),$E$7+SQRT(Q759*($G$7-$E$7)*($F$7-$E$7)),$G$7-SQRT((1-Q759)*($G$7-$E$7)*($G$7-$F$7))))</f>
        <v>1.02071074314242</v>
      </c>
      <c r="D759" s="51" t="n">
        <f aca="false">1+IF($G$8=$E$8,$F$8,IF(R759&lt;($F$8-$E$8)/($G$8-$E$8),$E$8+SQRT(R759*($G$8-$E$8)*($F$8-$E$8)),$G$8-SQRT((1-R759)*($G$8-$E$8)*($G$8-$F$8))))</f>
        <v>1.06072148782363</v>
      </c>
      <c r="E759" s="51" t="n">
        <f aca="false">1+IF($G$9=$E$9,$F$9,IF(S759&lt;($F$9-$E$9)/($G$9-$E$9),$E$9+SQRT(S759*($G$9-$E$9)*($F$9-$E$9)),$G$9-SQRT((1-S759)*($G$9-$E$9)*($G$9-$F$9))))</f>
        <v>0.921549146073548</v>
      </c>
      <c r="F759" s="51" t="n">
        <f aca="false">1+IF($G$10=$E$10,$F$10,IF(T759&lt;($F$10-$E$10)/($G$10-$E$10),$E$10+SQRT(T759*($G$10-$E$10)*($F$10-$E$10)),$G$10-SQRT((1-T759)*($G$10-$E$10)*($G$10-$F$10))))</f>
        <v>1.00829819822194</v>
      </c>
      <c r="G759" s="52" t="n">
        <f aca="false">IF($G$11=$E$11,$F$11,IF(U759&lt;($F$11-$E$11)/($G$11-$E$11),$E$11+SQRT(U759*($G$11-$E$11)*($F$11-$E$11)),$G$11-SQRT((1-U759)*($G$11-$E$11)*($G$11-$F$11))))</f>
        <v>0.109710246694136</v>
      </c>
      <c r="H759" s="53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-2016596396.44388</v>
      </c>
      <c r="I759" s="53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-54097956.7912714</v>
      </c>
      <c r="J759" s="53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173139459.898213</v>
      </c>
      <c r="K759" s="53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450791786.498795</v>
      </c>
      <c r="L759" s="53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559511768.786559</v>
      </c>
      <c r="M759" s="53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740869740.771872</v>
      </c>
      <c r="N759" s="53" t="n">
        <f aca="false">IF(COUNT('Business Case'!B11:G11)=0,"",H759+NPV(G759,I759:M759))</f>
        <v>-785678163.519711</v>
      </c>
      <c r="P759" s="54" t="n">
        <f aca="true">RAND()</f>
        <v>0.0805247887726599</v>
      </c>
      <c r="Q759" s="54" t="n">
        <f aca="true">RAND()</f>
        <v>0.7523598231291</v>
      </c>
      <c r="R759" s="54" t="n">
        <f aca="true">RAND()</f>
        <v>0.897146565414058</v>
      </c>
      <c r="S759" s="54" t="n">
        <f aca="true">RAND()</f>
        <v>0.0185746278599646</v>
      </c>
      <c r="T759" s="54" t="n">
        <f aca="true">RAND()</f>
        <v>0.221069853563194</v>
      </c>
      <c r="U759" s="54" t="n">
        <f aca="true">RAND()</f>
        <v>0.725550607191458</v>
      </c>
    </row>
    <row r="760" customFormat="false" ht="15" hidden="false" customHeight="false" outlineLevel="0" collapsed="false">
      <c r="A760" s="50" t="n">
        <v>680</v>
      </c>
      <c r="B760" s="51" t="n">
        <f aca="false">1+IF($G$6=$E$6,$F$6,IF(P760&lt;($F$6-$E$6)/($G$6-$E$6),$E$6+SQRT(P760*($G$6-$E$6)*($F$6-$E$6)),$G$6-SQRT((1-P760)*($G$6-$E$6)*($G$6-$F$6))))</f>
        <v>0.995562356085938</v>
      </c>
      <c r="C760" s="51" t="n">
        <f aca="false">1+IF($G$7=$E$7,$F$7,IF(Q760&lt;($F$7-$E$7)/($G$7-$E$7),$E$7+SQRT(Q760*($G$7-$E$7)*($F$7-$E$7)),$G$7-SQRT((1-Q760)*($G$7-$E$7)*($G$7-$F$7))))</f>
        <v>1.07636003311215</v>
      </c>
      <c r="D760" s="51" t="n">
        <f aca="false">1+IF($G$8=$E$8,$F$8,IF(R760&lt;($F$8-$E$8)/($G$8-$E$8),$E$8+SQRT(R760*($G$8-$E$8)*($F$8-$E$8)),$G$8-SQRT((1-R760)*($G$8-$E$8)*($G$8-$F$8))))</f>
        <v>1.03479470344491</v>
      </c>
      <c r="E760" s="51" t="n">
        <f aca="false">1+IF($G$9=$E$9,$F$9,IF(S760&lt;($F$9-$E$9)/($G$9-$E$9),$E$9+SQRT(S760*($G$9-$E$9)*($F$9-$E$9)),$G$9-SQRT((1-S760)*($G$9-$E$9)*($G$9-$F$9))))</f>
        <v>1.04443664128589</v>
      </c>
      <c r="F760" s="51" t="n">
        <f aca="false">1+IF($G$10=$E$10,$F$10,IF(T760&lt;($F$10-$E$10)/($G$10-$E$10),$E$10+SQRT(T760*($G$10-$E$10)*($F$10-$E$10)),$G$10-SQRT((1-T760)*($G$10-$E$10)*($G$10-$F$10))))</f>
        <v>1.15942989734189</v>
      </c>
      <c r="G760" s="52" t="n">
        <f aca="false">IF($G$11=$E$11,$F$11,IF(U760&lt;($F$11-$E$11)/($G$11-$E$11),$E$11+SQRT(U760*($G$11-$E$11)*($F$11-$E$11)),$G$11-SQRT((1-U760)*($G$11-$E$11)*($G$11-$F$11))))</f>
        <v>0.115283582769426</v>
      </c>
      <c r="H760" s="53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-2318859794.68377</v>
      </c>
      <c r="I760" s="53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-12491170.439386</v>
      </c>
      <c r="J760" s="53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295030429.470597</v>
      </c>
      <c r="K760" s="53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660523524.247675</v>
      </c>
      <c r="L760" s="53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800064651.033888</v>
      </c>
      <c r="M760" s="53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1003751248.52309</v>
      </c>
      <c r="N760" s="53" t="n">
        <f aca="false">IF(COUNT('Business Case'!B11:G11)=0,"",H760+NPV(G760,I760:M760))</f>
        <v>-517920681.663677</v>
      </c>
      <c r="P760" s="54" t="n">
        <f aca="true">RAND()</f>
        <v>0.608810926713036</v>
      </c>
      <c r="Q760" s="54" t="n">
        <f aca="true">RAND()</f>
        <v>0.919661559655648</v>
      </c>
      <c r="R760" s="54" t="n">
        <f aca="true">RAND()</f>
        <v>0.716551286744155</v>
      </c>
      <c r="S760" s="54" t="n">
        <f aca="true">RAND()</f>
        <v>0.7028367279199</v>
      </c>
      <c r="T760" s="54" t="n">
        <f aca="true">RAND()</f>
        <v>0.890627420059981</v>
      </c>
      <c r="U760" s="54" t="n">
        <f aca="true">RAND()</f>
        <v>0.855618042597119</v>
      </c>
    </row>
    <row r="761" customFormat="false" ht="15" hidden="false" customHeight="false" outlineLevel="0" collapsed="false">
      <c r="A761" s="50" t="n">
        <v>681</v>
      </c>
      <c r="B761" s="51" t="n">
        <f aca="false">1+IF($G$6=$E$6,$F$6,IF(P761&lt;($F$6-$E$6)/($G$6-$E$6),$E$6+SQRT(P761*($G$6-$E$6)*($F$6-$E$6)),$G$6-SQRT((1-P761)*($G$6-$E$6)*($G$6-$F$6))))</f>
        <v>0.995429673366788</v>
      </c>
      <c r="C761" s="51" t="n">
        <f aca="false">1+IF($G$7=$E$7,$F$7,IF(Q761&lt;($F$7-$E$7)/($G$7-$E$7),$E$7+SQRT(Q761*($G$7-$E$7)*($F$7-$E$7)),$G$7-SQRT((1-Q761)*($G$7-$E$7)*($G$7-$F$7))))</f>
        <v>0.840719045429394</v>
      </c>
      <c r="D761" s="51" t="n">
        <f aca="false">1+IF($G$8=$E$8,$F$8,IF(R761&lt;($F$8-$E$8)/($G$8-$E$8),$E$8+SQRT(R761*($G$8-$E$8)*($F$8-$E$8)),$G$8-SQRT((1-R761)*($G$8-$E$8)*($G$8-$F$8))))</f>
        <v>0.999158381723549</v>
      </c>
      <c r="E761" s="51" t="n">
        <f aca="false">1+IF($G$9=$E$9,$F$9,IF(S761&lt;($F$9-$E$9)/($G$9-$E$9),$E$9+SQRT(S761*($G$9-$E$9)*($F$9-$E$9)),$G$9-SQRT((1-S761)*($G$9-$E$9)*($G$9-$F$9))))</f>
        <v>1.00634944534028</v>
      </c>
      <c r="F761" s="51" t="n">
        <f aca="false">1+IF($G$10=$E$10,$F$10,IF(T761&lt;($F$10-$E$10)/($G$10-$E$10),$E$10+SQRT(T761*($G$10-$E$10)*($F$10-$E$10)),$G$10-SQRT((1-T761)*($G$10-$E$10)*($G$10-$F$10))))</f>
        <v>1.15354019856017</v>
      </c>
      <c r="G761" s="52" t="n">
        <f aca="false">IF($G$11=$E$11,$F$11,IF(U761&lt;($F$11-$E$11)/($G$11-$E$11),$E$11+SQRT(U761*($G$11-$E$11)*($F$11-$E$11)),$G$11-SQRT((1-U761)*($G$11-$E$11)*($G$11-$F$11))))</f>
        <v>0.0902171521133484</v>
      </c>
      <c r="H761" s="53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-2307080397.12035</v>
      </c>
      <c r="I761" s="53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-46397015.6726369</v>
      </c>
      <c r="J761" s="53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209046566.977387</v>
      </c>
      <c r="K761" s="53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522167159.555419</v>
      </c>
      <c r="L761" s="53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636237478.664931</v>
      </c>
      <c r="M761" s="53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795310998.908867</v>
      </c>
      <c r="N761" s="53" t="n">
        <f aca="false">IF(COUNT('Business Case'!B11:G11)=0,"",H761+NPV(G761,I761:M761))</f>
        <v>-804039123.917918</v>
      </c>
      <c r="P761" s="54" t="n">
        <f aca="true">RAND()</f>
        <v>0.607121503926122</v>
      </c>
      <c r="Q761" s="54" t="n">
        <f aca="true">RAND()</f>
        <v>0.146680368493037</v>
      </c>
      <c r="R761" s="54" t="n">
        <f aca="true">RAND()</f>
        <v>0.322206199157092</v>
      </c>
      <c r="S761" s="54" t="n">
        <f aca="true">RAND()</f>
        <v>0.449720483892132</v>
      </c>
      <c r="T761" s="54" t="n">
        <f aca="true">RAND()</f>
        <v>0.875940089415855</v>
      </c>
      <c r="U761" s="54" t="n">
        <f aca="true">RAND()</f>
        <v>0.1043901973073</v>
      </c>
    </row>
    <row r="762" customFormat="false" ht="15" hidden="false" customHeight="false" outlineLevel="0" collapsed="false">
      <c r="A762" s="50" t="n">
        <v>682</v>
      </c>
      <c r="B762" s="51" t="n">
        <f aca="false">1+IF($G$6=$E$6,$F$6,IF(P762&lt;($F$6-$E$6)/($G$6-$E$6),$E$6+SQRT(P762*($G$6-$E$6)*($F$6-$E$6)),$G$6-SQRT((1-P762)*($G$6-$E$6)*($G$6-$F$6))))</f>
        <v>0.961413096097772</v>
      </c>
      <c r="C762" s="51" t="n">
        <f aca="false">1+IF($G$7=$E$7,$F$7,IF(Q762&lt;($F$7-$E$7)/($G$7-$E$7),$E$7+SQRT(Q762*($G$7-$E$7)*($F$7-$E$7)),$G$7-SQRT((1-Q762)*($G$7-$E$7)*($G$7-$F$7))))</f>
        <v>1.09447882870693</v>
      </c>
      <c r="D762" s="51" t="n">
        <f aca="false">1+IF($G$8=$E$8,$F$8,IF(R762&lt;($F$8-$E$8)/($G$8-$E$8),$E$8+SQRT(R762*($G$8-$E$8)*($F$8-$E$8)),$G$8-SQRT((1-R762)*($G$8-$E$8)*($G$8-$F$8))))</f>
        <v>1.04002086411479</v>
      </c>
      <c r="E762" s="51" t="n">
        <f aca="false">1+IF($G$9=$E$9,$F$9,IF(S762&lt;($F$9-$E$9)/($G$9-$E$9),$E$9+SQRT(S762*($G$9-$E$9)*($F$9-$E$9)),$G$9-SQRT((1-S762)*($G$9-$E$9)*($G$9-$F$9))))</f>
        <v>1.01478243091314</v>
      </c>
      <c r="F762" s="51" t="n">
        <f aca="false">1+IF($G$10=$E$10,$F$10,IF(T762&lt;($F$10-$E$10)/($G$10-$E$10),$E$10+SQRT(T762*($G$10-$E$10)*($F$10-$E$10)),$G$10-SQRT((1-T762)*($G$10-$E$10)*($G$10-$F$10))))</f>
        <v>1.09167620259112</v>
      </c>
      <c r="G762" s="52" t="n">
        <f aca="false">IF($G$11=$E$11,$F$11,IF(U762&lt;($F$11-$E$11)/($G$11-$E$11),$E$11+SQRT(U762*($G$11-$E$11)*($F$11-$E$11)),$G$11-SQRT((1-U762)*($G$11-$E$11)*($G$11-$F$11))))</f>
        <v>0.0997694824935916</v>
      </c>
      <c r="H762" s="53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-2183352405.18223</v>
      </c>
      <c r="I762" s="53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-28861380.493698</v>
      </c>
      <c r="J762" s="53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250295368.067543</v>
      </c>
      <c r="K762" s="53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584035926.75834</v>
      </c>
      <c r="L762" s="53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713453807.692073</v>
      </c>
      <c r="M762" s="53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913464780.465331</v>
      </c>
      <c r="N762" s="53" t="n">
        <f aca="false">IF(COUNT('Business Case'!B11:G11)=0,"",H762+NPV(G762,I762:M762))</f>
        <v>-508090627.541911</v>
      </c>
      <c r="P762" s="54" t="n">
        <f aca="true">RAND()</f>
        <v>0.251437891487615</v>
      </c>
      <c r="Q762" s="54" t="n">
        <f aca="true">RAND()</f>
        <v>0.954331845011042</v>
      </c>
      <c r="R762" s="54" t="n">
        <f aca="true">RAND()</f>
        <v>0.760166883897602</v>
      </c>
      <c r="S762" s="54" t="n">
        <f aca="true">RAND()</f>
        <v>0.512432240273038</v>
      </c>
      <c r="T762" s="54" t="n">
        <f aca="true">RAND()</f>
        <v>0.665781002320407</v>
      </c>
      <c r="U762" s="54" t="n">
        <f aca="true">RAND()</f>
        <v>0.390832438064426</v>
      </c>
    </row>
    <row r="763" customFormat="false" ht="15" hidden="false" customHeight="false" outlineLevel="0" collapsed="false">
      <c r="A763" s="50" t="n">
        <v>683</v>
      </c>
      <c r="B763" s="51" t="n">
        <f aca="false">1+IF($G$6=$E$6,$F$6,IF(P763&lt;($F$6-$E$6)/($G$6-$E$6),$E$6+SQRT(P763*($G$6-$E$6)*($F$6-$E$6)),$G$6-SQRT((1-P763)*($G$6-$E$6)*($G$6-$F$6))))</f>
        <v>0.99853807766253</v>
      </c>
      <c r="C763" s="51" t="n">
        <f aca="false">1+IF($G$7=$E$7,$F$7,IF(Q763&lt;($F$7-$E$7)/($G$7-$E$7),$E$7+SQRT(Q763*($G$7-$E$7)*($F$7-$E$7)),$G$7-SQRT((1-Q763)*($G$7-$E$7)*($G$7-$F$7))))</f>
        <v>0.895904764015428</v>
      </c>
      <c r="D763" s="51" t="n">
        <f aca="false">1+IF($G$8=$E$8,$F$8,IF(R763&lt;($F$8-$E$8)/($G$8-$E$8),$E$8+SQRT(R763*($G$8-$E$8)*($F$8-$E$8)),$G$8-SQRT((1-R763)*($G$8-$E$8)*($G$8-$F$8))))</f>
        <v>1.02358159609617</v>
      </c>
      <c r="E763" s="51" t="n">
        <f aca="false">1+IF($G$9=$E$9,$F$9,IF(S763&lt;($F$9-$E$9)/($G$9-$E$9),$E$9+SQRT(S763*($G$9-$E$9)*($F$9-$E$9)),$G$9-SQRT((1-S763)*($G$9-$E$9)*($G$9-$F$9))))</f>
        <v>1.04888906020035</v>
      </c>
      <c r="F763" s="51" t="n">
        <f aca="false">1+IF($G$10=$E$10,$F$10,IF(T763&lt;($F$10-$E$10)/($G$10-$E$10),$E$10+SQRT(T763*($G$10-$E$10)*($F$10-$E$10)),$G$10-SQRT((1-T763)*($G$10-$E$10)*($G$10-$F$10))))</f>
        <v>1.11428676521465</v>
      </c>
      <c r="G763" s="52" t="n">
        <f aca="false">IF($G$11=$E$11,$F$11,IF(U763&lt;($F$11-$E$11)/($G$11-$E$11),$E$11+SQRT(U763*($G$11-$E$11)*($F$11-$E$11)),$G$11-SQRT((1-U763)*($G$11-$E$11)*($G$11-$F$11))))</f>
        <v>0.0969945431490126</v>
      </c>
      <c r="H763" s="53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-2228573530.4293</v>
      </c>
      <c r="I763" s="53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-43665605.0214179</v>
      </c>
      <c r="J763" s="53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219625296.718877</v>
      </c>
      <c r="K763" s="53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538630536.719905</v>
      </c>
      <c r="L763" s="53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657311374.553175</v>
      </c>
      <c r="M763" s="53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827355996.112288</v>
      </c>
      <c r="N763" s="53" t="n">
        <f aca="false">IF(COUNT('Business Case'!B11:G11)=0,"",H763+NPV(G763,I763:M763))</f>
        <v>-703165787.759445</v>
      </c>
      <c r="P763" s="54" t="n">
        <f aca="true">RAND()</f>
        <v>0.64731684996179</v>
      </c>
      <c r="Q763" s="54" t="n">
        <f aca="true">RAND()</f>
        <v>0.284286493066227</v>
      </c>
      <c r="R763" s="54" t="n">
        <f aca="true">RAND()</f>
        <v>0.610681836319366</v>
      </c>
      <c r="S763" s="54" t="n">
        <f aca="true">RAND()</f>
        <v>0.727375409408839</v>
      </c>
      <c r="T763" s="54" t="n">
        <f aca="true">RAND()</f>
        <v>0.75442557205462</v>
      </c>
      <c r="U763" s="54" t="n">
        <f aca="true">RAND()</f>
        <v>0.28881449684365</v>
      </c>
    </row>
    <row r="764" customFormat="false" ht="15" hidden="false" customHeight="false" outlineLevel="0" collapsed="false">
      <c r="A764" s="50" t="n">
        <v>684</v>
      </c>
      <c r="B764" s="51" t="n">
        <f aca="false">1+IF($G$6=$E$6,$F$6,IF(P764&lt;($F$6-$E$6)/($G$6-$E$6),$E$6+SQRT(P764*($G$6-$E$6)*($F$6-$E$6)),$G$6-SQRT((1-P764)*($G$6-$E$6)*($G$6-$F$6))))</f>
        <v>1.01403392876015</v>
      </c>
      <c r="C764" s="51" t="n">
        <f aca="false">1+IF($G$7=$E$7,$F$7,IF(Q764&lt;($F$7-$E$7)/($G$7-$E$7),$E$7+SQRT(Q764*($G$7-$E$7)*($F$7-$E$7)),$G$7-SQRT((1-Q764)*($G$7-$E$7)*($G$7-$F$7))))</f>
        <v>1.08749015533742</v>
      </c>
      <c r="D764" s="51" t="n">
        <f aca="false">1+IF($G$8=$E$8,$F$8,IF(R764&lt;($F$8-$E$8)/($G$8-$E$8),$E$8+SQRT(R764*($G$8-$E$8)*($F$8-$E$8)),$G$8-SQRT((1-R764)*($G$8-$E$8)*($G$8-$F$8))))</f>
        <v>1.03349250905775</v>
      </c>
      <c r="E764" s="51" t="n">
        <f aca="false">1+IF($G$9=$E$9,$F$9,IF(S764&lt;($F$9-$E$9)/($G$9-$E$9),$E$9+SQRT(S764*($G$9-$E$9)*($F$9-$E$9)),$G$9-SQRT((1-S764)*($G$9-$E$9)*($G$9-$F$9))))</f>
        <v>0.975174622160843</v>
      </c>
      <c r="F764" s="51" t="n">
        <f aca="false">1+IF($G$10=$E$10,$F$10,IF(T764&lt;($F$10-$E$10)/($G$10-$E$10),$E$10+SQRT(T764*($G$10-$E$10)*($F$10-$E$10)),$G$10-SQRT((1-T764)*($G$10-$E$10)*($G$10-$F$10))))</f>
        <v>0.987546016864397</v>
      </c>
      <c r="G764" s="52" t="n">
        <f aca="false">IF($G$11=$E$11,$F$11,IF(U764&lt;($F$11-$E$11)/($G$11-$E$11),$E$11+SQRT(U764*($G$11-$E$11)*($F$11-$E$11)),$G$11-SQRT((1-U764)*($G$11-$E$11)*($G$11-$F$11))))</f>
        <v>0.0836719144627205</v>
      </c>
      <c r="H764" s="53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-1975092033.72879</v>
      </c>
      <c r="I764" s="53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33288617.3411901</v>
      </c>
      <c r="J764" s="53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361168326.898388</v>
      </c>
      <c r="K764" s="53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738425337.298805</v>
      </c>
      <c r="L764" s="53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885829679.990069</v>
      </c>
      <c r="M764" s="53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1095440763.93716</v>
      </c>
      <c r="N764" s="53" t="n">
        <f aca="false">IF(COUNT('Business Case'!B11:G11)=0,"",H764+NPV(G764,I764:M764))</f>
        <v>318746497.199943</v>
      </c>
      <c r="P764" s="54" t="n">
        <f aca="true">RAND()</f>
        <v>0.82752556260932</v>
      </c>
      <c r="Q764" s="54" t="n">
        <f aca="true">RAND()</f>
        <v>0.942111397337186</v>
      </c>
      <c r="R764" s="54" t="n">
        <f aca="true">RAND()</f>
        <v>0.705116909904428</v>
      </c>
      <c r="S764" s="54" t="n">
        <f aca="true">RAND()</f>
        <v>0.22604895268102</v>
      </c>
      <c r="T764" s="54" t="n">
        <f aca="true">RAND()</f>
        <v>0.0939802254921072</v>
      </c>
      <c r="U764" s="54" t="n">
        <f aca="true">RAND()</f>
        <v>0.0134829558215357</v>
      </c>
    </row>
    <row r="765" customFormat="false" ht="15" hidden="false" customHeight="false" outlineLevel="0" collapsed="false">
      <c r="A765" s="50" t="n">
        <v>685</v>
      </c>
      <c r="B765" s="51" t="n">
        <f aca="false">1+IF($G$6=$E$6,$F$6,IF(P765&lt;($F$6-$E$6)/($G$6-$E$6),$E$6+SQRT(P765*($G$6-$E$6)*($F$6-$E$6)),$G$6-SQRT((1-P765)*($G$6-$E$6)*($G$6-$F$6))))</f>
        <v>0.951109886920387</v>
      </c>
      <c r="C765" s="51" t="n">
        <f aca="false">1+IF($G$7=$E$7,$F$7,IF(Q765&lt;($F$7-$E$7)/($G$7-$E$7),$E$7+SQRT(Q765*($G$7-$E$7)*($F$7-$E$7)),$G$7-SQRT((1-Q765)*($G$7-$E$7)*($G$7-$F$7))))</f>
        <v>0.97422619990759</v>
      </c>
      <c r="D765" s="51" t="n">
        <f aca="false">1+IF($G$8=$E$8,$F$8,IF(R765&lt;($F$8-$E$8)/($G$8-$E$8),$E$8+SQRT(R765*($G$8-$E$8)*($F$8-$E$8)),$G$8-SQRT((1-R765)*($G$8-$E$8)*($G$8-$F$8))))</f>
        <v>1.00461831223087</v>
      </c>
      <c r="E765" s="51" t="n">
        <f aca="false">1+IF($G$9=$E$9,$F$9,IF(S765&lt;($F$9-$E$9)/($G$9-$E$9),$E$9+SQRT(S765*($G$9-$E$9)*($F$9-$E$9)),$G$9-SQRT((1-S765)*($G$9-$E$9)*($G$9-$F$9))))</f>
        <v>1.05527155580885</v>
      </c>
      <c r="F765" s="51" t="n">
        <f aca="false">1+IF($G$10=$E$10,$F$10,IF(T765&lt;($F$10-$E$10)/($G$10-$E$10),$E$10+SQRT(T765*($G$10-$E$10)*($F$10-$E$10)),$G$10-SQRT((1-T765)*($G$10-$E$10)*($G$10-$F$10))))</f>
        <v>1.00344198061215</v>
      </c>
      <c r="G765" s="52" t="n">
        <f aca="false">IF($G$11=$E$11,$F$11,IF(U765&lt;($F$11-$E$11)/($G$11-$E$11),$E$11+SQRT(U765*($G$11-$E$11)*($F$11-$E$11)),$G$11-SQRT((1-U765)*($G$11-$E$11)*($G$11-$F$11))))</f>
        <v>0.092512774908986</v>
      </c>
      <c r="H765" s="53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-2006883961.22429</v>
      </c>
      <c r="I765" s="53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-40518728.0306302</v>
      </c>
      <c r="J765" s="53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217401102.731748</v>
      </c>
      <c r="K765" s="53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525493032.524733</v>
      </c>
      <c r="L765" s="53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643489473.109376</v>
      </c>
      <c r="M765" s="53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819616873.26055</v>
      </c>
      <c r="N765" s="53" t="n">
        <f aca="false">IF(COUNT('Business Case'!B11:G11)=0,"",H765+NPV(G765,I765:M765))</f>
        <v>-480565044.420866</v>
      </c>
      <c r="P765" s="54" t="n">
        <f aca="true">RAND()</f>
        <v>0.174148036067648</v>
      </c>
      <c r="Q765" s="54" t="n">
        <f aca="true">RAND()</f>
        <v>0.557037101598202</v>
      </c>
      <c r="R765" s="54" t="n">
        <f aca="true">RAND()</f>
        <v>0.393488909220812</v>
      </c>
      <c r="S765" s="54" t="n">
        <f aca="true">RAND()</f>
        <v>0.760707249629991</v>
      </c>
      <c r="T765" s="54" t="n">
        <f aca="true">RAND()</f>
        <v>0.18945524100719</v>
      </c>
      <c r="U765" s="54" t="n">
        <f aca="true">RAND()</f>
        <v>0.15656953592295</v>
      </c>
    </row>
    <row r="766" customFormat="false" ht="15" hidden="false" customHeight="false" outlineLevel="0" collapsed="false">
      <c r="A766" s="50" t="n">
        <v>686</v>
      </c>
      <c r="B766" s="51" t="n">
        <f aca="false">1+IF($G$6=$E$6,$F$6,IF(P766&lt;($F$6-$E$6)/($G$6-$E$6),$E$6+SQRT(P766*($G$6-$E$6)*($F$6-$E$6)),$G$6-SQRT((1-P766)*($G$6-$E$6)*($G$6-$F$6))))</f>
        <v>1.00301707424475</v>
      </c>
      <c r="C766" s="51" t="n">
        <f aca="false">1+IF($G$7=$E$7,$F$7,IF(Q766&lt;($F$7-$E$7)/($G$7-$E$7),$E$7+SQRT(Q766*($G$7-$E$7)*($F$7-$E$7)),$G$7-SQRT((1-Q766)*($G$7-$E$7)*($G$7-$F$7))))</f>
        <v>1.00646860671693</v>
      </c>
      <c r="D766" s="51" t="n">
        <f aca="false">1+IF($G$8=$E$8,$F$8,IF(R766&lt;($F$8-$E$8)/($G$8-$E$8),$E$8+SQRT(R766*($G$8-$E$8)*($F$8-$E$8)),$G$8-SQRT((1-R766)*($G$8-$E$8)*($G$8-$F$8))))</f>
        <v>0.961511173221505</v>
      </c>
      <c r="E766" s="51" t="n">
        <f aca="false">1+IF($G$9=$E$9,$F$9,IF(S766&lt;($F$9-$E$9)/($G$9-$E$9),$E$9+SQRT(S766*($G$9-$E$9)*($F$9-$E$9)),$G$9-SQRT((1-S766)*($G$9-$E$9)*($G$9-$F$9))))</f>
        <v>0.972262189044156</v>
      </c>
      <c r="F766" s="51" t="n">
        <f aca="false">1+IF($G$10=$E$10,$F$10,IF(T766&lt;($F$10-$E$10)/($G$10-$E$10),$E$10+SQRT(T766*($G$10-$E$10)*($F$10-$E$10)),$G$10-SQRT((1-T766)*($G$10-$E$10)*($G$10-$F$10))))</f>
        <v>1.21640440718573</v>
      </c>
      <c r="G766" s="52" t="n">
        <f aca="false">IF($G$11=$E$11,$F$11,IF(U766&lt;($F$11-$E$11)/($G$11-$E$11),$E$11+SQRT(U766*($G$11-$E$11)*($F$11-$E$11)),$G$11-SQRT((1-U766)*($G$11-$E$11)*($G$11-$F$11))))</f>
        <v>0.103192872541124</v>
      </c>
      <c r="H766" s="53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-2432808814.37146</v>
      </c>
      <c r="I766" s="53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19227810.7863917</v>
      </c>
      <c r="J766" s="53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350684494.997756</v>
      </c>
      <c r="K766" s="53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742961399.568406</v>
      </c>
      <c r="L766" s="53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888335460.588407</v>
      </c>
      <c r="M766" s="53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1080222208.47758</v>
      </c>
      <c r="N766" s="53" t="n">
        <f aca="false">IF(COUNT('Business Case'!B11:G11)=0,"",H766+NPV(G766,I766:M766))</f>
        <v>-313033453.816591</v>
      </c>
      <c r="P766" s="54" t="n">
        <f aca="true">RAND()</f>
        <v>0.705680624996845</v>
      </c>
      <c r="Q766" s="54" t="n">
        <f aca="true">RAND()</f>
        <v>0.694796135440292</v>
      </c>
      <c r="R766" s="54" t="n">
        <f aca="true">RAND()</f>
        <v>0.0176676145247334</v>
      </c>
      <c r="S766" s="54" t="n">
        <f aca="true">RAND()</f>
        <v>0.208872958618133</v>
      </c>
      <c r="T766" s="54" t="n">
        <f aca="true">RAND()</f>
        <v>0.984951148579437</v>
      </c>
      <c r="U766" s="54" t="n">
        <f aca="true">RAND()</f>
        <v>0.520918611602378</v>
      </c>
    </row>
    <row r="767" customFormat="false" ht="15" hidden="false" customHeight="false" outlineLevel="0" collapsed="false">
      <c r="A767" s="50" t="n">
        <v>687</v>
      </c>
      <c r="B767" s="51" t="n">
        <f aca="false">1+IF($G$6=$E$6,$F$6,IF(P767&lt;($F$6-$E$6)/($G$6-$E$6),$E$6+SQRT(P767*($G$6-$E$6)*($F$6-$E$6)),$G$6-SQRT((1-P767)*($G$6-$E$6)*($G$6-$F$6))))</f>
        <v>0.922467753880795</v>
      </c>
      <c r="C767" s="51" t="n">
        <f aca="false">1+IF($G$7=$E$7,$F$7,IF(Q767&lt;($F$7-$E$7)/($G$7-$E$7),$E$7+SQRT(Q767*($G$7-$E$7)*($F$7-$E$7)),$G$7-SQRT((1-Q767)*($G$7-$E$7)*($G$7-$F$7))))</f>
        <v>0.821480912748812</v>
      </c>
      <c r="D767" s="51" t="n">
        <f aca="false">1+IF($G$8=$E$8,$F$8,IF(R767&lt;($F$8-$E$8)/($G$8-$E$8),$E$8+SQRT(R767*($G$8-$E$8)*($F$8-$E$8)),$G$8-SQRT((1-R767)*($G$8-$E$8)*($G$8-$F$8))))</f>
        <v>0.998256792081636</v>
      </c>
      <c r="E767" s="51" t="n">
        <f aca="false">1+IF($G$9=$E$9,$F$9,IF(S767&lt;($F$9-$E$9)/($G$9-$E$9),$E$9+SQRT(S767*($G$9-$E$9)*($F$9-$E$9)),$G$9-SQRT((1-S767)*($G$9-$E$9)*($G$9-$F$9))))</f>
        <v>1.08194761798567</v>
      </c>
      <c r="F767" s="51" t="n">
        <f aca="false">1+IF($G$10=$E$10,$F$10,IF(T767&lt;($F$10-$E$10)/($G$10-$E$10),$E$10+SQRT(T767*($G$10-$E$10)*($F$10-$E$10)),$G$10-SQRT((1-T767)*($G$10-$E$10)*($G$10-$F$10))))</f>
        <v>0.988184431334924</v>
      </c>
      <c r="G767" s="52" t="n">
        <f aca="false">IF($G$11=$E$11,$F$11,IF(U767&lt;($F$11-$E$11)/($G$11-$E$11),$E$11+SQRT(U767*($G$11-$E$11)*($F$11-$E$11)),$G$11-SQRT((1-U767)*($G$11-$E$11)*($G$11-$F$11))))</f>
        <v>0.0991175958175263</v>
      </c>
      <c r="H767" s="53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-1976368862.66985</v>
      </c>
      <c r="I767" s="53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-91070357.0457211</v>
      </c>
      <c r="J767" s="53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109814495.902068</v>
      </c>
      <c r="K767" s="53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360108570.416603</v>
      </c>
      <c r="L767" s="53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453259398.45417</v>
      </c>
      <c r="M767" s="53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597300055.58984</v>
      </c>
      <c r="N767" s="53" t="n">
        <f aca="false">IF(COUNT('Business Case'!B11:G11)=0,"",H767+NPV(G767,I767:M767))</f>
        <v>-1014172831.08049</v>
      </c>
      <c r="P767" s="54" t="n">
        <f aca="true">RAND()</f>
        <v>0.0336533309631987</v>
      </c>
      <c r="Q767" s="54" t="n">
        <f aca="true">RAND()</f>
        <v>0.109315645646551</v>
      </c>
      <c r="R767" s="54" t="n">
        <f aca="true">RAND()</f>
        <v>0.310495730934703</v>
      </c>
      <c r="S767" s="54" t="n">
        <f aca="true">RAND()</f>
        <v>0.876503288058018</v>
      </c>
      <c r="T767" s="54" t="n">
        <f aca="true">RAND()</f>
        <v>0.0972033864247667</v>
      </c>
      <c r="U767" s="54" t="n">
        <f aca="true">RAND()</f>
        <v>0.365482469842298</v>
      </c>
    </row>
    <row r="768" customFormat="false" ht="15" hidden="false" customHeight="false" outlineLevel="0" collapsed="false">
      <c r="A768" s="50" t="n">
        <v>688</v>
      </c>
      <c r="B768" s="51" t="n">
        <f aca="false">1+IF($G$6=$E$6,$F$6,IF(P768&lt;($F$6-$E$6)/($G$6-$E$6),$E$6+SQRT(P768*($G$6-$E$6)*($F$6-$E$6)),$G$6-SQRT((1-P768)*($G$6-$E$6)*($G$6-$F$6))))</f>
        <v>1.03067455895838</v>
      </c>
      <c r="C768" s="51" t="n">
        <f aca="false">1+IF($G$7=$E$7,$F$7,IF(Q768&lt;($F$7-$E$7)/($G$7-$E$7),$E$7+SQRT(Q768*($G$7-$E$7)*($F$7-$E$7)),$G$7-SQRT((1-Q768)*($G$7-$E$7)*($G$7-$F$7))))</f>
        <v>0.995426281512351</v>
      </c>
      <c r="D768" s="51" t="n">
        <f aca="false">1+IF($G$8=$E$8,$F$8,IF(R768&lt;($F$8-$E$8)/($G$8-$E$8),$E$8+SQRT(R768*($G$8-$E$8)*($F$8-$E$8)),$G$8-SQRT((1-R768)*($G$8-$E$8)*($G$8-$F$8))))</f>
        <v>0.962472726074753</v>
      </c>
      <c r="E768" s="51" t="n">
        <f aca="false">1+IF($G$9=$E$9,$F$9,IF(S768&lt;($F$9-$E$9)/($G$9-$E$9),$E$9+SQRT(S768*($G$9-$E$9)*($F$9-$E$9)),$G$9-SQRT((1-S768)*($G$9-$E$9)*($G$9-$F$9))))</f>
        <v>1.1223268446766</v>
      </c>
      <c r="F768" s="51" t="n">
        <f aca="false">1+IF($G$10=$E$10,$F$10,IF(T768&lt;($F$10-$E$10)/($G$10-$E$10),$E$10+SQRT(T768*($G$10-$E$10)*($F$10-$E$10)),$G$10-SQRT((1-T768)*($G$10-$E$10)*($G$10-$F$10))))</f>
        <v>1.08891800027268</v>
      </c>
      <c r="G768" s="52" t="n">
        <f aca="false">IF($G$11=$E$11,$F$11,IF(U768&lt;($F$11-$E$11)/($G$11-$E$11),$E$11+SQRT(U768*($G$11-$E$11)*($F$11-$E$11)),$G$11-SQRT((1-U768)*($G$11-$E$11)*($G$11-$F$11))))</f>
        <v>0.09491402786746</v>
      </c>
      <c r="H768" s="53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-2177836000.54535</v>
      </c>
      <c r="I768" s="53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28207557.0069264</v>
      </c>
      <c r="J768" s="53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378087585.938159</v>
      </c>
      <c r="K768" s="53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782413514.883026</v>
      </c>
      <c r="L768" s="53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934497387.582786</v>
      </c>
      <c r="M768" s="53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1129511967.72421</v>
      </c>
      <c r="N768" s="53" t="n">
        <f aca="false">IF(COUNT('Business Case'!B11:G11)=0,"",H768+NPV(G768,I768:M768))</f>
        <v>127369237.345329</v>
      </c>
      <c r="P768" s="54" t="n">
        <f aca="true">RAND()</f>
        <v>0.950203643806265</v>
      </c>
      <c r="Q768" s="54" t="n">
        <f aca="true">RAND()</f>
        <v>0.646493983764554</v>
      </c>
      <c r="R768" s="54" t="n">
        <f aca="true">RAND()</f>
        <v>0.0207425194314444</v>
      </c>
      <c r="S768" s="54" t="n">
        <f aca="true">RAND()</f>
        <v>0.979578572651926</v>
      </c>
      <c r="T768" s="54" t="n">
        <f aca="true">RAND()</f>
        <v>0.65403452485129</v>
      </c>
      <c r="U768" s="54" t="n">
        <f aca="true">RAND()</f>
        <v>0.222428227231373</v>
      </c>
    </row>
    <row r="769" customFormat="false" ht="15" hidden="false" customHeight="false" outlineLevel="0" collapsed="false">
      <c r="A769" s="50" t="n">
        <v>689</v>
      </c>
      <c r="B769" s="51" t="n">
        <f aca="false">1+IF($G$6=$E$6,$F$6,IF(P769&lt;($F$6-$E$6)/($G$6-$E$6),$E$6+SQRT(P769*($G$6-$E$6)*($F$6-$E$6)),$G$6-SQRT((1-P769)*($G$6-$E$6)*($G$6-$F$6))))</f>
        <v>0.924956201327579</v>
      </c>
      <c r="C769" s="51" t="n">
        <f aca="false">1+IF($G$7=$E$7,$F$7,IF(Q769&lt;($F$7-$E$7)/($G$7-$E$7),$E$7+SQRT(Q769*($G$7-$E$7)*($F$7-$E$7)),$G$7-SQRT((1-Q769)*($G$7-$E$7)*($G$7-$F$7))))</f>
        <v>0.970801649104867</v>
      </c>
      <c r="D769" s="51" t="n">
        <f aca="false">1+IF($G$8=$E$8,$F$8,IF(R769&lt;($F$8-$E$8)/($G$8-$E$8),$E$8+SQRT(R769*($G$8-$E$8)*($F$8-$E$8)),$G$8-SQRT((1-R769)*($G$8-$E$8)*($G$8-$F$8))))</f>
        <v>1.01153794890288</v>
      </c>
      <c r="E769" s="51" t="n">
        <f aca="false">1+IF($G$9=$E$9,$F$9,IF(S769&lt;($F$9-$E$9)/($G$9-$E$9),$E$9+SQRT(S769*($G$9-$E$9)*($F$9-$E$9)),$G$9-SQRT((1-S769)*($G$9-$E$9)*($G$9-$F$9))))</f>
        <v>1.00168713125175</v>
      </c>
      <c r="F769" s="51" t="n">
        <f aca="false">1+IF($G$10=$E$10,$F$10,IF(T769&lt;($F$10-$E$10)/($G$10-$E$10),$E$10+SQRT(T769*($G$10-$E$10)*($F$10-$E$10)),$G$10-SQRT((1-T769)*($G$10-$E$10)*($G$10-$F$10))))</f>
        <v>1.0550236557095</v>
      </c>
      <c r="G769" s="52" t="n">
        <f aca="false">IF($G$11=$E$11,$F$11,IF(U769&lt;($F$11-$E$11)/($G$11-$E$11),$E$11+SQRT(U769*($G$11-$E$11)*($F$11-$E$11)),$G$11-SQRT((1-U769)*($G$11-$E$11)*($G$11-$F$11))))</f>
        <v>0.109514947232951</v>
      </c>
      <c r="H769" s="53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-2110047311.41899</v>
      </c>
      <c r="I769" s="53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-61713890.9254814</v>
      </c>
      <c r="J769" s="53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171064170.234217</v>
      </c>
      <c r="K769" s="53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456593414.17939</v>
      </c>
      <c r="L769" s="53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565219218.86611</v>
      </c>
      <c r="M769" s="53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735901365.850289</v>
      </c>
      <c r="N769" s="53" t="n">
        <f aca="false">IF(COUNT('Business Case'!B11:G11)=0,"",H769+NPV(G769,I769:M769))</f>
        <v>-881757533.786639</v>
      </c>
      <c r="P769" s="54" t="n">
        <f aca="true">RAND()</f>
        <v>0.0415207989801771</v>
      </c>
      <c r="Q769" s="54" t="n">
        <f aca="true">RAND()</f>
        <v>0.543211356725298</v>
      </c>
      <c r="R769" s="54" t="n">
        <f aca="true">RAND()</f>
        <v>0.478297701046075</v>
      </c>
      <c r="S769" s="54" t="n">
        <f aca="true">RAND()</f>
        <v>0.413421145697747</v>
      </c>
      <c r="T769" s="54" t="n">
        <f aca="true">RAND()</f>
        <v>0.493123002228141</v>
      </c>
      <c r="U769" s="54" t="n">
        <f aca="true">RAND()</f>
        <v>0.720241742087467</v>
      </c>
    </row>
    <row r="770" customFormat="false" ht="15" hidden="false" customHeight="false" outlineLevel="0" collapsed="false">
      <c r="A770" s="50" t="n">
        <v>690</v>
      </c>
      <c r="B770" s="51" t="n">
        <f aca="false">1+IF($G$6=$E$6,$F$6,IF(P770&lt;($F$6-$E$6)/($G$6-$E$6),$E$6+SQRT(P770*($G$6-$E$6)*($F$6-$E$6)),$G$6-SQRT((1-P770)*($G$6-$E$6)*($G$6-$F$6))))</f>
        <v>0.978678911924863</v>
      </c>
      <c r="C770" s="51" t="n">
        <f aca="false">1+IF($G$7=$E$7,$F$7,IF(Q770&lt;($F$7-$E$7)/($G$7-$E$7),$E$7+SQRT(Q770*($G$7-$E$7)*($F$7-$E$7)),$G$7-SQRT((1-Q770)*($G$7-$E$7)*($G$7-$F$7))))</f>
        <v>0.885441565583936</v>
      </c>
      <c r="D770" s="51" t="n">
        <f aca="false">1+IF($G$8=$E$8,$F$8,IF(R770&lt;($F$8-$E$8)/($G$8-$E$8),$E$8+SQRT(R770*($G$8-$E$8)*($F$8-$E$8)),$G$8-SQRT((1-R770)*($G$8-$E$8)*($G$8-$F$8))))</f>
        <v>0.989962002965371</v>
      </c>
      <c r="E770" s="51" t="n">
        <f aca="false">1+IF($G$9=$E$9,$F$9,IF(S770&lt;($F$9-$E$9)/($G$9-$E$9),$E$9+SQRT(S770*($G$9-$E$9)*($F$9-$E$9)),$G$9-SQRT((1-S770)*($G$9-$E$9)*($G$9-$F$9))))</f>
        <v>0.9892242359473</v>
      </c>
      <c r="F770" s="51" t="n">
        <f aca="false">1+IF($G$10=$E$10,$F$10,IF(T770&lt;($F$10-$E$10)/($G$10-$E$10),$E$10+SQRT(T770*($G$10-$E$10)*($F$10-$E$10)),$G$10-SQRT((1-T770)*($G$10-$E$10)*($G$10-$F$10))))</f>
        <v>1.16689289273661</v>
      </c>
      <c r="G770" s="52" t="n">
        <f aca="false">IF($G$11=$E$11,$F$11,IF(U770&lt;($F$11-$E$11)/($G$11-$E$11),$E$11+SQRT(U770*($G$11-$E$11)*($F$11-$E$11)),$G$11-SQRT((1-U770)*($G$11-$E$11)*($G$11-$F$11))))</f>
        <v>0.113289762773664</v>
      </c>
      <c r="H770" s="53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-2333785785.47322</v>
      </c>
      <c r="I770" s="53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-41227391.90843</v>
      </c>
      <c r="J770" s="53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219824817.105325</v>
      </c>
      <c r="K770" s="53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539221670.755911</v>
      </c>
      <c r="L770" s="53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656187490.62504</v>
      </c>
      <c r="M770" s="53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820903783.380038</v>
      </c>
      <c r="N770" s="53" t="n">
        <f aca="false">IF(COUNT('Business Case'!B11:G11)=0,"",H770+NPV(G770,I770:M770))</f>
        <v>-895491198.085043</v>
      </c>
      <c r="P770" s="54" t="n">
        <f aca="true">RAND()</f>
        <v>0.412691412112028</v>
      </c>
      <c r="Q770" s="54" t="n">
        <f aca="true">RAND()</f>
        <v>0.254730179601638</v>
      </c>
      <c r="R770" s="54" t="n">
        <f aca="true">RAND()</f>
        <v>0.212928224133908</v>
      </c>
      <c r="S770" s="54" t="n">
        <f aca="true">RAND()</f>
        <v>0.318438571215181</v>
      </c>
      <c r="T770" s="54" t="n">
        <f aca="true">RAND()</f>
        <v>0.907909449630822</v>
      </c>
      <c r="U770" s="54" t="n">
        <f aca="true">RAND()</f>
        <v>0.813845314559725</v>
      </c>
    </row>
    <row r="771" customFormat="false" ht="15" hidden="false" customHeight="false" outlineLevel="0" collapsed="false">
      <c r="A771" s="50" t="n">
        <v>691</v>
      </c>
      <c r="B771" s="51" t="n">
        <f aca="false">1+IF($G$6=$E$6,$F$6,IF(P771&lt;($F$6-$E$6)/($G$6-$E$6),$E$6+SQRT(P771*($G$6-$E$6)*($F$6-$E$6)),$G$6-SQRT((1-P771)*($G$6-$E$6)*($G$6-$F$6))))</f>
        <v>1.01125257817309</v>
      </c>
      <c r="C771" s="51" t="n">
        <f aca="false">1+IF($G$7=$E$7,$F$7,IF(Q771&lt;($F$7-$E$7)/($G$7-$E$7),$E$7+SQRT(Q771*($G$7-$E$7)*($F$7-$E$7)),$G$7-SQRT((1-Q771)*($G$7-$E$7)*($G$7-$F$7))))</f>
        <v>1.025308000025</v>
      </c>
      <c r="D771" s="51" t="n">
        <f aca="false">1+IF($G$8=$E$8,$F$8,IF(R771&lt;($F$8-$E$8)/($G$8-$E$8),$E$8+SQRT(R771*($G$8-$E$8)*($F$8-$E$8)),$G$8-SQRT((1-R771)*($G$8-$E$8)*($G$8-$F$8))))</f>
        <v>0.982890051038836</v>
      </c>
      <c r="E771" s="51" t="n">
        <f aca="false">1+IF($G$9=$E$9,$F$9,IF(S771&lt;($F$9-$E$9)/($G$9-$E$9),$E$9+SQRT(S771*($G$9-$E$9)*($F$9-$E$9)),$G$9-SQRT((1-S771)*($G$9-$E$9)*($G$9-$F$9))))</f>
        <v>0.948506790101288</v>
      </c>
      <c r="F771" s="51" t="n">
        <f aca="false">1+IF($G$10=$E$10,$F$10,IF(T771&lt;($F$10-$E$10)/($G$10-$E$10),$E$10+SQRT(T771*($G$10-$E$10)*($F$10-$E$10)),$G$10-SQRT((1-T771)*($G$10-$E$10)*($G$10-$F$10))))</f>
        <v>1.07831544441622</v>
      </c>
      <c r="G771" s="52" t="n">
        <f aca="false">IF($G$11=$E$11,$F$11,IF(U771&lt;($F$11-$E$11)/($G$11-$E$11),$E$11+SQRT(U771*($G$11-$E$11)*($F$11-$E$11)),$G$11-SQRT((1-U771)*($G$11-$E$11)*($G$11-$F$11))))</f>
        <v>0.0885795843921751</v>
      </c>
      <c r="H771" s="53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-2156630888.83243</v>
      </c>
      <c r="I771" s="53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36896652.6331581</v>
      </c>
      <c r="J771" s="53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370252578.642222</v>
      </c>
      <c r="K771" s="53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757524276.872096</v>
      </c>
      <c r="L771" s="53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904476294.463038</v>
      </c>
      <c r="M771" s="53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1101559860.1966</v>
      </c>
      <c r="N771" s="53" t="n">
        <f aca="false">IF(COUNT('Business Case'!B11:G11)=0,"",H771+NPV(G771,I771:M771))</f>
        <v>141678006.788983</v>
      </c>
      <c r="P771" s="54" t="n">
        <f aca="true">RAND()</f>
        <v>0.799818306902327</v>
      </c>
      <c r="Q771" s="54" t="n">
        <f aca="true">RAND()</f>
        <v>0.769657853959025</v>
      </c>
      <c r="R771" s="54" t="n">
        <f aca="true">RAND()</f>
        <v>0.144234060978302</v>
      </c>
      <c r="S771" s="54" t="n">
        <f aca="true">RAND()</f>
        <v>0.0941163474372163</v>
      </c>
      <c r="T771" s="54" t="n">
        <f aca="true">RAND()</f>
        <v>0.606992178319987</v>
      </c>
      <c r="U771" s="54" t="n">
        <f aca="true">RAND()</f>
        <v>0.0736092683424537</v>
      </c>
    </row>
    <row r="772" customFormat="false" ht="15" hidden="false" customHeight="false" outlineLevel="0" collapsed="false">
      <c r="A772" s="50" t="n">
        <v>692</v>
      </c>
      <c r="B772" s="51" t="n">
        <f aca="false">1+IF($G$6=$E$6,$F$6,IF(P772&lt;($F$6-$E$6)/($G$6-$E$6),$E$6+SQRT(P772*($G$6-$E$6)*($F$6-$E$6)),$G$6-SQRT((1-P772)*($G$6-$E$6)*($G$6-$F$6))))</f>
        <v>0.978267889231477</v>
      </c>
      <c r="C772" s="51" t="n">
        <f aca="false">1+IF($G$7=$E$7,$F$7,IF(Q772&lt;($F$7-$E$7)/($G$7-$E$7),$E$7+SQRT(Q772*($G$7-$E$7)*($F$7-$E$7)),$G$7-SQRT((1-Q772)*($G$7-$E$7)*($G$7-$F$7))))</f>
        <v>0.936172440540941</v>
      </c>
      <c r="D772" s="51" t="n">
        <f aca="false">1+IF($G$8=$E$8,$F$8,IF(R772&lt;($F$8-$E$8)/($G$8-$E$8),$E$8+SQRT(R772*($G$8-$E$8)*($F$8-$E$8)),$G$8-SQRT((1-R772)*($G$8-$E$8)*($G$8-$F$8))))</f>
        <v>1.0174241132781</v>
      </c>
      <c r="E772" s="51" t="n">
        <f aca="false">1+IF($G$9=$E$9,$F$9,IF(S772&lt;($F$9-$E$9)/($G$9-$E$9),$E$9+SQRT(S772*($G$9-$E$9)*($F$9-$E$9)),$G$9-SQRT((1-S772)*($G$9-$E$9)*($G$9-$F$9))))</f>
        <v>1.06679436502607</v>
      </c>
      <c r="F772" s="51" t="n">
        <f aca="false">1+IF($G$10=$E$10,$F$10,IF(T772&lt;($F$10-$E$10)/($G$10-$E$10),$E$10+SQRT(T772*($G$10-$E$10)*($F$10-$E$10)),$G$10-SQRT((1-T772)*($G$10-$E$10)*($G$10-$F$10))))</f>
        <v>1.20340762354535</v>
      </c>
      <c r="G772" s="52" t="n">
        <f aca="false">IF($G$11=$E$11,$F$11,IF(U772&lt;($F$11-$E$11)/($G$11-$E$11),$E$11+SQRT(U772*($G$11-$E$11)*($F$11-$E$11)),$G$11-SQRT((1-U772)*($G$11-$E$11)*($G$11-$F$11))))</f>
        <v>0.0998685980116312</v>
      </c>
      <c r="H772" s="53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-2406815247.0907</v>
      </c>
      <c r="I772" s="53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-56982626.4625546</v>
      </c>
      <c r="J772" s="53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205550162.489117</v>
      </c>
      <c r="K772" s="53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528253332.618057</v>
      </c>
      <c r="L772" s="53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647415258.503937</v>
      </c>
      <c r="M772" s="53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821495737.798212</v>
      </c>
      <c r="N772" s="53" t="n">
        <f aca="false">IF(COUNT('Business Case'!B11:G11)=0,"",H772+NPV(G772,I772:M772))</f>
        <v>-938886570.19089</v>
      </c>
      <c r="P772" s="54" t="n">
        <f aca="true">RAND()</f>
        <v>0.408390832316716</v>
      </c>
      <c r="Q772" s="54" t="n">
        <f aca="true">RAND()</f>
        <v>0.413166086452327</v>
      </c>
      <c r="R772" s="54" t="n">
        <f aca="true">RAND()</f>
        <v>0.545414862139503</v>
      </c>
      <c r="S772" s="54" t="n">
        <f aca="true">RAND()</f>
        <v>0.815381928228932</v>
      </c>
      <c r="T772" s="54" t="n">
        <f aca="true">RAND()</f>
        <v>0.971055339417443</v>
      </c>
      <c r="U772" s="54" t="n">
        <f aca="true">RAND()</f>
        <v>0.394761186947796</v>
      </c>
    </row>
    <row r="773" customFormat="false" ht="15" hidden="false" customHeight="false" outlineLevel="0" collapsed="false">
      <c r="A773" s="50" t="n">
        <v>693</v>
      </c>
      <c r="B773" s="51" t="n">
        <f aca="false">1+IF($G$6=$E$6,$F$6,IF(P773&lt;($F$6-$E$6)/($G$6-$E$6),$E$6+SQRT(P773*($G$6-$E$6)*($F$6-$E$6)),$G$6-SQRT((1-P773)*($G$6-$E$6)*($G$6-$F$6))))</f>
        <v>0.94464261534629</v>
      </c>
      <c r="C773" s="51" t="n">
        <f aca="false">1+IF($G$7=$E$7,$F$7,IF(Q773&lt;($F$7-$E$7)/($G$7-$E$7),$E$7+SQRT(Q773*($G$7-$E$7)*($F$7-$E$7)),$G$7-SQRT((1-Q773)*($G$7-$E$7)*($G$7-$F$7))))</f>
        <v>0.976860796050013</v>
      </c>
      <c r="D773" s="51" t="n">
        <f aca="false">1+IF($G$8=$E$8,$F$8,IF(R773&lt;($F$8-$E$8)/($G$8-$E$8),$E$8+SQRT(R773*($G$8-$E$8)*($F$8-$E$8)),$G$8-SQRT((1-R773)*($G$8-$E$8)*($G$8-$F$8))))</f>
        <v>1.05940115982908</v>
      </c>
      <c r="E773" s="51" t="n">
        <f aca="false">1+IF($G$9=$E$9,$F$9,IF(S773&lt;($F$9-$E$9)/($G$9-$E$9),$E$9+SQRT(S773*($G$9-$E$9)*($F$9-$E$9)),$G$9-SQRT((1-S773)*($G$9-$E$9)*($G$9-$F$9))))</f>
        <v>1.06942949566972</v>
      </c>
      <c r="F773" s="51" t="n">
        <f aca="false">1+IF($G$10=$E$10,$F$10,IF(T773&lt;($F$10-$E$10)/($G$10-$E$10),$E$10+SQRT(T773*($G$10-$E$10)*($F$10-$E$10)),$G$10-SQRT((1-T773)*($G$10-$E$10)*($G$10-$F$10))))</f>
        <v>1.14166692300752</v>
      </c>
      <c r="G773" s="52" t="n">
        <f aca="false">IF($G$11=$E$11,$F$11,IF(U773&lt;($F$11-$E$11)/($G$11-$E$11),$E$11+SQRT(U773*($G$11-$E$11)*($F$11-$E$11)),$G$11-SQRT((1-U773)*($G$11-$E$11)*($G$11-$F$11))))</f>
        <v>0.10826766067725</v>
      </c>
      <c r="H773" s="53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-2283333846.01504</v>
      </c>
      <c r="I773" s="53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-88029482.6692926</v>
      </c>
      <c r="J773" s="53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138017741.287364</v>
      </c>
      <c r="K773" s="53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421148311.394396</v>
      </c>
      <c r="L773" s="53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528388812.740591</v>
      </c>
      <c r="M773" s="53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703791659.557457</v>
      </c>
      <c r="N773" s="53" t="n">
        <f aca="false">IF(COUNT('Business Case'!B11:G11)=0,"",H773+NPV(G773,I773:M773))</f>
        <v>-1169820547.91701</v>
      </c>
      <c r="P773" s="54" t="n">
        <f aca="true">RAND()</f>
        <v>0.132864206997119</v>
      </c>
      <c r="Q773" s="54" t="n">
        <f aca="true">RAND()</f>
        <v>0.567791854736644</v>
      </c>
      <c r="R773" s="54" t="n">
        <f aca="true">RAND()</f>
        <v>0.890115611785048</v>
      </c>
      <c r="S773" s="54" t="n">
        <f aca="true">RAND()</f>
        <v>0.826890502185694</v>
      </c>
      <c r="T773" s="54" t="n">
        <f aca="true">RAND()</f>
        <v>0.843519259057889</v>
      </c>
      <c r="U773" s="54" t="n">
        <f aca="true">RAND()</f>
        <v>0.685136951707235</v>
      </c>
    </row>
    <row r="774" customFormat="false" ht="15" hidden="false" customHeight="false" outlineLevel="0" collapsed="false">
      <c r="A774" s="50" t="n">
        <v>694</v>
      </c>
      <c r="B774" s="51" t="n">
        <f aca="false">1+IF($G$6=$E$6,$F$6,IF(P774&lt;($F$6-$E$6)/($G$6-$E$6),$E$6+SQRT(P774*($G$6-$E$6)*($F$6-$E$6)),$G$6-SQRT((1-P774)*($G$6-$E$6)*($G$6-$F$6))))</f>
        <v>1.0006949407692</v>
      </c>
      <c r="C774" s="51" t="n">
        <f aca="false">1+IF($G$7=$E$7,$F$7,IF(Q774&lt;($F$7-$E$7)/($G$7-$E$7),$E$7+SQRT(Q774*($G$7-$E$7)*($F$7-$E$7)),$G$7-SQRT((1-Q774)*($G$7-$E$7)*($G$7-$F$7))))</f>
        <v>0.814112170916274</v>
      </c>
      <c r="D774" s="51" t="n">
        <f aca="false">1+IF($G$8=$E$8,$F$8,IF(R774&lt;($F$8-$E$8)/($G$8-$E$8),$E$8+SQRT(R774*($G$8-$E$8)*($F$8-$E$8)),$G$8-SQRT((1-R774)*($G$8-$E$8)*($G$8-$F$8))))</f>
        <v>1.04115930964442</v>
      </c>
      <c r="E774" s="51" t="n">
        <f aca="false">1+IF($G$9=$E$9,$F$9,IF(S774&lt;($F$9-$E$9)/($G$9-$E$9),$E$9+SQRT(S774*($G$9-$E$9)*($F$9-$E$9)),$G$9-SQRT((1-S774)*($G$9-$E$9)*($G$9-$F$9))))</f>
        <v>1.04691232994107</v>
      </c>
      <c r="F774" s="51" t="n">
        <f aca="false">1+IF($G$10=$E$10,$F$10,IF(T774&lt;($F$10-$E$10)/($G$10-$E$10),$E$10+SQRT(T774*($G$10-$E$10)*($F$10-$E$10)),$G$10-SQRT((1-T774)*($G$10-$E$10)*($G$10-$F$10))))</f>
        <v>0.982948593596657</v>
      </c>
      <c r="G774" s="52" t="n">
        <f aca="false">IF($G$11=$E$11,$F$11,IF(U774&lt;($F$11-$E$11)/($G$11-$E$11),$E$11+SQRT(U774*($G$11-$E$11)*($F$11-$E$11)),$G$11-SQRT((1-U774)*($G$11-$E$11)*($G$11-$F$11))))</f>
        <v>0.103761975781638</v>
      </c>
      <c r="H774" s="53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-1965897187.19331</v>
      </c>
      <c r="I774" s="53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-56032683.4603573</v>
      </c>
      <c r="J774" s="53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177333329.681703</v>
      </c>
      <c r="K774" s="53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459846772.503597</v>
      </c>
      <c r="L774" s="53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565790712.834372</v>
      </c>
      <c r="M774" s="53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720644693.893187</v>
      </c>
      <c r="N774" s="53" t="n">
        <f aca="false">IF(COUNT('Business Case'!B11:G11)=0,"",H774+NPV(G774,I774:M774))</f>
        <v>-708043111.221679</v>
      </c>
      <c r="P774" s="54" t="n">
        <f aca="true">RAND()</f>
        <v>0.675868151232923</v>
      </c>
      <c r="Q774" s="54" t="n">
        <f aca="true">RAND()</f>
        <v>0.0964562040831474</v>
      </c>
      <c r="R774" s="54" t="n">
        <f aca="true">RAND()</f>
        <v>0.769184877231888</v>
      </c>
      <c r="S774" s="54" t="n">
        <f aca="true">RAND()</f>
        <v>0.716611527515256</v>
      </c>
      <c r="T774" s="54" t="n">
        <f aca="true">RAND()</f>
        <v>0.0723739879998434</v>
      </c>
      <c r="U774" s="54" t="n">
        <f aca="true">RAND()</f>
        <v>0.541044056744444</v>
      </c>
    </row>
    <row r="775" customFormat="false" ht="15" hidden="false" customHeight="false" outlineLevel="0" collapsed="false">
      <c r="A775" s="50" t="n">
        <v>695</v>
      </c>
      <c r="B775" s="51" t="n">
        <f aca="false">1+IF($G$6=$E$6,$F$6,IF(P775&lt;($F$6-$E$6)/($G$6-$E$6),$E$6+SQRT(P775*($G$6-$E$6)*($F$6-$E$6)),$G$6-SQRT((1-P775)*($G$6-$E$6)*($G$6-$F$6))))</f>
        <v>1.00788750456556</v>
      </c>
      <c r="C775" s="51" t="n">
        <f aca="false">1+IF($G$7=$E$7,$F$7,IF(Q775&lt;($F$7-$E$7)/($G$7-$E$7),$E$7+SQRT(Q775*($G$7-$E$7)*($F$7-$E$7)),$G$7-SQRT((1-Q775)*($G$7-$E$7)*($G$7-$F$7))))</f>
        <v>1.02775331853975</v>
      </c>
      <c r="D775" s="51" t="n">
        <f aca="false">1+IF($G$8=$E$8,$F$8,IF(R775&lt;($F$8-$E$8)/($G$8-$E$8),$E$8+SQRT(R775*($G$8-$E$8)*($F$8-$E$8)),$G$8-SQRT((1-R775)*($G$8-$E$8)*($G$8-$F$8))))</f>
        <v>0.989822455279882</v>
      </c>
      <c r="E775" s="51" t="n">
        <f aca="false">1+IF($G$9=$E$9,$F$9,IF(S775&lt;($F$9-$E$9)/($G$9-$E$9),$E$9+SQRT(S775*($G$9-$E$9)*($F$9-$E$9)),$G$9-SQRT((1-S775)*($G$9-$E$9)*($G$9-$F$9))))</f>
        <v>1.02290340492721</v>
      </c>
      <c r="F775" s="51" t="n">
        <f aca="false">1+IF($G$10=$E$10,$F$10,IF(T775&lt;($F$10-$E$10)/($G$10-$E$10),$E$10+SQRT(T775*($G$10-$E$10)*($F$10-$E$10)),$G$10-SQRT((1-T775)*($G$10-$E$10)*($G$10-$F$10))))</f>
        <v>1.05062578687311</v>
      </c>
      <c r="G775" s="52" t="n">
        <f aca="false">IF($G$11=$E$11,$F$11,IF(U775&lt;($F$11-$E$11)/($G$11-$E$11),$E$11+SQRT(U775*($G$11-$E$11)*($F$11-$E$11)),$G$11-SQRT((1-U775)*($G$11-$E$11)*($G$11-$F$11))))</f>
        <v>0.0935223028772306</v>
      </c>
      <c r="H775" s="53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-2101251573.74623</v>
      </c>
      <c r="I775" s="53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23452494.7232457</v>
      </c>
      <c r="J775" s="53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351123400.58971</v>
      </c>
      <c r="K775" s="53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731325595.79983</v>
      </c>
      <c r="L775" s="53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876348543.272158</v>
      </c>
      <c r="M775" s="53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1073244760.28144</v>
      </c>
      <c r="N775" s="53" t="n">
        <f aca="false">IF(COUNT('Business Case'!B11:G11)=0,"",H775+NPV(G775,I775:M775))</f>
        <v>72346689.547992</v>
      </c>
      <c r="P775" s="54" t="n">
        <f aca="true">RAND()</f>
        <v>0.763538363771231</v>
      </c>
      <c r="Q775" s="54" t="n">
        <f aca="true">RAND()</f>
        <v>0.77860368699193</v>
      </c>
      <c r="R775" s="54" t="n">
        <f aca="true">RAND()</f>
        <v>0.211443725935763</v>
      </c>
      <c r="S775" s="54" t="n">
        <f aca="true">RAND()</f>
        <v>0.569238813890734</v>
      </c>
      <c r="T775" s="54" t="n">
        <f aca="true">RAND()</f>
        <v>0.469998975200459</v>
      </c>
      <c r="U775" s="54" t="n">
        <f aca="true">RAND()</f>
        <v>0.182852675103558</v>
      </c>
    </row>
    <row r="776" customFormat="false" ht="15" hidden="false" customHeight="false" outlineLevel="0" collapsed="false">
      <c r="A776" s="50" t="n">
        <v>696</v>
      </c>
      <c r="B776" s="51" t="n">
        <f aca="false">1+IF($G$6=$E$6,$F$6,IF(P776&lt;($F$6-$E$6)/($G$6-$E$6),$E$6+SQRT(P776*($G$6-$E$6)*($F$6-$E$6)),$G$6-SQRT((1-P776)*($G$6-$E$6)*($G$6-$F$6))))</f>
        <v>0.953909204671128</v>
      </c>
      <c r="C776" s="51" t="n">
        <f aca="false">1+IF($G$7=$E$7,$F$7,IF(Q776&lt;($F$7-$E$7)/($G$7-$E$7),$E$7+SQRT(Q776*($G$7-$E$7)*($F$7-$E$7)),$G$7-SQRT((1-Q776)*($G$7-$E$7)*($G$7-$F$7))))</f>
        <v>0.801741090108495</v>
      </c>
      <c r="D776" s="51" t="n">
        <f aca="false">1+IF($G$8=$E$8,$F$8,IF(R776&lt;($F$8-$E$8)/($G$8-$E$8),$E$8+SQRT(R776*($G$8-$E$8)*($F$8-$E$8)),$G$8-SQRT((1-R776)*($G$8-$E$8)*($G$8-$F$8))))</f>
        <v>1.01375713082658</v>
      </c>
      <c r="E776" s="51" t="n">
        <f aca="false">1+IF($G$9=$E$9,$F$9,IF(S776&lt;($F$9-$E$9)/($G$9-$E$9),$E$9+SQRT(S776*($G$9-$E$9)*($F$9-$E$9)),$G$9-SQRT((1-S776)*($G$9-$E$9)*($G$9-$F$9))))</f>
        <v>1.07758859938318</v>
      </c>
      <c r="F776" s="51" t="n">
        <f aca="false">1+IF($G$10=$E$10,$F$10,IF(T776&lt;($F$10-$E$10)/($G$10-$E$10),$E$10+SQRT(T776*($G$10-$E$10)*($F$10-$E$10)),$G$10-SQRT((1-T776)*($G$10-$E$10)*($G$10-$F$10))))</f>
        <v>1.05959026724244</v>
      </c>
      <c r="G776" s="52" t="n">
        <f aca="false">IF($G$11=$E$11,$F$11,IF(U776&lt;($F$11-$E$11)/($G$11-$E$11),$E$11+SQRT(U776*($G$11-$E$11)*($F$11-$E$11)),$G$11-SQRT((1-U776)*($G$11-$E$11)*($G$11-$F$11))))</f>
        <v>0.102292733230184</v>
      </c>
      <c r="H776" s="53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-2119180534.48487</v>
      </c>
      <c r="I776" s="53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-88495741.8775581</v>
      </c>
      <c r="J776" s="53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121847262.38063</v>
      </c>
      <c r="K776" s="53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385169780.00094</v>
      </c>
      <c r="L776" s="53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481715195.139812</v>
      </c>
      <c r="M776" s="53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627086137.263597</v>
      </c>
      <c r="N776" s="53" t="n">
        <f aca="false">IF(COUNT('Business Case'!B11:G11)=0,"",H776+NPV(G776,I776:M776))</f>
        <v>-1099972675.76578</v>
      </c>
      <c r="P776" s="54" t="n">
        <f aca="true">RAND()</f>
        <v>0.193746823218239</v>
      </c>
      <c r="Q776" s="54" t="n">
        <f aca="true">RAND()</f>
        <v>0.0766759216034433</v>
      </c>
      <c r="R776" s="54" t="n">
        <f aca="true">RAND()</f>
        <v>0.504144501115724</v>
      </c>
      <c r="S776" s="54" t="n">
        <f aca="true">RAND()</f>
        <v>0.860175708285614</v>
      </c>
      <c r="T776" s="54" t="n">
        <f aca="true">RAND()</f>
        <v>0.516588448949242</v>
      </c>
      <c r="U776" s="54" t="n">
        <f aca="true">RAND()</f>
        <v>0.488204912097514</v>
      </c>
    </row>
    <row r="777" customFormat="false" ht="15" hidden="false" customHeight="false" outlineLevel="0" collapsed="false">
      <c r="A777" s="50" t="n">
        <v>697</v>
      </c>
      <c r="B777" s="51" t="n">
        <f aca="false">1+IF($G$6=$E$6,$F$6,IF(P777&lt;($F$6-$E$6)/($G$6-$E$6),$E$6+SQRT(P777*($G$6-$E$6)*($F$6-$E$6)),$G$6-SQRT((1-P777)*($G$6-$E$6)*($G$6-$F$6))))</f>
        <v>0.990132699447098</v>
      </c>
      <c r="C777" s="51" t="n">
        <f aca="false">1+IF($G$7=$E$7,$F$7,IF(Q777&lt;($F$7-$E$7)/($G$7-$E$7),$E$7+SQRT(Q777*($G$7-$E$7)*($F$7-$E$7)),$G$7-SQRT((1-Q777)*($G$7-$E$7)*($G$7-$F$7))))</f>
        <v>0.963338208706482</v>
      </c>
      <c r="D777" s="51" t="n">
        <f aca="false">1+IF($G$8=$E$8,$F$8,IF(R777&lt;($F$8-$E$8)/($G$8-$E$8),$E$8+SQRT(R777*($G$8-$E$8)*($F$8-$E$8)),$G$8-SQRT((1-R777)*($G$8-$E$8)*($G$8-$F$8))))</f>
        <v>1.00994895210672</v>
      </c>
      <c r="E777" s="51" t="n">
        <f aca="false">1+IF($G$9=$E$9,$F$9,IF(S777&lt;($F$9-$E$9)/($G$9-$E$9),$E$9+SQRT(S777*($G$9-$E$9)*($F$9-$E$9)),$G$9-SQRT((1-S777)*($G$9-$E$9)*($G$9-$F$9))))</f>
        <v>1.09204401540551</v>
      </c>
      <c r="F777" s="51" t="n">
        <f aca="false">1+IF($G$10=$E$10,$F$10,IF(T777&lt;($F$10-$E$10)/($G$10-$E$10),$E$10+SQRT(T777*($G$10-$E$10)*($F$10-$E$10)),$G$10-SQRT((1-T777)*($G$10-$E$10)*($G$10-$F$10))))</f>
        <v>1.14200186537275</v>
      </c>
      <c r="G777" s="52" t="n">
        <f aca="false">IF($G$11=$E$11,$F$11,IF(U777&lt;($F$11-$E$11)/($G$11-$E$11),$E$11+SQRT(U777*($G$11-$E$11)*($F$11-$E$11)),$G$11-SQRT((1-U777)*($G$11-$E$11)*($G$11-$F$11))))</f>
        <v>0.0931183915877399</v>
      </c>
      <c r="H777" s="53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-2284003730.7455</v>
      </c>
      <c r="I777" s="53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-35736347.6955933</v>
      </c>
      <c r="J777" s="53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247462835.28647</v>
      </c>
      <c r="K777" s="53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587762111.53717</v>
      </c>
      <c r="L777" s="53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715126295.964336</v>
      </c>
      <c r="M777" s="53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896430808.179967</v>
      </c>
      <c r="N777" s="53" t="n">
        <f aca="false">IF(COUNT('Business Case'!B11:G11)=0,"",H777+NPV(G777,I777:M777))</f>
        <v>-584398277.291199</v>
      </c>
      <c r="P777" s="54" t="n">
        <f aca="true">RAND()</f>
        <v>0.541593567308057</v>
      </c>
      <c r="Q777" s="54" t="n">
        <f aca="true">RAND()</f>
        <v>0.513681571590658</v>
      </c>
      <c r="R777" s="54" t="n">
        <f aca="true">RAND()</f>
        <v>0.459387251554757</v>
      </c>
      <c r="S777" s="54" t="n">
        <f aca="true">RAND()</f>
        <v>0.910429435991562</v>
      </c>
      <c r="T777" s="54" t="n">
        <f aca="true">RAND()</f>
        <v>0.844485372227125</v>
      </c>
      <c r="U777" s="54" t="n">
        <f aca="true">RAND()</f>
        <v>0.172092197849284</v>
      </c>
    </row>
    <row r="778" customFormat="false" ht="15" hidden="false" customHeight="false" outlineLevel="0" collapsed="false">
      <c r="A778" s="50" t="n">
        <v>698</v>
      </c>
      <c r="B778" s="51" t="n">
        <f aca="false">1+IF($G$6=$E$6,$F$6,IF(P778&lt;($F$6-$E$6)/($G$6-$E$6),$E$6+SQRT(P778*($G$6-$E$6)*($F$6-$E$6)),$G$6-SQRT((1-P778)*($G$6-$E$6)*($G$6-$F$6))))</f>
        <v>0.993409773740713</v>
      </c>
      <c r="C778" s="51" t="n">
        <f aca="false">1+IF($G$7=$E$7,$F$7,IF(Q778&lt;($F$7-$E$7)/($G$7-$E$7),$E$7+SQRT(Q778*($G$7-$E$7)*($F$7-$E$7)),$G$7-SQRT((1-Q778)*($G$7-$E$7)*($G$7-$F$7))))</f>
        <v>0.962593547162565</v>
      </c>
      <c r="D778" s="51" t="n">
        <f aca="false">1+IF($G$8=$E$8,$F$8,IF(R778&lt;($F$8-$E$8)/($G$8-$E$8),$E$8+SQRT(R778*($G$8-$E$8)*($F$8-$E$8)),$G$8-SQRT((1-R778)*($G$8-$E$8)*($G$8-$F$8))))</f>
        <v>1.01495102450372</v>
      </c>
      <c r="E778" s="51" t="n">
        <f aca="false">1+IF($G$9=$E$9,$F$9,IF(S778&lt;($F$9-$E$9)/($G$9-$E$9),$E$9+SQRT(S778*($G$9-$E$9)*($F$9-$E$9)),$G$9-SQRT((1-S778)*($G$9-$E$9)*($G$9-$F$9))))</f>
        <v>1.14270103448838</v>
      </c>
      <c r="F778" s="51" t="n">
        <f aca="false">1+IF($G$10=$E$10,$F$10,IF(T778&lt;($F$10-$E$10)/($G$10-$E$10),$E$10+SQRT(T778*($G$10-$E$10)*($F$10-$E$10)),$G$10-SQRT((1-T778)*($G$10-$E$10)*($G$10-$F$10))))</f>
        <v>1.01457906588531</v>
      </c>
      <c r="G778" s="52" t="n">
        <f aca="false">IF($G$11=$E$11,$F$11,IF(U778&lt;($F$11-$E$11)/($G$11-$E$11),$E$11+SQRT(U778*($G$11-$E$11)*($F$11-$E$11)),$G$11-SQRT((1-U778)*($G$11-$E$11)*($G$11-$F$11))))</f>
        <v>0.103953056491154</v>
      </c>
      <c r="H778" s="53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-2029158131.77062</v>
      </c>
      <c r="I778" s="53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-30422836.3625547</v>
      </c>
      <c r="J778" s="53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252676312.563941</v>
      </c>
      <c r="K778" s="53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586504414.784702</v>
      </c>
      <c r="L778" s="53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713918792.157714</v>
      </c>
      <c r="M778" s="53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895682761.344042</v>
      </c>
      <c r="N778" s="53" t="n">
        <f aca="false">IF(COUNT('Business Case'!B11:G11)=0,"",H778+NPV(G778,I778:M778))</f>
        <v>-386521393.900098</v>
      </c>
      <c r="P778" s="54" t="n">
        <f aca="true">RAND()</f>
        <v>0.581692388686076</v>
      </c>
      <c r="Q778" s="54" t="n">
        <f aca="true">RAND()</f>
        <v>0.510780526010504</v>
      </c>
      <c r="R778" s="54" t="n">
        <f aca="true">RAND()</f>
        <v>0.51777811780225</v>
      </c>
      <c r="S778" s="54" t="n">
        <f aca="true">RAND()</f>
        <v>0.998579336065606</v>
      </c>
      <c r="T778" s="54" t="n">
        <f aca="true">RAND()</f>
        <v>0.261026450407565</v>
      </c>
      <c r="U778" s="54" t="n">
        <f aca="true">RAND()</f>
        <v>0.547704489231319</v>
      </c>
    </row>
    <row r="779" customFormat="false" ht="15" hidden="false" customHeight="false" outlineLevel="0" collapsed="false">
      <c r="A779" s="50" t="n">
        <v>699</v>
      </c>
      <c r="B779" s="51" t="n">
        <f aca="false">1+IF($G$6=$E$6,$F$6,IF(P779&lt;($F$6-$E$6)/($G$6-$E$6),$E$6+SQRT(P779*($G$6-$E$6)*($F$6-$E$6)),$G$6-SQRT((1-P779)*($G$6-$E$6)*($G$6-$F$6))))</f>
        <v>0.946225331919422</v>
      </c>
      <c r="C779" s="51" t="n">
        <f aca="false">1+IF($G$7=$E$7,$F$7,IF(Q779&lt;($F$7-$E$7)/($G$7-$E$7),$E$7+SQRT(Q779*($G$7-$E$7)*($F$7-$E$7)),$G$7-SQRT((1-Q779)*($G$7-$E$7)*($G$7-$F$7))))</f>
        <v>0.808555025363821</v>
      </c>
      <c r="D779" s="51" t="n">
        <f aca="false">1+IF($G$8=$E$8,$F$8,IF(R779&lt;($F$8-$E$8)/($G$8-$E$8),$E$8+SQRT(R779*($G$8-$E$8)*($F$8-$E$8)),$G$8-SQRT((1-R779)*($G$8-$E$8)*($G$8-$F$8))))</f>
        <v>1.01440093540635</v>
      </c>
      <c r="E779" s="51" t="n">
        <f aca="false">1+IF($G$9=$E$9,$F$9,IF(S779&lt;($F$9-$E$9)/($G$9-$E$9),$E$9+SQRT(S779*($G$9-$E$9)*($F$9-$E$9)),$G$9-SQRT((1-S779)*($G$9-$E$9)*($G$9-$F$9))))</f>
        <v>1.01718823360018</v>
      </c>
      <c r="F779" s="51" t="n">
        <f aca="false">1+IF($G$10=$E$10,$F$10,IF(T779&lt;($F$10-$E$10)/($G$10-$E$10),$E$10+SQRT(T779*($G$10-$E$10)*($F$10-$E$10)),$G$10-SQRT((1-T779)*($G$10-$E$10)*($G$10-$F$10))))</f>
        <v>1.23038096681521</v>
      </c>
      <c r="G779" s="52" t="n">
        <f aca="false">IF($G$11=$E$11,$F$11,IF(U779&lt;($F$11-$E$11)/($G$11-$E$11),$E$11+SQRT(U779*($G$11-$E$11)*($F$11-$E$11)),$G$11-SQRT((1-U779)*($G$11-$E$11)*($G$11-$F$11))))</f>
        <v>0.0984867643685841</v>
      </c>
      <c r="H779" s="53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-2460761933.63043</v>
      </c>
      <c r="I779" s="53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-100568310.200392</v>
      </c>
      <c r="J779" s="53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106207143.916123</v>
      </c>
      <c r="K779" s="53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374501646.373398</v>
      </c>
      <c r="L779" s="53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469867798.29053</v>
      </c>
      <c r="M779" s="53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615293301.287809</v>
      </c>
      <c r="N779" s="53" t="n">
        <f aca="false">IF(COUNT('Business Case'!B11:G11)=0,"",H779+NPV(G779,I779:M779))</f>
        <v>-1474378533.53279</v>
      </c>
      <c r="P779" s="54" t="n">
        <f aca="true">RAND()</f>
        <v>0.142452087404049</v>
      </c>
      <c r="Q779" s="54" t="n">
        <f aca="true">RAND()</f>
        <v>0.0872903224573327</v>
      </c>
      <c r="R779" s="54" t="n">
        <f aca="true">RAND()</f>
        <v>0.511520009379455</v>
      </c>
      <c r="S779" s="54" t="n">
        <f aca="true">RAND()</f>
        <v>0.52962759215356</v>
      </c>
      <c r="T779" s="54" t="n">
        <f aca="true">RAND()</f>
        <v>0.994867913825257</v>
      </c>
      <c r="U779" s="54" t="n">
        <f aca="true">RAND()</f>
        <v>0.34176045681955</v>
      </c>
    </row>
    <row r="780" customFormat="false" ht="15" hidden="false" customHeight="false" outlineLevel="0" collapsed="false">
      <c r="A780" s="50" t="n">
        <v>700</v>
      </c>
      <c r="B780" s="51" t="n">
        <f aca="false">1+IF($G$6=$E$6,$F$6,IF(P780&lt;($F$6-$E$6)/($G$6-$E$6),$E$6+SQRT(P780*($G$6-$E$6)*($F$6-$E$6)),$G$6-SQRT((1-P780)*($G$6-$E$6)*($G$6-$F$6))))</f>
        <v>0.962064972257845</v>
      </c>
      <c r="C780" s="51" t="n">
        <f aca="false">1+IF($G$7=$E$7,$F$7,IF(Q780&lt;($F$7-$E$7)/($G$7-$E$7),$E$7+SQRT(Q780*($G$7-$E$7)*($F$7-$E$7)),$G$7-SQRT((1-Q780)*($G$7-$E$7)*($G$7-$F$7))))</f>
        <v>0.894441310961994</v>
      </c>
      <c r="D780" s="51" t="n">
        <f aca="false">1+IF($G$8=$E$8,$F$8,IF(R780&lt;($F$8-$E$8)/($G$8-$E$8),$E$8+SQRT(R780*($G$8-$E$8)*($F$8-$E$8)),$G$8-SQRT((1-R780)*($G$8-$E$8)*($G$8-$F$8))))</f>
        <v>0.953272900714586</v>
      </c>
      <c r="E780" s="51" t="n">
        <f aca="false">1+IF($G$9=$E$9,$F$9,IF(S780&lt;($F$9-$E$9)/($G$9-$E$9),$E$9+SQRT(S780*($G$9-$E$9)*($F$9-$E$9)),$G$9-SQRT((1-S780)*($G$9-$E$9)*($G$9-$F$9))))</f>
        <v>1.02823208497946</v>
      </c>
      <c r="F780" s="51" t="n">
        <f aca="false">1+IF($G$10=$E$10,$F$10,IF(T780&lt;($F$10-$E$10)/($G$10-$E$10),$E$10+SQRT(T780*($G$10-$E$10)*($F$10-$E$10)),$G$10-SQRT((1-T780)*($G$10-$E$10)*($G$10-$F$10))))</f>
        <v>1.04349811344633</v>
      </c>
      <c r="G780" s="52" t="n">
        <f aca="false">IF($G$11=$E$11,$F$11,IF(U780&lt;($F$11-$E$11)/($G$11-$E$11),$E$11+SQRT(U780*($G$11-$E$11)*($F$11-$E$11)),$G$11-SQRT((1-U780)*($G$11-$E$11)*($G$11-$F$11))))</f>
        <v>0.102764465352675</v>
      </c>
      <c r="H780" s="53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-2086996226.89266</v>
      </c>
      <c r="I780" s="53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-26839982.6918128</v>
      </c>
      <c r="J780" s="53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241493320.801164</v>
      </c>
      <c r="K780" s="53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562001529.966457</v>
      </c>
      <c r="L780" s="53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681185212.701502</v>
      </c>
      <c r="M780" s="53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844751078.007118</v>
      </c>
      <c r="N780" s="53" t="n">
        <f aca="false">IF(COUNT('Business Case'!B11:G11)=0,"",H780+NPV(G780,I780:M780))</f>
        <v>-515087463.578524</v>
      </c>
      <c r="P780" s="54" t="n">
        <f aca="true">RAND()</f>
        <v>0.256804052091139</v>
      </c>
      <c r="Q780" s="54" t="n">
        <f aca="true">RAND()</f>
        <v>0.280054988211993</v>
      </c>
      <c r="R780" s="54" t="n">
        <f aca="true">RAND()</f>
        <v>0.00142825054500459</v>
      </c>
      <c r="S780" s="54" t="n">
        <f aca="true">RAND()</f>
        <v>0.604601996574687</v>
      </c>
      <c r="T780" s="54" t="n">
        <f aca="true">RAND()</f>
        <v>0.431426277997011</v>
      </c>
      <c r="U780" s="54" t="n">
        <f aca="true">RAND()</f>
        <v>0.505483768316227</v>
      </c>
    </row>
    <row r="781" customFormat="false" ht="15" hidden="false" customHeight="false" outlineLevel="0" collapsed="false">
      <c r="A781" s="50" t="n">
        <v>701</v>
      </c>
      <c r="B781" s="51" t="n">
        <f aca="false">1+IF($G$6=$E$6,$F$6,IF(P781&lt;($F$6-$E$6)/($G$6-$E$6),$E$6+SQRT(P781*($G$6-$E$6)*($F$6-$E$6)),$G$6-SQRT((1-P781)*($G$6-$E$6)*($G$6-$F$6))))</f>
        <v>0.993128851221133</v>
      </c>
      <c r="C781" s="51" t="n">
        <f aca="false">1+IF($G$7=$E$7,$F$7,IF(Q781&lt;($F$7-$E$7)/($G$7-$E$7),$E$7+SQRT(Q781*($G$7-$E$7)*($F$7-$E$7)),$G$7-SQRT((1-Q781)*($G$7-$E$7)*($G$7-$F$7))))</f>
        <v>1.08263902292026</v>
      </c>
      <c r="D781" s="51" t="n">
        <f aca="false">1+IF($G$8=$E$8,$F$8,IF(R781&lt;($F$8-$E$8)/($G$8-$E$8),$E$8+SQRT(R781*($G$8-$E$8)*($F$8-$E$8)),$G$8-SQRT((1-R781)*($G$8-$E$8)*($G$8-$F$8))))</f>
        <v>1.05627765021322</v>
      </c>
      <c r="E781" s="51" t="n">
        <f aca="false">1+IF($G$9=$E$9,$F$9,IF(S781&lt;($F$9-$E$9)/($G$9-$E$9),$E$9+SQRT(S781*($G$9-$E$9)*($F$9-$E$9)),$G$9-SQRT((1-S781)*($G$9-$E$9)*($G$9-$F$9))))</f>
        <v>0.99343106578928</v>
      </c>
      <c r="F781" s="51" t="n">
        <f aca="false">1+IF($G$10=$E$10,$F$10,IF(T781&lt;($F$10-$E$10)/($G$10-$E$10),$E$10+SQRT(T781*($G$10-$E$10)*($F$10-$E$10)),$G$10-SQRT((1-T781)*($G$10-$E$10)*($G$10-$F$10))))</f>
        <v>1.06797031974086</v>
      </c>
      <c r="G781" s="52" t="n">
        <f aca="false">IF($G$11=$E$11,$F$11,IF(U781&lt;($F$11-$E$11)/($G$11-$E$11),$E$11+SQRT(U781*($G$11-$E$11)*($F$11-$E$11)),$G$11-SQRT((1-U781)*($G$11-$E$11)*($G$11-$F$11))))</f>
        <v>0.111985917841834</v>
      </c>
      <c r="H781" s="53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-2135940639.48172</v>
      </c>
      <c r="I781" s="53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-8550070.46824183</v>
      </c>
      <c r="J781" s="53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286701159.139217</v>
      </c>
      <c r="K781" s="53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635350904.733718</v>
      </c>
      <c r="L781" s="53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770926894.967124</v>
      </c>
      <c r="M781" s="53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975300920.303847</v>
      </c>
      <c r="N781" s="53" t="n">
        <f aca="false">IF(COUNT('Business Case'!B11:G11)=0,"",H781+NPV(G781,I781:M781))</f>
        <v>-371829435.71748</v>
      </c>
      <c r="P781" s="54" t="n">
        <f aca="true">RAND()</f>
        <v>0.578198861984521</v>
      </c>
      <c r="Q781" s="54" t="n">
        <f aca="true">RAND()</f>
        <v>0.932777759509076</v>
      </c>
      <c r="R781" s="54" t="n">
        <f aca="true">RAND()</f>
        <v>0.872557075274802</v>
      </c>
      <c r="S781" s="54" t="n">
        <f aca="true">RAND()</f>
        <v>0.349174562180828</v>
      </c>
      <c r="T781" s="54" t="n">
        <f aca="true">RAND()</f>
        <v>0.55820260673006</v>
      </c>
      <c r="U781" s="54" t="n">
        <f aca="true">RAND()</f>
        <v>0.783661895999223</v>
      </c>
    </row>
    <row r="782" customFormat="false" ht="15" hidden="false" customHeight="false" outlineLevel="0" collapsed="false">
      <c r="A782" s="50" t="n">
        <v>702</v>
      </c>
      <c r="B782" s="51" t="n">
        <f aca="false">1+IF($G$6=$E$6,$F$6,IF(P782&lt;($F$6-$E$6)/($G$6-$E$6),$E$6+SQRT(P782*($G$6-$E$6)*($F$6-$E$6)),$G$6-SQRT((1-P782)*($G$6-$E$6)*($G$6-$F$6))))</f>
        <v>0.948921093770489</v>
      </c>
      <c r="C782" s="51" t="n">
        <f aca="false">1+IF($G$7=$E$7,$F$7,IF(Q782&lt;($F$7-$E$7)/($G$7-$E$7),$E$7+SQRT(Q782*($G$7-$E$7)*($F$7-$E$7)),$G$7-SQRT((1-Q782)*($G$7-$E$7)*($G$7-$F$7))))</f>
        <v>0.803205757560015</v>
      </c>
      <c r="D782" s="51" t="n">
        <f aca="false">1+IF($G$8=$E$8,$F$8,IF(R782&lt;($F$8-$E$8)/($G$8-$E$8),$E$8+SQRT(R782*($G$8-$E$8)*($F$8-$E$8)),$G$8-SQRT((1-R782)*($G$8-$E$8)*($G$8-$F$8))))</f>
        <v>1.03666449935871</v>
      </c>
      <c r="E782" s="51" t="n">
        <f aca="false">1+IF($G$9=$E$9,$F$9,IF(S782&lt;($F$9-$E$9)/($G$9-$E$9),$E$9+SQRT(S782*($G$9-$E$9)*($F$9-$E$9)),$G$9-SQRT((1-S782)*($G$9-$E$9)*($G$9-$F$9))))</f>
        <v>1.05448340085476</v>
      </c>
      <c r="F782" s="51" t="n">
        <f aca="false">1+IF($G$10=$E$10,$F$10,IF(T782&lt;($F$10-$E$10)/($G$10-$E$10),$E$10+SQRT(T782*($G$10-$E$10)*($F$10-$E$10)),$G$10-SQRT((1-T782)*($G$10-$E$10)*($G$10-$F$10))))</f>
        <v>1.00681914031457</v>
      </c>
      <c r="G782" s="52" t="n">
        <f aca="false">IF($G$11=$E$11,$F$11,IF(U782&lt;($F$11-$E$11)/($G$11-$E$11),$E$11+SQRT(U782*($G$11-$E$11)*($F$11-$E$11)),$G$11-SQRT((1-U782)*($G$11-$E$11)*($G$11-$F$11))))</f>
        <v>0.109434343013322</v>
      </c>
      <c r="H782" s="53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-2013638280.62915</v>
      </c>
      <c r="I782" s="53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-92114116.1941763</v>
      </c>
      <c r="J782" s="53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105912574.694197</v>
      </c>
      <c r="K782" s="53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354280222.598298</v>
      </c>
      <c r="L782" s="53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446630021.860787</v>
      </c>
      <c r="M782" s="53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591504984.50912</v>
      </c>
      <c r="N782" s="53" t="n">
        <f aca="false">IF(COUNT('Business Case'!B11:G11)=0,"",H782+NPV(G782,I782:M782))</f>
        <v>-1104439778.21149</v>
      </c>
      <c r="P782" s="54" t="n">
        <f aca="true">RAND()</f>
        <v>0.159551561046728</v>
      </c>
      <c r="Q782" s="54" t="n">
        <f aca="true">RAND()</f>
        <v>0.0788994695817522</v>
      </c>
      <c r="R782" s="54" t="n">
        <f aca="true">RAND()</f>
        <v>0.732574290567819</v>
      </c>
      <c r="S782" s="54" t="n">
        <f aca="true">RAND()</f>
        <v>0.756708781006051</v>
      </c>
      <c r="T782" s="54" t="n">
        <f aca="true">RAND()</f>
        <v>0.211507593102092</v>
      </c>
      <c r="U782" s="54" t="n">
        <f aca="true">RAND()</f>
        <v>0.718035835137544</v>
      </c>
    </row>
    <row r="783" customFormat="false" ht="15" hidden="false" customHeight="false" outlineLevel="0" collapsed="false">
      <c r="A783" s="50" t="n">
        <v>703</v>
      </c>
      <c r="B783" s="51" t="n">
        <f aca="false">1+IF($G$6=$E$6,$F$6,IF(P783&lt;($F$6-$E$6)/($G$6-$E$6),$E$6+SQRT(P783*($G$6-$E$6)*($F$6-$E$6)),$G$6-SQRT((1-P783)*($G$6-$E$6)*($G$6-$F$6))))</f>
        <v>0.984973796260132</v>
      </c>
      <c r="C783" s="51" t="n">
        <f aca="false">1+IF($G$7=$E$7,$F$7,IF(Q783&lt;($F$7-$E$7)/($G$7-$E$7),$E$7+SQRT(Q783*($G$7-$E$7)*($F$7-$E$7)),$G$7-SQRT((1-Q783)*($G$7-$E$7)*($G$7-$F$7))))</f>
        <v>0.811225856097491</v>
      </c>
      <c r="D783" s="51" t="n">
        <f aca="false">1+IF($G$8=$E$8,$F$8,IF(R783&lt;($F$8-$E$8)/($G$8-$E$8),$E$8+SQRT(R783*($G$8-$E$8)*($F$8-$E$8)),$G$8-SQRT((1-R783)*($G$8-$E$8)*($G$8-$F$8))))</f>
        <v>0.989761653925486</v>
      </c>
      <c r="E783" s="51" t="n">
        <f aca="false">1+IF($G$9=$E$9,$F$9,IF(S783&lt;($F$9-$E$9)/($G$9-$E$9),$E$9+SQRT(S783*($G$9-$E$9)*($F$9-$E$9)),$G$9-SQRT((1-S783)*($G$9-$E$9)*($G$9-$F$9))))</f>
        <v>1.03755075773265</v>
      </c>
      <c r="F783" s="51" t="n">
        <f aca="false">1+IF($G$10=$E$10,$F$10,IF(T783&lt;($F$10-$E$10)/($G$10-$E$10),$E$10+SQRT(T783*($G$10-$E$10)*($F$10-$E$10)),$G$10-SQRT((1-T783)*($G$10-$E$10)*($G$10-$F$10))))</f>
        <v>0.980249584291228</v>
      </c>
      <c r="G783" s="52" t="n">
        <f aca="false">IF($G$11=$E$11,$F$11,IF(U783&lt;($F$11-$E$11)/($G$11-$E$11),$E$11+SQRT(U783*($G$11-$E$11)*($F$11-$E$11)),$G$11-SQRT((1-U783)*($G$11-$E$11)*($G$11-$F$11))))</f>
        <v>0.108974951140366</v>
      </c>
      <c r="H783" s="53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-1960499168.58246</v>
      </c>
      <c r="I783" s="53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-43549457.7003491</v>
      </c>
      <c r="J783" s="53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199887797.961677</v>
      </c>
      <c r="K783" s="53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492337532.838264</v>
      </c>
      <c r="L783" s="53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601097976.181385</v>
      </c>
      <c r="M783" s="53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752978779.188171</v>
      </c>
      <c r="N783" s="53" t="n">
        <f aca="false">IF(COUNT('Business Case'!B11:G11)=0,"",H783+NPV(G783,I783:M783))</f>
        <v>-629890435.965729</v>
      </c>
      <c r="P783" s="54" t="n">
        <f aca="true">RAND()</f>
        <v>0.48136973672389</v>
      </c>
      <c r="Q783" s="54" t="n">
        <f aca="true">RAND()</f>
        <v>0.0916384523305176</v>
      </c>
      <c r="R783" s="54" t="n">
        <f aca="true">RAND()</f>
        <v>0.210798549718677</v>
      </c>
      <c r="S783" s="54" t="n">
        <f aca="true">RAND()</f>
        <v>0.662804477693318</v>
      </c>
      <c r="T783" s="54" t="n">
        <f aca="true">RAND()</f>
        <v>0.061002489986142</v>
      </c>
      <c r="U783" s="54" t="n">
        <f aca="true">RAND()</f>
        <v>0.705298213633341</v>
      </c>
    </row>
    <row r="784" customFormat="false" ht="15" hidden="false" customHeight="false" outlineLevel="0" collapsed="false">
      <c r="A784" s="50" t="n">
        <v>704</v>
      </c>
      <c r="B784" s="51" t="n">
        <f aca="false">1+IF($G$6=$E$6,$F$6,IF(P784&lt;($F$6-$E$6)/($G$6-$E$6),$E$6+SQRT(P784*($G$6-$E$6)*($F$6-$E$6)),$G$6-SQRT((1-P784)*($G$6-$E$6)*($G$6-$F$6))))</f>
        <v>0.948342140442308</v>
      </c>
      <c r="C784" s="51" t="n">
        <f aca="false">1+IF($G$7=$E$7,$F$7,IF(Q784&lt;($F$7-$E$7)/($G$7-$E$7),$E$7+SQRT(Q784*($G$7-$E$7)*($F$7-$E$7)),$G$7-SQRT((1-Q784)*($G$7-$E$7)*($G$7-$F$7))))</f>
        <v>0.775157716825313</v>
      </c>
      <c r="D784" s="51" t="n">
        <f aca="false">1+IF($G$8=$E$8,$F$8,IF(R784&lt;($F$8-$E$8)/($G$8-$E$8),$E$8+SQRT(R784*($G$8-$E$8)*($F$8-$E$8)),$G$8-SQRT((1-R784)*($G$8-$E$8)*($G$8-$F$8))))</f>
        <v>0.992767099236486</v>
      </c>
      <c r="E784" s="51" t="n">
        <f aca="false">1+IF($G$9=$E$9,$F$9,IF(S784&lt;($F$9-$E$9)/($G$9-$E$9),$E$9+SQRT(S784*($G$9-$E$9)*($F$9-$E$9)),$G$9-SQRT((1-S784)*($G$9-$E$9)*($G$9-$F$9))))</f>
        <v>0.98520687072875</v>
      </c>
      <c r="F784" s="51" t="n">
        <f aca="false">1+IF($G$10=$E$10,$F$10,IF(T784&lt;($F$10-$E$10)/($G$10-$E$10),$E$10+SQRT(T784*($G$10-$E$10)*($F$10-$E$10)),$G$10-SQRT((1-T784)*($G$10-$E$10)*($G$10-$F$10))))</f>
        <v>0.988556105183611</v>
      </c>
      <c r="G784" s="52" t="n">
        <f aca="false">IF($G$11=$E$11,$F$11,IF(U784&lt;($F$11-$E$11)/($G$11-$E$11),$E$11+SQRT(U784*($G$11-$E$11)*($F$11-$E$11)),$G$11-SQRT((1-U784)*($G$11-$E$11)*($G$11-$F$11))))</f>
        <v>0.0952496558410741</v>
      </c>
      <c r="H784" s="53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-1977112210.36722</v>
      </c>
      <c r="I784" s="53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-68897072.1124019</v>
      </c>
      <c r="J784" s="53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139266230.829082</v>
      </c>
      <c r="K784" s="53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396857339.029747</v>
      </c>
      <c r="L784" s="53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491650671.68884</v>
      </c>
      <c r="M784" s="53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631381279.254461</v>
      </c>
      <c r="N784" s="53" t="n">
        <f aca="false">IF(COUNT('Business Case'!B11:G11)=0,"",H784+NPV(G784,I784:M784))</f>
        <v>-879577861.492429</v>
      </c>
      <c r="P784" s="54" t="n">
        <f aca="true">RAND()</f>
        <v>0.155797502836255</v>
      </c>
      <c r="Q784" s="54" t="n">
        <f aca="true">RAND()</f>
        <v>0.0418420918399545</v>
      </c>
      <c r="R784" s="54" t="n">
        <f aca="true">RAND()</f>
        <v>0.243869970280458</v>
      </c>
      <c r="S784" s="54" t="n">
        <f aca="true">RAND()</f>
        <v>0.290408432775437</v>
      </c>
      <c r="T784" s="54" t="n">
        <f aca="true">RAND()</f>
        <v>0.0991048831286435</v>
      </c>
      <c r="U784" s="54" t="n">
        <f aca="true">RAND()</f>
        <v>0.232552003271206</v>
      </c>
    </row>
    <row r="785" customFormat="false" ht="15" hidden="false" customHeight="false" outlineLevel="0" collapsed="false">
      <c r="A785" s="50" t="n">
        <v>705</v>
      </c>
      <c r="B785" s="51" t="n">
        <f aca="false">1+IF($G$6=$E$6,$F$6,IF(P785&lt;($F$6-$E$6)/($G$6-$E$6),$E$6+SQRT(P785*($G$6-$E$6)*($F$6-$E$6)),$G$6-SQRT((1-P785)*($G$6-$E$6)*($G$6-$F$6))))</f>
        <v>1.01940442119356</v>
      </c>
      <c r="C785" s="51" t="n">
        <f aca="false">1+IF($G$7=$E$7,$F$7,IF(Q785&lt;($F$7-$E$7)/($G$7-$E$7),$E$7+SQRT(Q785*($G$7-$E$7)*($F$7-$E$7)),$G$7-SQRT((1-Q785)*($G$7-$E$7)*($G$7-$F$7))))</f>
        <v>1.02476288604316</v>
      </c>
      <c r="D785" s="51" t="n">
        <f aca="false">1+IF($G$8=$E$8,$F$8,IF(R785&lt;($F$8-$E$8)/($G$8-$E$8),$E$8+SQRT(R785*($G$8-$E$8)*($F$8-$E$8)),$G$8-SQRT((1-R785)*($G$8-$E$8)*($G$8-$F$8))))</f>
        <v>0.994886564470872</v>
      </c>
      <c r="E785" s="51" t="n">
        <f aca="false">1+IF($G$9=$E$9,$F$9,IF(S785&lt;($F$9-$E$9)/($G$9-$E$9),$E$9+SQRT(S785*($G$9-$E$9)*($F$9-$E$9)),$G$9-SQRT((1-S785)*($G$9-$E$9)*($G$9-$F$9))))</f>
        <v>0.922030408119252</v>
      </c>
      <c r="F785" s="51" t="n">
        <f aca="false">1+IF($G$10=$E$10,$F$10,IF(T785&lt;($F$10-$E$10)/($G$10-$E$10),$E$10+SQRT(T785*($G$10-$E$10)*($F$10-$E$10)),$G$10-SQRT((1-T785)*($G$10-$E$10)*($G$10-$F$10))))</f>
        <v>1.04896525331484</v>
      </c>
      <c r="G785" s="52" t="n">
        <f aca="false">IF($G$11=$E$11,$F$11,IF(U785&lt;($F$11-$E$11)/($G$11-$E$11),$E$11+SQRT(U785*($G$11-$E$11)*($F$11-$E$11)),$G$11-SQRT((1-U785)*($G$11-$E$11)*($G$11-$F$11))))</f>
        <v>0.0940067922519281</v>
      </c>
      <c r="H785" s="53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-2097930506.62968</v>
      </c>
      <c r="I785" s="53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43563858.6967531</v>
      </c>
      <c r="J785" s="53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377291509.577664</v>
      </c>
      <c r="K785" s="53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763467423.124316</v>
      </c>
      <c r="L785" s="53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910813001.963363</v>
      </c>
      <c r="M785" s="53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1109379658.96312</v>
      </c>
      <c r="N785" s="53" t="n">
        <f aca="false">IF(COUNT('Business Case'!B11:G11)=0,"",H785+NPV(G785,I785:M785))</f>
        <v>183965185.923894</v>
      </c>
      <c r="P785" s="54" t="n">
        <f aca="true">RAND()</f>
        <v>0.87518807433321</v>
      </c>
      <c r="Q785" s="54" t="n">
        <f aca="true">RAND()</f>
        <v>0.76763948574462</v>
      </c>
      <c r="R785" s="54" t="n">
        <f aca="true">RAND()</f>
        <v>0.268640489333029</v>
      </c>
      <c r="S785" s="54" t="n">
        <f aca="true">RAND()</f>
        <v>0.0194135552760322</v>
      </c>
      <c r="T785" s="54" t="n">
        <f aca="true">RAND()</f>
        <v>0.461133741669794</v>
      </c>
      <c r="U785" s="54" t="n">
        <f aca="true">RAND()</f>
        <v>0.196190229188673</v>
      </c>
    </row>
    <row r="786" customFormat="false" ht="15" hidden="false" customHeight="false" outlineLevel="0" collapsed="false">
      <c r="A786" s="50" t="n">
        <v>706</v>
      </c>
      <c r="B786" s="51" t="n">
        <f aca="false">1+IF($G$6=$E$6,$F$6,IF(P786&lt;($F$6-$E$6)/($G$6-$E$6),$E$6+SQRT(P786*($G$6-$E$6)*($F$6-$E$6)),$G$6-SQRT((1-P786)*($G$6-$E$6)*($G$6-$F$6))))</f>
        <v>0.958043579502133</v>
      </c>
      <c r="C786" s="51" t="n">
        <f aca="false">1+IF($G$7=$E$7,$F$7,IF(Q786&lt;($F$7-$E$7)/($G$7-$E$7),$E$7+SQRT(Q786*($G$7-$E$7)*($F$7-$E$7)),$G$7-SQRT((1-Q786)*($G$7-$E$7)*($G$7-$F$7))))</f>
        <v>0.869680135602366</v>
      </c>
      <c r="D786" s="51" t="n">
        <f aca="false">1+IF($G$8=$E$8,$F$8,IF(R786&lt;($F$8-$E$8)/($G$8-$E$8),$E$8+SQRT(R786*($G$8-$E$8)*($F$8-$E$8)),$G$8-SQRT((1-R786)*($G$8-$E$8)*($G$8-$F$8))))</f>
        <v>1.00959832799681</v>
      </c>
      <c r="E786" s="51" t="n">
        <f aca="false">1+IF($G$9=$E$9,$F$9,IF(S786&lt;($F$9-$E$9)/($G$9-$E$9),$E$9+SQRT(S786*($G$9-$E$9)*($F$9-$E$9)),$G$9-SQRT((1-S786)*($G$9-$E$9)*($G$9-$F$9))))</f>
        <v>1.07254139726513</v>
      </c>
      <c r="F786" s="51" t="n">
        <f aca="false">1+IF($G$10=$E$10,$F$10,IF(T786&lt;($F$10-$E$10)/($G$10-$E$10),$E$10+SQRT(T786*($G$10-$E$10)*($F$10-$E$10)),$G$10-SQRT((1-T786)*($G$10-$E$10)*($G$10-$F$10))))</f>
        <v>1.0099227849778</v>
      </c>
      <c r="G786" s="52" t="n">
        <f aca="false">IF($G$11=$E$11,$F$11,IF(U786&lt;($F$11-$E$11)/($G$11-$E$11),$E$11+SQRT(U786*($G$11-$E$11)*($F$11-$E$11)),$G$11-SQRT((1-U786)*($G$11-$E$11)*($G$11-$F$11))))</f>
        <v>0.0888819188617576</v>
      </c>
      <c r="H786" s="53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-2019845569.9556</v>
      </c>
      <c r="I786" s="53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-63736401.6935144</v>
      </c>
      <c r="J786" s="53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169227507.613619</v>
      </c>
      <c r="K786" s="53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452687556.169643</v>
      </c>
      <c r="L786" s="53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559137289.813198</v>
      </c>
      <c r="M786" s="53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717510324.456343</v>
      </c>
      <c r="N786" s="53" t="n">
        <f aca="false">IF(COUNT('Business Case'!B11:G11)=0,"",H786+NPV(G786,I786:M786))</f>
        <v>-718547589.160128</v>
      </c>
      <c r="P786" s="54" t="n">
        <f aca="true">RAND()</f>
        <v>0.224603808094698</v>
      </c>
      <c r="Q786" s="54" t="n">
        <f aca="true">RAND()</f>
        <v>0.213269247541017</v>
      </c>
      <c r="R786" s="54" t="n">
        <f aca="true">RAND()</f>
        <v>0.45516917993513</v>
      </c>
      <c r="S786" s="54" t="n">
        <f aca="true">RAND()</f>
        <v>0.84000439632964</v>
      </c>
      <c r="T786" s="54" t="n">
        <f aca="true">RAND()</f>
        <v>0.231505744362443</v>
      </c>
      <c r="U786" s="54" t="n">
        <f aca="true">RAND()</f>
        <v>0.0788884826668446</v>
      </c>
    </row>
    <row r="787" customFormat="false" ht="15" hidden="false" customHeight="false" outlineLevel="0" collapsed="false">
      <c r="A787" s="50" t="n">
        <v>707</v>
      </c>
      <c r="B787" s="51" t="n">
        <f aca="false">1+IF($G$6=$E$6,$F$6,IF(P787&lt;($F$6-$E$6)/($G$6-$E$6),$E$6+SQRT(P787*($G$6-$E$6)*($F$6-$E$6)),$G$6-SQRT((1-P787)*($G$6-$E$6)*($G$6-$F$6))))</f>
        <v>1.00674602531479</v>
      </c>
      <c r="C787" s="51" t="n">
        <f aca="false">1+IF($G$7=$E$7,$F$7,IF(Q787&lt;($F$7-$E$7)/($G$7-$E$7),$E$7+SQRT(Q787*($G$7-$E$7)*($F$7-$E$7)),$G$7-SQRT((1-Q787)*($G$7-$E$7)*($G$7-$F$7))))</f>
        <v>1.00233753241119</v>
      </c>
      <c r="D787" s="51" t="n">
        <f aca="false">1+IF($G$8=$E$8,$F$8,IF(R787&lt;($F$8-$E$8)/($G$8-$E$8),$E$8+SQRT(R787*($G$8-$E$8)*($F$8-$E$8)),$G$8-SQRT((1-R787)*($G$8-$E$8)*($G$8-$F$8))))</f>
        <v>0.994132724204662</v>
      </c>
      <c r="E787" s="51" t="n">
        <f aca="false">1+IF($G$9=$E$9,$F$9,IF(S787&lt;($F$9-$E$9)/($G$9-$E$9),$E$9+SQRT(S787*($G$9-$E$9)*($F$9-$E$9)),$G$9-SQRT((1-S787)*($G$9-$E$9)*($G$9-$F$9))))</f>
        <v>1.09482316254611</v>
      </c>
      <c r="F787" s="51" t="n">
        <f aca="false">1+IF($G$10=$E$10,$F$10,IF(T787&lt;($F$10-$E$10)/($G$10-$E$10),$E$10+SQRT(T787*($G$10-$E$10)*($F$10-$E$10)),$G$10-SQRT((1-T787)*($G$10-$E$10)*($G$10-$F$10))))</f>
        <v>1.07142840469544</v>
      </c>
      <c r="G787" s="52" t="n">
        <f aca="false">IF($G$11=$E$11,$F$11,IF(U787&lt;($F$11-$E$11)/($G$11-$E$11),$E$11+SQRT(U787*($G$11-$E$11)*($F$11-$E$11)),$G$11-SQRT((1-U787)*($G$11-$E$11)*($G$11-$F$11))))</f>
        <v>0.101520080999577</v>
      </c>
      <c r="H787" s="53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-2142856809.39089</v>
      </c>
      <c r="I787" s="53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1280567.68860634</v>
      </c>
      <c r="J787" s="53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317699538.661026</v>
      </c>
      <c r="K787" s="53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687689929.868219</v>
      </c>
      <c r="L787" s="53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828037392.925834</v>
      </c>
      <c r="M787" s="53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1019846992.95995</v>
      </c>
      <c r="N787" s="53" t="n">
        <f aca="false">IF(COUNT('Business Case'!B11:G11)=0,"",H787+NPV(G787,I787:M787))</f>
        <v>-173988524.516429</v>
      </c>
      <c r="P787" s="54" t="n">
        <f aca="true">RAND()</f>
        <v>0.750545823190826</v>
      </c>
      <c r="Q787" s="54" t="n">
        <f aca="true">RAND()</f>
        <v>0.676974750601256</v>
      </c>
      <c r="R787" s="54" t="n">
        <f aca="true">RAND()</f>
        <v>0.259692979429967</v>
      </c>
      <c r="S787" s="54" t="n">
        <f aca="true">RAND()</f>
        <v>0.918813776228974</v>
      </c>
      <c r="T787" s="54" t="n">
        <f aca="true">RAND()</f>
        <v>0.574829138005144</v>
      </c>
      <c r="U787" s="54" t="n">
        <f aca="true">RAND()</f>
        <v>0.459262809152901</v>
      </c>
    </row>
    <row r="788" customFormat="false" ht="15" hidden="false" customHeight="false" outlineLevel="0" collapsed="false">
      <c r="A788" s="50" t="n">
        <v>708</v>
      </c>
      <c r="B788" s="51" t="n">
        <f aca="false">1+IF($G$6=$E$6,$F$6,IF(P788&lt;($F$6-$E$6)/($G$6-$E$6),$E$6+SQRT(P788*($G$6-$E$6)*($F$6-$E$6)),$G$6-SQRT((1-P788)*($G$6-$E$6)*($G$6-$F$6))))</f>
        <v>0.986878431668293</v>
      </c>
      <c r="C788" s="51" t="n">
        <f aca="false">1+IF($G$7=$E$7,$F$7,IF(Q788&lt;($F$7-$E$7)/($G$7-$E$7),$E$7+SQRT(Q788*($G$7-$E$7)*($F$7-$E$7)),$G$7-SQRT((1-Q788)*($G$7-$E$7)*($G$7-$F$7))))</f>
        <v>0.956698264652751</v>
      </c>
      <c r="D788" s="51" t="n">
        <f aca="false">1+IF($G$8=$E$8,$F$8,IF(R788&lt;($F$8-$E$8)/($G$8-$E$8),$E$8+SQRT(R788*($G$8-$E$8)*($F$8-$E$8)),$G$8-SQRT((1-R788)*($G$8-$E$8)*($G$8-$F$8))))</f>
        <v>1.09832263284807</v>
      </c>
      <c r="E788" s="51" t="n">
        <f aca="false">1+IF($G$9=$E$9,$F$9,IF(S788&lt;($F$9-$E$9)/($G$9-$E$9),$E$9+SQRT(S788*($G$9-$E$9)*($F$9-$E$9)),$G$9-SQRT((1-S788)*($G$9-$E$9)*($G$9-$F$9))))</f>
        <v>0.958003869491418</v>
      </c>
      <c r="F788" s="51" t="n">
        <f aca="false">1+IF($G$10=$E$10,$F$10,IF(T788&lt;($F$10-$E$10)/($G$10-$E$10),$E$10+SQRT(T788*($G$10-$E$10)*($F$10-$E$10)),$G$10-SQRT((1-T788)*($G$10-$E$10)*($G$10-$F$10))))</f>
        <v>1.17225406368011</v>
      </c>
      <c r="G788" s="52" t="n">
        <f aca="false">IF($G$11=$E$11,$F$11,IF(U788&lt;($F$11-$E$11)/($G$11-$E$11),$E$11+SQRT(U788*($G$11-$E$11)*($F$11-$E$11)),$G$11-SQRT((1-U788)*($G$11-$E$11)*($G$11-$F$11))))</f>
        <v>0.103110342206616</v>
      </c>
      <c r="H788" s="53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-2344508127.36021</v>
      </c>
      <c r="I788" s="53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-66982167.3868535</v>
      </c>
      <c r="J788" s="53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168433692.570718</v>
      </c>
      <c r="K788" s="53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462462255.712294</v>
      </c>
      <c r="L788" s="53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573563856.187975</v>
      </c>
      <c r="M788" s="53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753026915.548669</v>
      </c>
      <c r="N788" s="53" t="n">
        <f aca="false">IF(COUNT('Business Case'!B11:G11)=0,"",H788+NPV(G788,I788:M788))</f>
        <v>-1073920005.35874</v>
      </c>
      <c r="P788" s="54" t="n">
        <f aca="true">RAND()</f>
        <v>0.503190792609483</v>
      </c>
      <c r="Q788" s="54" t="n">
        <f aca="true">RAND()</f>
        <v>0.488103696857286</v>
      </c>
      <c r="R788" s="54" t="n">
        <f aca="true">RAND()</f>
        <v>0.999812429295841</v>
      </c>
      <c r="S788" s="54" t="n">
        <f aca="true">RAND()</f>
        <v>0.134577955039096</v>
      </c>
      <c r="T788" s="54" t="n">
        <f aca="true">RAND()</f>
        <v>0.919407591809906</v>
      </c>
      <c r="U788" s="54" t="n">
        <f aca="true">RAND()</f>
        <v>0.51796420250314</v>
      </c>
    </row>
    <row r="789" customFormat="false" ht="15" hidden="false" customHeight="false" outlineLevel="0" collapsed="false">
      <c r="A789" s="50" t="n">
        <v>709</v>
      </c>
      <c r="B789" s="51" t="n">
        <f aca="false">1+IF($G$6=$E$6,$F$6,IF(P789&lt;($F$6-$E$6)/($G$6-$E$6),$E$6+SQRT(P789*($G$6-$E$6)*($F$6-$E$6)),$G$6-SQRT((1-P789)*($G$6-$E$6)*($G$6-$F$6))))</f>
        <v>1.02360810107964</v>
      </c>
      <c r="C789" s="51" t="n">
        <f aca="false">1+IF($G$7=$E$7,$F$7,IF(Q789&lt;($F$7-$E$7)/($G$7-$E$7),$E$7+SQRT(Q789*($G$7-$E$7)*($F$7-$E$7)),$G$7-SQRT((1-Q789)*($G$7-$E$7)*($G$7-$F$7))))</f>
        <v>1.11429748119094</v>
      </c>
      <c r="D789" s="51" t="n">
        <f aca="false">1+IF($G$8=$E$8,$F$8,IF(R789&lt;($F$8-$E$8)/($G$8-$E$8),$E$8+SQRT(R789*($G$8-$E$8)*($F$8-$E$8)),$G$8-SQRT((1-R789)*($G$8-$E$8)*($G$8-$F$8))))</f>
        <v>0.993917642190936</v>
      </c>
      <c r="E789" s="51" t="n">
        <f aca="false">1+IF($G$9=$E$9,$F$9,IF(S789&lt;($F$9-$E$9)/($G$9-$E$9),$E$9+SQRT(S789*($G$9-$E$9)*($F$9-$E$9)),$G$9-SQRT((1-S789)*($G$9-$E$9)*($G$9-$F$9))))</f>
        <v>0.963364118676853</v>
      </c>
      <c r="F789" s="51" t="n">
        <f aca="false">1+IF($G$10=$E$10,$F$10,IF(T789&lt;($F$10-$E$10)/($G$10-$E$10),$E$10+SQRT(T789*($G$10-$E$10)*($F$10-$E$10)),$G$10-SQRT((1-T789)*($G$10-$E$10)*($G$10-$F$10))))</f>
        <v>1.17372370479241</v>
      </c>
      <c r="G789" s="52" t="n">
        <f aca="false">IF($G$11=$E$11,$F$11,IF(U789&lt;($F$11-$E$11)/($G$11-$E$11),$E$11+SQRT(U789*($G$11-$E$11)*($F$11-$E$11)),$G$11-SQRT((1-U789)*($G$11-$E$11)*($G$11-$F$11))))</f>
        <v>0.0911090853638521</v>
      </c>
      <c r="H789" s="53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-2347447409.58482</v>
      </c>
      <c r="I789" s="53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53783485.2043182</v>
      </c>
      <c r="J789" s="53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421058626.230628</v>
      </c>
      <c r="K789" s="53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847019952.496558</v>
      </c>
      <c r="L789" s="53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1008864271.28326</v>
      </c>
      <c r="M789" s="53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1225670266.0619</v>
      </c>
      <c r="N789" s="53" t="n">
        <f aca="false">IF(COUNT('Business Case'!B11:G11)=0,"",H789+NPV(G789,I789:M789))</f>
        <v>211948509.945754</v>
      </c>
      <c r="P789" s="54" t="n">
        <f aca="true">RAND()</f>
        <v>0.907129022850299</v>
      </c>
      <c r="Q789" s="54" t="n">
        <f aca="true">RAND()</f>
        <v>0.981116002232425</v>
      </c>
      <c r="R789" s="54" t="n">
        <f aca="true">RAND()</f>
        <v>0.257167906081482</v>
      </c>
      <c r="S789" s="54" t="n">
        <f aca="true">RAND()</f>
        <v>0.160600461427774</v>
      </c>
      <c r="T789" s="54" t="n">
        <f aca="true">RAND()</f>
        <v>0.922425690525395</v>
      </c>
      <c r="U789" s="54" t="n">
        <f aca="true">RAND()</f>
        <v>0.123411777621352</v>
      </c>
    </row>
    <row r="790" customFormat="false" ht="15" hidden="false" customHeight="false" outlineLevel="0" collapsed="false">
      <c r="A790" s="50" t="n">
        <v>710</v>
      </c>
      <c r="B790" s="51" t="n">
        <f aca="false">1+IF($G$6=$E$6,$F$6,IF(P790&lt;($F$6-$E$6)/($G$6-$E$6),$E$6+SQRT(P790*($G$6-$E$6)*($F$6-$E$6)),$G$6-SQRT((1-P790)*($G$6-$E$6)*($G$6-$F$6))))</f>
        <v>0.982859143800825</v>
      </c>
      <c r="C790" s="51" t="n">
        <f aca="false">1+IF($G$7=$E$7,$F$7,IF(Q790&lt;($F$7-$E$7)/($G$7-$E$7),$E$7+SQRT(Q790*($G$7-$E$7)*($F$7-$E$7)),$G$7-SQRT((1-Q790)*($G$7-$E$7)*($G$7-$F$7))))</f>
        <v>0.935418454275767</v>
      </c>
      <c r="D790" s="51" t="n">
        <f aca="false">1+IF($G$8=$E$8,$F$8,IF(R790&lt;($F$8-$E$8)/($G$8-$E$8),$E$8+SQRT(R790*($G$8-$E$8)*($F$8-$E$8)),$G$8-SQRT((1-R790)*($G$8-$E$8)*($G$8-$F$8))))</f>
        <v>0.992033797151337</v>
      </c>
      <c r="E790" s="51" t="n">
        <f aca="false">1+IF($G$9=$E$9,$F$9,IF(S790&lt;($F$9-$E$9)/($G$9-$E$9),$E$9+SQRT(S790*($G$9-$E$9)*($F$9-$E$9)),$G$9-SQRT((1-S790)*($G$9-$E$9)*($G$9-$F$9))))</f>
        <v>1.01378142682921</v>
      </c>
      <c r="F790" s="51" t="n">
        <f aca="false">1+IF($G$10=$E$10,$F$10,IF(T790&lt;($F$10-$E$10)/($G$10-$E$10),$E$10+SQRT(T790*($G$10-$E$10)*($F$10-$E$10)),$G$10-SQRT((1-T790)*($G$10-$E$10)*($G$10-$F$10))))</f>
        <v>1.07774647575941</v>
      </c>
      <c r="G790" s="52" t="n">
        <f aca="false">IF($G$11=$E$11,$F$11,IF(U790&lt;($F$11-$E$11)/($G$11-$E$11),$E$11+SQRT(U790*($G$11-$E$11)*($F$11-$E$11)),$G$11-SQRT((1-U790)*($G$11-$E$11)*($G$11-$F$11))))</f>
        <v>0.109017705914778</v>
      </c>
      <c r="H790" s="53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-2155492951.51881</v>
      </c>
      <c r="I790" s="53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-21597819.4474842</v>
      </c>
      <c r="J790" s="53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256399624.258494</v>
      </c>
      <c r="K790" s="53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588284391.752443</v>
      </c>
      <c r="L790" s="53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712724137.442708</v>
      </c>
      <c r="M790" s="53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887480758.611538</v>
      </c>
      <c r="N790" s="53" t="n">
        <f aca="false">IF(COUNT('Business Case'!B11:G11)=0,"",H790+NPV(G790,I790:M790))</f>
        <v>-535034401.521186</v>
      </c>
      <c r="P790" s="54" t="n">
        <f aca="true">RAND()</f>
        <v>0.457709180760383</v>
      </c>
      <c r="Q790" s="54" t="n">
        <f aca="true">RAND()</f>
        <v>0.41053221195253</v>
      </c>
      <c r="R790" s="54" t="n">
        <f aca="true">RAND()</f>
        <v>0.235578680394635</v>
      </c>
      <c r="S790" s="54" t="n">
        <f aca="true">RAND()</f>
        <v>0.505186675288393</v>
      </c>
      <c r="T790" s="54" t="n">
        <f aca="true">RAND()</f>
        <v>0.604382978489269</v>
      </c>
      <c r="U790" s="54" t="n">
        <f aca="true">RAND()</f>
        <v>0.706495556614168</v>
      </c>
    </row>
    <row r="791" customFormat="false" ht="15" hidden="false" customHeight="false" outlineLevel="0" collapsed="false">
      <c r="A791" s="50" t="n">
        <v>711</v>
      </c>
      <c r="B791" s="51" t="n">
        <f aca="false">1+IF($G$6=$E$6,$F$6,IF(P791&lt;($F$6-$E$6)/($G$6-$E$6),$E$6+SQRT(P791*($G$6-$E$6)*($F$6-$E$6)),$G$6-SQRT((1-P791)*($G$6-$E$6)*($G$6-$F$6))))</f>
        <v>0.929235053897318</v>
      </c>
      <c r="C791" s="51" t="n">
        <f aca="false">1+IF($G$7=$E$7,$F$7,IF(Q791&lt;($F$7-$E$7)/($G$7-$E$7),$E$7+SQRT(Q791*($G$7-$E$7)*($F$7-$E$7)),$G$7-SQRT((1-Q791)*($G$7-$E$7)*($G$7-$F$7))))</f>
        <v>0.848979131956958</v>
      </c>
      <c r="D791" s="51" t="n">
        <f aca="false">1+IF($G$8=$E$8,$F$8,IF(R791&lt;($F$8-$E$8)/($G$8-$E$8),$E$8+SQRT(R791*($G$8-$E$8)*($F$8-$E$8)),$G$8-SQRT((1-R791)*($G$8-$E$8)*($G$8-$F$8))))</f>
        <v>1.01617254476663</v>
      </c>
      <c r="E791" s="51" t="n">
        <f aca="false">1+IF($G$9=$E$9,$F$9,IF(S791&lt;($F$9-$E$9)/($G$9-$E$9),$E$9+SQRT(S791*($G$9-$E$9)*($F$9-$E$9)),$G$9-SQRT((1-S791)*($G$9-$E$9)*($G$9-$F$9))))</f>
        <v>0.962389480912722</v>
      </c>
      <c r="F791" s="51" t="n">
        <f aca="false">1+IF($G$10=$E$10,$F$10,IF(T791&lt;($F$10-$E$10)/($G$10-$E$10),$E$10+SQRT(T791*($G$10-$E$10)*($F$10-$E$10)),$G$10-SQRT((1-T791)*($G$10-$E$10)*($G$10-$F$10))))</f>
        <v>1.1532322071852</v>
      </c>
      <c r="G791" s="52" t="n">
        <f aca="false">IF($G$11=$E$11,$F$11,IF(U791&lt;($F$11-$E$11)/($G$11-$E$11),$E$11+SQRT(U791*($G$11-$E$11)*($F$11-$E$11)),$G$11-SQRT((1-U791)*($G$11-$E$11)*($G$11-$F$11))))</f>
        <v>0.102638283167467</v>
      </c>
      <c r="H791" s="53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-2306464414.37039</v>
      </c>
      <c r="I791" s="53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-88542920.0353258</v>
      </c>
      <c r="J791" s="53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115985801.457516</v>
      </c>
      <c r="K791" s="53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378176133.309618</v>
      </c>
      <c r="L791" s="53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473616798.223137</v>
      </c>
      <c r="M791" s="53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623571132.510619</v>
      </c>
      <c r="N791" s="53" t="n">
        <f aca="false">IF(COUNT('Business Case'!B11:G11)=0,"",H791+NPV(G791,I791:M791))</f>
        <v>-1306292506.71625</v>
      </c>
      <c r="P791" s="54" t="n">
        <f aca="true">RAND()</f>
        <v>0.0569792250919389</v>
      </c>
      <c r="Q791" s="54" t="n">
        <f aca="true">RAND()</f>
        <v>0.164405790804804</v>
      </c>
      <c r="R791" s="54" t="n">
        <f aca="true">RAND()</f>
        <v>0.531530516606478</v>
      </c>
      <c r="S791" s="54" t="n">
        <f aca="true">RAND()</f>
        <v>0.155697893142355</v>
      </c>
      <c r="T791" s="54" t="n">
        <f aca="true">RAND()</f>
        <v>0.87514659031668</v>
      </c>
      <c r="U791" s="54" t="n">
        <f aca="true">RAND()</f>
        <v>0.500890967984193</v>
      </c>
    </row>
    <row r="792" customFormat="false" ht="15" hidden="false" customHeight="false" outlineLevel="0" collapsed="false">
      <c r="A792" s="50" t="n">
        <v>712</v>
      </c>
      <c r="B792" s="51" t="n">
        <f aca="false">1+IF($G$6=$E$6,$F$6,IF(P792&lt;($F$6-$E$6)/($G$6-$E$6),$E$6+SQRT(P792*($G$6-$E$6)*($F$6-$E$6)),$G$6-SQRT((1-P792)*($G$6-$E$6)*($G$6-$F$6))))</f>
        <v>0.978281329435635</v>
      </c>
      <c r="C792" s="51" t="n">
        <f aca="false">1+IF($G$7=$E$7,$F$7,IF(Q792&lt;($F$7-$E$7)/($G$7-$E$7),$E$7+SQRT(Q792*($G$7-$E$7)*($F$7-$E$7)),$G$7-SQRT((1-Q792)*($G$7-$E$7)*($G$7-$F$7))))</f>
        <v>0.893907056035653</v>
      </c>
      <c r="D792" s="51" t="n">
        <f aca="false">1+IF($G$8=$E$8,$F$8,IF(R792&lt;($F$8-$E$8)/($G$8-$E$8),$E$8+SQRT(R792*($G$8-$E$8)*($F$8-$E$8)),$G$8-SQRT((1-R792)*($G$8-$E$8)*($G$8-$F$8))))</f>
        <v>1.07860065458457</v>
      </c>
      <c r="E792" s="51" t="n">
        <f aca="false">1+IF($G$9=$E$9,$F$9,IF(S792&lt;($F$9-$E$9)/($G$9-$E$9),$E$9+SQRT(S792*($G$9-$E$9)*($F$9-$E$9)),$G$9-SQRT((1-S792)*($G$9-$E$9)*($G$9-$F$9))))</f>
        <v>1.01480301705124</v>
      </c>
      <c r="F792" s="51" t="n">
        <f aca="false">1+IF($G$10=$E$10,$F$10,IF(T792&lt;($F$10-$E$10)/($G$10-$E$10),$E$10+SQRT(T792*($G$10-$E$10)*($F$10-$E$10)),$G$10-SQRT((1-T792)*($G$10-$E$10)*($G$10-$F$10))))</f>
        <v>1.06765439475377</v>
      </c>
      <c r="G792" s="52" t="n">
        <f aca="false">IF($G$11=$E$11,$F$11,IF(U792&lt;($F$11-$E$11)/($G$11-$E$11),$E$11+SQRT(U792*($G$11-$E$11)*($F$11-$E$11)),$G$11-SQRT((1-U792)*($G$11-$E$11)*($G$11-$F$11))))</f>
        <v>0.115481143994114</v>
      </c>
      <c r="H792" s="53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-2135308789.50755</v>
      </c>
      <c r="I792" s="53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-73708994.1484131</v>
      </c>
      <c r="J792" s="53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148986135.714794</v>
      </c>
      <c r="K792" s="53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425063985.31569</v>
      </c>
      <c r="L792" s="53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529518158.944463</v>
      </c>
      <c r="M792" s="53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695741709.153503</v>
      </c>
      <c r="N792" s="53" t="n">
        <f aca="false">IF(COUNT('Business Case'!B11:G11)=0,"",H792+NPV(G792,I792:M792))</f>
        <v>-1030559350.32956</v>
      </c>
      <c r="P792" s="54" t="n">
        <f aca="true">RAND()</f>
        <v>0.408531102547357</v>
      </c>
      <c r="Q792" s="54" t="n">
        <f aca="true">RAND()</f>
        <v>0.2785181213364</v>
      </c>
      <c r="R792" s="54" t="n">
        <f aca="true">RAND()</f>
        <v>0.969471201052742</v>
      </c>
      <c r="S792" s="54" t="n">
        <f aca="true">RAND()</f>
        <v>0.512580688041407</v>
      </c>
      <c r="T792" s="54" t="n">
        <f aca="true">RAND()</f>
        <v>0.556667736631833</v>
      </c>
      <c r="U792" s="54" t="n">
        <f aca="true">RAND()</f>
        <v>0.859468546853566</v>
      </c>
    </row>
    <row r="793" customFormat="false" ht="15" hidden="false" customHeight="false" outlineLevel="0" collapsed="false">
      <c r="A793" s="50" t="n">
        <v>713</v>
      </c>
      <c r="B793" s="51" t="n">
        <f aca="false">1+IF($G$6=$E$6,$F$6,IF(P793&lt;($F$6-$E$6)/($G$6-$E$6),$E$6+SQRT(P793*($G$6-$E$6)*($F$6-$E$6)),$G$6-SQRT((1-P793)*($G$6-$E$6)*($G$6-$F$6))))</f>
        <v>1.014458747921</v>
      </c>
      <c r="C793" s="51" t="n">
        <f aca="false">1+IF($G$7=$E$7,$F$7,IF(Q793&lt;($F$7-$E$7)/($G$7-$E$7),$E$7+SQRT(Q793*($G$7-$E$7)*($F$7-$E$7)),$G$7-SQRT((1-Q793)*($G$7-$E$7)*($G$7-$F$7))))</f>
        <v>1.13950069205357</v>
      </c>
      <c r="D793" s="51" t="n">
        <f aca="false">1+IF($G$8=$E$8,$F$8,IF(R793&lt;($F$8-$E$8)/($G$8-$E$8),$E$8+SQRT(R793*($G$8-$E$8)*($F$8-$E$8)),$G$8-SQRT((1-R793)*($G$8-$E$8)*($G$8-$F$8))))</f>
        <v>1.01045962221917</v>
      </c>
      <c r="E793" s="51" t="n">
        <f aca="false">1+IF($G$9=$E$9,$F$9,IF(S793&lt;($F$9-$E$9)/($G$9-$E$9),$E$9+SQRT(S793*($G$9-$E$9)*($F$9-$E$9)),$G$9-SQRT((1-S793)*($G$9-$E$9)*($G$9-$F$9))))</f>
        <v>1.03441768798889</v>
      </c>
      <c r="F793" s="51" t="n">
        <f aca="false">1+IF($G$10=$E$10,$F$10,IF(T793&lt;($F$10-$E$10)/($G$10-$E$10),$E$10+SQRT(T793*($G$10-$E$10)*($F$10-$E$10)),$G$10-SQRT((1-T793)*($G$10-$E$10)*($G$10-$F$10))))</f>
        <v>1.06026945616107</v>
      </c>
      <c r="G793" s="52" t="n">
        <f aca="false">IF($G$11=$E$11,$F$11,IF(U793&lt;($F$11-$E$11)/($G$11-$E$11),$E$11+SQRT(U793*($G$11-$E$11)*($F$11-$E$11)),$G$11-SQRT((1-U793)*($G$11-$E$11)*($G$11-$F$11))))</f>
        <v>0.107560731887574</v>
      </c>
      <c r="H793" s="53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-2120538912.32214</v>
      </c>
      <c r="I793" s="53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44346340.1282926</v>
      </c>
      <c r="J793" s="53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401739640.029883</v>
      </c>
      <c r="K793" s="53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812146412.739527</v>
      </c>
      <c r="L793" s="53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971228058.656837</v>
      </c>
      <c r="M793" s="53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1190956061.38246</v>
      </c>
      <c r="N793" s="53" t="n">
        <f aca="false">IF(COUNT('Business Case'!B11:G11)=0,"",H793+NPV(G793,I793:M793))</f>
        <v>204790613.045814</v>
      </c>
      <c r="P793" s="54" t="n">
        <f aca="true">RAND()</f>
        <v>0.831575920087582</v>
      </c>
      <c r="Q793" s="54" t="n">
        <f aca="true">RAND()</f>
        <v>0.998366881965128</v>
      </c>
      <c r="R793" s="54" t="n">
        <f aca="true">RAND()</f>
        <v>0.465501383124437</v>
      </c>
      <c r="S793" s="54" t="n">
        <f aca="true">RAND()</f>
        <v>0.643752777337793</v>
      </c>
      <c r="T793" s="54" t="n">
        <f aca="true">RAND()</f>
        <v>0.520030943127792</v>
      </c>
      <c r="U793" s="54" t="n">
        <f aca="true">RAND()</f>
        <v>0.664319497719102</v>
      </c>
    </row>
    <row r="794" customFormat="false" ht="15" hidden="false" customHeight="false" outlineLevel="0" collapsed="false">
      <c r="A794" s="50" t="n">
        <v>714</v>
      </c>
      <c r="B794" s="51" t="n">
        <f aca="false">1+IF($G$6=$E$6,$F$6,IF(P794&lt;($F$6-$E$6)/($G$6-$E$6),$E$6+SQRT(P794*($G$6-$E$6)*($F$6-$E$6)),$G$6-SQRT((1-P794)*($G$6-$E$6)*($G$6-$F$6))))</f>
        <v>0.937732383664874</v>
      </c>
      <c r="C794" s="51" t="n">
        <f aca="false">1+IF($G$7=$E$7,$F$7,IF(Q794&lt;($F$7-$E$7)/($G$7-$E$7),$E$7+SQRT(Q794*($G$7-$E$7)*($F$7-$E$7)),$G$7-SQRT((1-Q794)*($G$7-$E$7)*($G$7-$F$7))))</f>
        <v>0.776051209587436</v>
      </c>
      <c r="D794" s="51" t="n">
        <f aca="false">1+IF($G$8=$E$8,$F$8,IF(R794&lt;($F$8-$E$8)/($G$8-$E$8),$E$8+SQRT(R794*($G$8-$E$8)*($F$8-$E$8)),$G$8-SQRT((1-R794)*($G$8-$E$8)*($G$8-$F$8))))</f>
        <v>1.05225633057101</v>
      </c>
      <c r="E794" s="51" t="n">
        <f aca="false">1+IF($G$9=$E$9,$F$9,IF(S794&lt;($F$9-$E$9)/($G$9-$E$9),$E$9+SQRT(S794*($G$9-$E$9)*($F$9-$E$9)),$G$9-SQRT((1-S794)*($G$9-$E$9)*($G$9-$F$9))))</f>
        <v>0.938332324965671</v>
      </c>
      <c r="F794" s="51" t="n">
        <f aca="false">1+IF($G$10=$E$10,$F$10,IF(T794&lt;($F$10-$E$10)/($G$10-$E$10),$E$10+SQRT(T794*($G$10-$E$10)*($F$10-$E$10)),$G$10-SQRT((1-T794)*($G$10-$E$10)*($G$10-$F$10))))</f>
        <v>1.06321453037433</v>
      </c>
      <c r="G794" s="52" t="n">
        <f aca="false">IF($G$11=$E$11,$F$11,IF(U794&lt;($F$11-$E$11)/($G$11-$E$11),$E$11+SQRT(U794*($G$11-$E$11)*($F$11-$E$11)),$G$11-SQRT((1-U794)*($G$11-$E$11)*($G$11-$F$11))))</f>
        <v>0.115999235141322</v>
      </c>
      <c r="H794" s="53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-2126429060.74866</v>
      </c>
      <c r="I794" s="53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-99452160.0120817</v>
      </c>
      <c r="J794" s="53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78573427.3191365</v>
      </c>
      <c r="K794" s="53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309759741.169071</v>
      </c>
      <c r="L794" s="53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394251895.409976</v>
      </c>
      <c r="M794" s="53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532578500.294388</v>
      </c>
      <c r="N794" s="53" t="n">
        <f aca="false">IF(COUNT('Business Case'!B11:G11)=0,"",H794+NPV(G794,I794:M794))</f>
        <v>-1367773644.64707</v>
      </c>
      <c r="P794" s="54" t="n">
        <f aca="true">RAND()</f>
        <v>0.0949155184688817</v>
      </c>
      <c r="Q794" s="54" t="n">
        <f aca="true">RAND()</f>
        <v>0.0428428628126826</v>
      </c>
      <c r="R794" s="54" t="n">
        <f aca="true">RAND()</f>
        <v>0.848036135296993</v>
      </c>
      <c r="S794" s="54" t="n">
        <f aca="true">RAND()</f>
        <v>0.0587746854909517</v>
      </c>
      <c r="T794" s="54" t="n">
        <f aca="true">RAND()</f>
        <v>0.534815844489566</v>
      </c>
      <c r="U794" s="54" t="n">
        <f aca="true">RAND()</f>
        <v>0.869319055581331</v>
      </c>
    </row>
    <row r="795" customFormat="false" ht="15" hidden="false" customHeight="false" outlineLevel="0" collapsed="false">
      <c r="A795" s="50" t="n">
        <v>715</v>
      </c>
      <c r="B795" s="51" t="n">
        <f aca="false">1+IF($G$6=$E$6,$F$6,IF(P795&lt;($F$6-$E$6)/($G$6-$E$6),$E$6+SQRT(P795*($G$6-$E$6)*($F$6-$E$6)),$G$6-SQRT((1-P795)*($G$6-$E$6)*($G$6-$F$6))))</f>
        <v>1.02599033909081</v>
      </c>
      <c r="C795" s="51" t="n">
        <f aca="false">1+IF($G$7=$E$7,$F$7,IF(Q795&lt;($F$7-$E$7)/($G$7-$E$7),$E$7+SQRT(Q795*($G$7-$E$7)*($F$7-$E$7)),$G$7-SQRT((1-Q795)*($G$7-$E$7)*($G$7-$F$7))))</f>
        <v>0.998532004283481</v>
      </c>
      <c r="D795" s="51" t="n">
        <f aca="false">1+IF($G$8=$E$8,$F$8,IF(R795&lt;($F$8-$E$8)/($G$8-$E$8),$E$8+SQRT(R795*($G$8-$E$8)*($F$8-$E$8)),$G$8-SQRT((1-R795)*($G$8-$E$8)*($G$8-$F$8))))</f>
        <v>1.08558692360311</v>
      </c>
      <c r="E795" s="51" t="n">
        <f aca="false">1+IF($G$9=$E$9,$F$9,IF(S795&lt;($F$9-$E$9)/($G$9-$E$9),$E$9+SQRT(S795*($G$9-$E$9)*($F$9-$E$9)),$G$9-SQRT((1-S795)*($G$9-$E$9)*($G$9-$F$9))))</f>
        <v>0.957013585064293</v>
      </c>
      <c r="F795" s="51" t="n">
        <f aca="false">1+IF($G$10=$E$10,$F$10,IF(T795&lt;($F$10-$E$10)/($G$10-$E$10),$E$10+SQRT(T795*($G$10-$E$10)*($F$10-$E$10)),$G$10-SQRT((1-T795)*($G$10-$E$10)*($G$10-$F$10))))</f>
        <v>1.0140381503688</v>
      </c>
      <c r="G795" s="52" t="n">
        <f aca="false">IF($G$11=$E$11,$F$11,IF(U795&lt;($F$11-$E$11)/($G$11-$E$11),$E$11+SQRT(U795*($G$11-$E$11)*($F$11-$E$11)),$G$11-SQRT((1-U795)*($G$11-$E$11)*($G$11-$F$11))))</f>
        <v>0.105509296620121</v>
      </c>
      <c r="H795" s="53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-2028076300.7376</v>
      </c>
      <c r="I795" s="53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-6391936.32732441</v>
      </c>
      <c r="J795" s="53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277816534.570754</v>
      </c>
      <c r="K795" s="53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612726912.987273</v>
      </c>
      <c r="L795" s="53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742869243.548219</v>
      </c>
      <c r="M795" s="53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937603198.320281</v>
      </c>
      <c r="N795" s="53" t="n">
        <f aca="false">IF(COUNT('Business Case'!B11:G11)=0,"",H795+NPV(G795,I795:M795))</f>
        <v>-287871848.999403</v>
      </c>
      <c r="P795" s="54" t="n">
        <f aca="true">RAND()</f>
        <v>0.923138157736772</v>
      </c>
      <c r="Q795" s="54" t="n">
        <f aca="true">RAND()</f>
        <v>0.660158204307497</v>
      </c>
      <c r="R795" s="54" t="n">
        <f aca="true">RAND()</f>
        <v>0.986150881918491</v>
      </c>
      <c r="S795" s="54" t="n">
        <f aca="true">RAND()</f>
        <v>0.130021955275335</v>
      </c>
      <c r="T795" s="54" t="n">
        <f aca="true">RAND()</f>
        <v>0.257626740248307</v>
      </c>
      <c r="U795" s="54" t="n">
        <f aca="true">RAND()</f>
        <v>0.600136965305871</v>
      </c>
    </row>
    <row r="796" customFormat="false" ht="15" hidden="false" customHeight="false" outlineLevel="0" collapsed="false">
      <c r="A796" s="50" t="n">
        <v>716</v>
      </c>
      <c r="B796" s="51" t="n">
        <f aca="false">1+IF($G$6=$E$6,$F$6,IF(P796&lt;($F$6-$E$6)/($G$6-$E$6),$E$6+SQRT(P796*($G$6-$E$6)*($F$6-$E$6)),$G$6-SQRT((1-P796)*($G$6-$E$6)*($G$6-$F$6))))</f>
        <v>1.02599039763281</v>
      </c>
      <c r="C796" s="51" t="n">
        <f aca="false">1+IF($G$7=$E$7,$F$7,IF(Q796&lt;($F$7-$E$7)/($G$7-$E$7),$E$7+SQRT(Q796*($G$7-$E$7)*($F$7-$E$7)),$G$7-SQRT((1-Q796)*($G$7-$E$7)*($G$7-$F$7))))</f>
        <v>0.804873413865706</v>
      </c>
      <c r="D796" s="51" t="n">
        <f aca="false">1+IF($G$8=$E$8,$F$8,IF(R796&lt;($F$8-$E$8)/($G$8-$E$8),$E$8+SQRT(R796*($G$8-$E$8)*($F$8-$E$8)),$G$8-SQRT((1-R796)*($G$8-$E$8)*($G$8-$F$8))))</f>
        <v>1.04910104087874</v>
      </c>
      <c r="E796" s="51" t="n">
        <f aca="false">1+IF($G$9=$E$9,$F$9,IF(S796&lt;($F$9-$E$9)/($G$9-$E$9),$E$9+SQRT(S796*($G$9-$E$9)*($F$9-$E$9)),$G$9-SQRT((1-S796)*($G$9-$E$9)*($G$9-$F$9))))</f>
        <v>1.05180062866984</v>
      </c>
      <c r="F796" s="51" t="n">
        <f aca="false">1+IF($G$10=$E$10,$F$10,IF(T796&lt;($F$10-$E$10)/($G$10-$E$10),$E$10+SQRT(T796*($G$10-$E$10)*($F$10-$E$10)),$G$10-SQRT((1-T796)*($G$10-$E$10)*($G$10-$F$10))))</f>
        <v>1.03972509389875</v>
      </c>
      <c r="G796" s="52" t="n">
        <f aca="false">IF($G$11=$E$11,$F$11,IF(U796&lt;($F$11-$E$11)/($G$11-$E$11),$E$11+SQRT(U796*($G$11-$E$11)*($F$11-$E$11)),$G$11-SQRT((1-U796)*($G$11-$E$11)*($G$11-$F$11))))</f>
        <v>0.120285298674577</v>
      </c>
      <c r="H796" s="53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-2079450187.79751</v>
      </c>
      <c r="I796" s="53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-52226147.8856193</v>
      </c>
      <c r="J796" s="53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191895340.717138</v>
      </c>
      <c r="K796" s="53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488003084.014832</v>
      </c>
      <c r="L796" s="53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597916298.683518</v>
      </c>
      <c r="M796" s="53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754882916.922901</v>
      </c>
      <c r="N796" s="53" t="n">
        <f aca="false">IF(COUNT('Business Case'!B11:G11)=0,"",H796+NPV(G796,I796:M796))</f>
        <v>-818687885.006325</v>
      </c>
      <c r="P796" s="54" t="n">
        <f aca="true">RAND()</f>
        <v>0.923138532555899</v>
      </c>
      <c r="Q796" s="54" t="n">
        <f aca="true">RAND()</f>
        <v>0.0814698735988716</v>
      </c>
      <c r="R796" s="54" t="n">
        <f aca="true">RAND()</f>
        <v>0.827286397358155</v>
      </c>
      <c r="S796" s="54" t="n">
        <f aca="true">RAND()</f>
        <v>0.742850225876282</v>
      </c>
      <c r="T796" s="54" t="n">
        <f aca="true">RAND()</f>
        <v>0.410459518188165</v>
      </c>
      <c r="U796" s="54" t="n">
        <f aca="true">RAND()</f>
        <v>0.937083052105221</v>
      </c>
    </row>
    <row r="797" customFormat="false" ht="15" hidden="false" customHeight="false" outlineLevel="0" collapsed="false">
      <c r="A797" s="50" t="n">
        <v>717</v>
      </c>
      <c r="B797" s="51" t="n">
        <f aca="false">1+IF($G$6=$E$6,$F$6,IF(P797&lt;($F$6-$E$6)/($G$6-$E$6),$E$6+SQRT(P797*($G$6-$E$6)*($F$6-$E$6)),$G$6-SQRT((1-P797)*($G$6-$E$6)*($G$6-$F$6))))</f>
        <v>0.971804206358505</v>
      </c>
      <c r="C797" s="51" t="n">
        <f aca="false">1+IF($G$7=$E$7,$F$7,IF(Q797&lt;($F$7-$E$7)/($G$7-$E$7),$E$7+SQRT(Q797*($G$7-$E$7)*($F$7-$E$7)),$G$7-SQRT((1-Q797)*($G$7-$E$7)*($G$7-$F$7))))</f>
        <v>0.883564927564469</v>
      </c>
      <c r="D797" s="51" t="n">
        <f aca="false">1+IF($G$8=$E$8,$F$8,IF(R797&lt;($F$8-$E$8)/($G$8-$E$8),$E$8+SQRT(R797*($G$8-$E$8)*($F$8-$E$8)),$G$8-SQRT((1-R797)*($G$8-$E$8)*($G$8-$F$8))))</f>
        <v>1.04401183363417</v>
      </c>
      <c r="E797" s="51" t="n">
        <f aca="false">1+IF($G$9=$E$9,$F$9,IF(S797&lt;($F$9-$E$9)/($G$9-$E$9),$E$9+SQRT(S797*($G$9-$E$9)*($F$9-$E$9)),$G$9-SQRT((1-S797)*($G$9-$E$9)*($G$9-$F$9))))</f>
        <v>1.02657074913243</v>
      </c>
      <c r="F797" s="51" t="n">
        <f aca="false">1+IF($G$10=$E$10,$F$10,IF(T797&lt;($F$10-$E$10)/($G$10-$E$10),$E$10+SQRT(T797*($G$10-$E$10)*($F$10-$E$10)),$G$10-SQRT((1-T797)*($G$10-$E$10)*($G$10-$F$10))))</f>
        <v>1.05148152188312</v>
      </c>
      <c r="G797" s="52" t="n">
        <f aca="false">IF($G$11=$E$11,$F$11,IF(U797&lt;($F$11-$E$11)/($G$11-$E$11),$E$11+SQRT(U797*($G$11-$E$11)*($F$11-$E$11)),$G$11-SQRT((1-U797)*($G$11-$E$11)*($G$11-$F$11))))</f>
        <v>0.118797429377196</v>
      </c>
      <c r="H797" s="53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-2102963043.76624</v>
      </c>
      <c r="I797" s="53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-64562885.385254</v>
      </c>
      <c r="J797" s="53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166513267.49262</v>
      </c>
      <c r="K797" s="53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450163496.46465</v>
      </c>
      <c r="L797" s="53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556863897.789398</v>
      </c>
      <c r="M797" s="53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720076491.466073</v>
      </c>
      <c r="N797" s="53" t="n">
        <f aca="false">IF(COUNT('Business Case'!B11:G11)=0,"",H797+NPV(G797,I797:M797))</f>
        <v>-939977232.497866</v>
      </c>
      <c r="P797" s="54" t="n">
        <f aca="true">RAND()</f>
        <v>0.343722936718317</v>
      </c>
      <c r="Q797" s="54" t="n">
        <f aca="true">RAND()</f>
        <v>0.249600612087027</v>
      </c>
      <c r="R797" s="54" t="n">
        <f aca="true">RAND()</f>
        <v>0.791021681799491</v>
      </c>
      <c r="S797" s="54" t="n">
        <f aca="true">RAND()</f>
        <v>0.593739200807236</v>
      </c>
      <c r="T797" s="54" t="n">
        <f aca="true">RAND()</f>
        <v>0.474538851282092</v>
      </c>
      <c r="U797" s="54" t="n">
        <f aca="true">RAND()</f>
        <v>0.916334940960729</v>
      </c>
    </row>
    <row r="798" customFormat="false" ht="15" hidden="false" customHeight="false" outlineLevel="0" collapsed="false">
      <c r="A798" s="50" t="n">
        <v>718</v>
      </c>
      <c r="B798" s="51" t="n">
        <f aca="false">1+IF($G$6=$E$6,$F$6,IF(P798&lt;($F$6-$E$6)/($G$6-$E$6),$E$6+SQRT(P798*($G$6-$E$6)*($F$6-$E$6)),$G$6-SQRT((1-P798)*($G$6-$E$6)*($G$6-$F$6))))</f>
        <v>0.96342736976088</v>
      </c>
      <c r="C798" s="51" t="n">
        <f aca="false">1+IF($G$7=$E$7,$F$7,IF(Q798&lt;($F$7-$E$7)/($G$7-$E$7),$E$7+SQRT(Q798*($G$7-$E$7)*($F$7-$E$7)),$G$7-SQRT((1-Q798)*($G$7-$E$7)*($G$7-$F$7))))</f>
        <v>0.986738114921201</v>
      </c>
      <c r="D798" s="51" t="n">
        <f aca="false">1+IF($G$8=$E$8,$F$8,IF(R798&lt;($F$8-$E$8)/($G$8-$E$8),$E$8+SQRT(R798*($G$8-$E$8)*($F$8-$E$8)),$G$8-SQRT((1-R798)*($G$8-$E$8)*($G$8-$F$8))))</f>
        <v>0.995374209287611</v>
      </c>
      <c r="E798" s="51" t="n">
        <f aca="false">1+IF($G$9=$E$9,$F$9,IF(S798&lt;($F$9-$E$9)/($G$9-$E$9),$E$9+SQRT(S798*($G$9-$E$9)*($F$9-$E$9)),$G$9-SQRT((1-S798)*($G$9-$E$9)*($G$9-$F$9))))</f>
        <v>0.991361983611902</v>
      </c>
      <c r="F798" s="51" t="n">
        <f aca="false">1+IF($G$10=$E$10,$F$10,IF(T798&lt;($F$10-$E$10)/($G$10-$E$10),$E$10+SQRT(T798*($G$10-$E$10)*($F$10-$E$10)),$G$10-SQRT((1-T798)*($G$10-$E$10)*($G$10-$F$10))))</f>
        <v>1.02920284631862</v>
      </c>
      <c r="G798" s="52" t="n">
        <f aca="false">IF($G$11=$E$11,$F$11,IF(U798&lt;($F$11-$E$11)/($G$11-$E$11),$E$11+SQRT(U798*($G$11-$E$11)*($F$11-$E$11)),$G$11-SQRT((1-U798)*($G$11-$E$11)*($G$11-$F$11))))</f>
        <v>0.0865320754415536</v>
      </c>
      <c r="H798" s="53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-2058405692.63724</v>
      </c>
      <c r="I798" s="53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-17316814.7581005</v>
      </c>
      <c r="J798" s="53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258540051.452671</v>
      </c>
      <c r="K798" s="53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585857059.979374</v>
      </c>
      <c r="L798" s="53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710663830.227896</v>
      </c>
      <c r="M798" s="53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891363478.541687</v>
      </c>
      <c r="N798" s="53" t="n">
        <f aca="false">IF(COUNT('Business Case'!B11:G11)=0,"",H798+NPV(G798,I798:M798))</f>
        <v>-300069246.88216</v>
      </c>
      <c r="P798" s="54" t="n">
        <f aca="true">RAND()</f>
        <v>0.268202082318892</v>
      </c>
      <c r="Q798" s="54" t="n">
        <f aca="true">RAND()</f>
        <v>0.609027752211584</v>
      </c>
      <c r="R798" s="54" t="n">
        <f aca="true">RAND()</f>
        <v>0.274509182463458</v>
      </c>
      <c r="S798" s="54" t="n">
        <f aca="true">RAND()</f>
        <v>0.333880481980058</v>
      </c>
      <c r="T798" s="54" t="n">
        <f aca="true">RAND()</f>
        <v>0.349981559016008</v>
      </c>
      <c r="U798" s="54" t="n">
        <f aca="true">RAND()</f>
        <v>0.0426680095741474</v>
      </c>
    </row>
    <row r="799" customFormat="false" ht="15" hidden="false" customHeight="false" outlineLevel="0" collapsed="false">
      <c r="A799" s="50" t="n">
        <v>719</v>
      </c>
      <c r="B799" s="51" t="n">
        <f aca="false">1+IF($G$6=$E$6,$F$6,IF(P799&lt;($F$6-$E$6)/($G$6-$E$6),$E$6+SQRT(P799*($G$6-$E$6)*($F$6-$E$6)),$G$6-SQRT((1-P799)*($G$6-$E$6)*($G$6-$F$6))))</f>
        <v>1.00601402095547</v>
      </c>
      <c r="C799" s="51" t="n">
        <f aca="false">1+IF($G$7=$E$7,$F$7,IF(Q799&lt;($F$7-$E$7)/($G$7-$E$7),$E$7+SQRT(Q799*($G$7-$E$7)*($F$7-$E$7)),$G$7-SQRT((1-Q799)*($G$7-$E$7)*($G$7-$F$7))))</f>
        <v>0.940091806559027</v>
      </c>
      <c r="D799" s="51" t="n">
        <f aca="false">1+IF($G$8=$E$8,$F$8,IF(R799&lt;($F$8-$E$8)/($G$8-$E$8),$E$8+SQRT(R799*($G$8-$E$8)*($F$8-$E$8)),$G$8-SQRT((1-R799)*($G$8-$E$8)*($G$8-$F$8))))</f>
        <v>1.03658160404286</v>
      </c>
      <c r="E799" s="51" t="n">
        <f aca="false">1+IF($G$9=$E$9,$F$9,IF(S799&lt;($F$9-$E$9)/($G$9-$E$9),$E$9+SQRT(S799*($G$9-$E$9)*($F$9-$E$9)),$G$9-SQRT((1-S799)*($G$9-$E$9)*($G$9-$F$9))))</f>
        <v>0.960896229996874</v>
      </c>
      <c r="F799" s="51" t="n">
        <f aca="false">1+IF($G$10=$E$10,$F$10,IF(T799&lt;($F$10-$E$10)/($G$10-$E$10),$E$10+SQRT(T799*($G$10-$E$10)*($F$10-$E$10)),$G$10-SQRT((1-T799)*($G$10-$E$10)*($G$10-$F$10))))</f>
        <v>1.12137077474891</v>
      </c>
      <c r="G799" s="52" t="n">
        <f aca="false">IF($G$11=$E$11,$F$11,IF(U799&lt;($F$11-$E$11)/($G$11-$E$11),$E$11+SQRT(U799*($G$11-$E$11)*($F$11-$E$11)),$G$11-SQRT((1-U799)*($G$11-$E$11)*($G$11-$F$11))))</f>
        <v>0.11955166698877</v>
      </c>
      <c r="H799" s="53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-2242741549.49783</v>
      </c>
      <c r="I799" s="53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-22027040.794131</v>
      </c>
      <c r="J799" s="53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253749888.501998</v>
      </c>
      <c r="K799" s="53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585595356.535572</v>
      </c>
      <c r="L799" s="53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710205965.440824</v>
      </c>
      <c r="M799" s="53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889973277.376804</v>
      </c>
      <c r="N799" s="53" t="n">
        <f aca="false">IF(COUNT('Business Case'!B11:G11)=0,"",H799+NPV(G799,I799:M799))</f>
        <v>-684571518.925509</v>
      </c>
      <c r="P799" s="54" t="n">
        <f aca="true">RAND()</f>
        <v>0.742031152999189</v>
      </c>
      <c r="Q799" s="54" t="n">
        <f aca="true">RAND()</f>
        <v>0.426993152420572</v>
      </c>
      <c r="R799" s="54" t="n">
        <f aca="true">RAND()</f>
        <v>0.731873803614871</v>
      </c>
      <c r="S799" s="54" t="n">
        <f aca="true">RAND()</f>
        <v>0.148334033113287</v>
      </c>
      <c r="T799" s="54" t="n">
        <f aca="true">RAND()</f>
        <v>0.779393632150734</v>
      </c>
      <c r="U799" s="54" t="n">
        <f aca="true">RAND()</f>
        <v>0.927221558190961</v>
      </c>
    </row>
    <row r="800" customFormat="false" ht="15" hidden="false" customHeight="false" outlineLevel="0" collapsed="false">
      <c r="A800" s="50" t="n">
        <v>720</v>
      </c>
      <c r="B800" s="51" t="n">
        <f aca="false">1+IF($G$6=$E$6,$F$6,IF(P800&lt;($F$6-$E$6)/($G$6-$E$6),$E$6+SQRT(P800*($G$6-$E$6)*($F$6-$E$6)),$G$6-SQRT((1-P800)*($G$6-$E$6)*($G$6-$F$6))))</f>
        <v>0.988504811838485</v>
      </c>
      <c r="C800" s="51" t="n">
        <f aca="false">1+IF($G$7=$E$7,$F$7,IF(Q800&lt;($F$7-$E$7)/($G$7-$E$7),$E$7+SQRT(Q800*($G$7-$E$7)*($F$7-$E$7)),$G$7-SQRT((1-Q800)*($G$7-$E$7)*($G$7-$F$7))))</f>
        <v>0.876433099147959</v>
      </c>
      <c r="D800" s="51" t="n">
        <f aca="false">1+IF($G$8=$E$8,$F$8,IF(R800&lt;($F$8-$E$8)/($G$8-$E$8),$E$8+SQRT(R800*($G$8-$E$8)*($F$8-$E$8)),$G$8-SQRT((1-R800)*($G$8-$E$8)*($G$8-$F$8))))</f>
        <v>0.993715600594889</v>
      </c>
      <c r="E800" s="51" t="n">
        <f aca="false">1+IF($G$9=$E$9,$F$9,IF(S800&lt;($F$9-$E$9)/($G$9-$E$9),$E$9+SQRT(S800*($G$9-$E$9)*($F$9-$E$9)),$G$9-SQRT((1-S800)*($G$9-$E$9)*($G$9-$F$9))))</f>
        <v>1.02649968656916</v>
      </c>
      <c r="F800" s="51" t="n">
        <f aca="false">1+IF($G$10=$E$10,$F$10,IF(T800&lt;($F$10-$E$10)/($G$10-$E$10),$E$10+SQRT(T800*($G$10-$E$10)*($F$10-$E$10)),$G$10-SQRT((1-T800)*($G$10-$E$10)*($G$10-$F$10))))</f>
        <v>1.02868602994394</v>
      </c>
      <c r="G800" s="52" t="n">
        <f aca="false">IF($G$11=$E$11,$F$11,IF(U800&lt;($F$11-$E$11)/($G$11-$E$11),$E$11+SQRT(U800*($G$11-$E$11)*($F$11-$E$11)),$G$11-SQRT((1-U800)*($G$11-$E$11)*($G$11-$F$11))))</f>
        <v>0.110704894490064</v>
      </c>
      <c r="H800" s="53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-2057372059.88788</v>
      </c>
      <c r="I800" s="53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-29983070.4140269</v>
      </c>
      <c r="J800" s="53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233782733.722391</v>
      </c>
      <c r="K800" s="53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548982839.356006</v>
      </c>
      <c r="L800" s="53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666846118.152089</v>
      </c>
      <c r="M800" s="53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831523510.613782</v>
      </c>
      <c r="N800" s="53" t="n">
        <f aca="false">IF(COUNT('Business Case'!B11:G11)=0,"",H800+NPV(G800,I800:M800))</f>
        <v>-564153396.70284</v>
      </c>
      <c r="P800" s="54" t="n">
        <f aca="true">RAND()</f>
        <v>0.522206781237714</v>
      </c>
      <c r="Q800" s="54" t="n">
        <f aca="true">RAND()</f>
        <v>0.230582507221878</v>
      </c>
      <c r="R800" s="54" t="n">
        <f aca="true">RAND()</f>
        <v>0.254807164716242</v>
      </c>
      <c r="S800" s="54" t="n">
        <f aca="true">RAND()</f>
        <v>0.593271268866233</v>
      </c>
      <c r="T800" s="54" t="n">
        <f aca="true">RAND()</f>
        <v>0.346935022107015</v>
      </c>
      <c r="U800" s="54" t="n">
        <f aca="true">RAND()</f>
        <v>0.751799268906965</v>
      </c>
    </row>
    <row r="801" customFormat="false" ht="15" hidden="false" customHeight="false" outlineLevel="0" collapsed="false">
      <c r="A801" s="50" t="n">
        <v>721</v>
      </c>
      <c r="B801" s="51" t="n">
        <f aca="false">1+IF($G$6=$E$6,$F$6,IF(P801&lt;($F$6-$E$6)/($G$6-$E$6),$E$6+SQRT(P801*($G$6-$E$6)*($F$6-$E$6)),$G$6-SQRT((1-P801)*($G$6-$E$6)*($G$6-$F$6))))</f>
        <v>1.00776312073182</v>
      </c>
      <c r="C801" s="51" t="n">
        <f aca="false">1+IF($G$7=$E$7,$F$7,IF(Q801&lt;($F$7-$E$7)/($G$7-$E$7),$E$7+SQRT(Q801*($G$7-$E$7)*($F$7-$E$7)),$G$7-SQRT((1-Q801)*($G$7-$E$7)*($G$7-$F$7))))</f>
        <v>1.04609554062601</v>
      </c>
      <c r="D801" s="51" t="n">
        <f aca="false">1+IF($G$8=$E$8,$F$8,IF(R801&lt;($F$8-$E$8)/($G$8-$E$8),$E$8+SQRT(R801*($G$8-$E$8)*($F$8-$E$8)),$G$8-SQRT((1-R801)*($G$8-$E$8)*($G$8-$F$8))))</f>
        <v>1.00719496992546</v>
      </c>
      <c r="E801" s="51" t="n">
        <f aca="false">1+IF($G$9=$E$9,$F$9,IF(S801&lt;($F$9-$E$9)/($G$9-$E$9),$E$9+SQRT(S801*($G$9-$E$9)*($F$9-$E$9)),$G$9-SQRT((1-S801)*($G$9-$E$9)*($G$9-$F$9))))</f>
        <v>1.0596062029916</v>
      </c>
      <c r="F801" s="51" t="n">
        <f aca="false">1+IF($G$10=$E$10,$F$10,IF(T801&lt;($F$10-$E$10)/($G$10-$E$10),$E$10+SQRT(T801*($G$10-$E$10)*($F$10-$E$10)),$G$10-SQRT((1-T801)*($G$10-$E$10)*($G$10-$F$10))))</f>
        <v>0.984190206046535</v>
      </c>
      <c r="G801" s="52" t="n">
        <f aca="false">IF($G$11=$E$11,$F$11,IF(U801&lt;($F$11-$E$11)/($G$11-$E$11),$E$11+SQRT(U801*($G$11-$E$11)*($F$11-$E$11)),$G$11-SQRT((1-U801)*($G$11-$E$11)*($G$11-$F$11))))</f>
        <v>0.0836481993341044</v>
      </c>
      <c r="H801" s="53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-1968380412.09307</v>
      </c>
      <c r="I801" s="53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20363356.609818</v>
      </c>
      <c r="J801" s="53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344472319.592094</v>
      </c>
      <c r="K801" s="53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717790792.876696</v>
      </c>
      <c r="L801" s="53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862260836.339054</v>
      </c>
      <c r="M801" s="53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1062646309.91451</v>
      </c>
      <c r="N801" s="53" t="n">
        <f aca="false">IF(COUNT('Business Case'!B11:G11)=0,"",H801+NPV(G801,I801:M801))</f>
        <v>244247976.830196</v>
      </c>
      <c r="P801" s="54" t="n">
        <f aca="true">RAND()</f>
        <v>0.762139470624667</v>
      </c>
      <c r="Q801" s="54" t="n">
        <f aca="true">RAND()</f>
        <v>0.840057234402954</v>
      </c>
      <c r="R801" s="54" t="n">
        <f aca="true">RAND()</f>
        <v>0.425815092857571</v>
      </c>
      <c r="S801" s="54" t="n">
        <f aca="true">RAND()</f>
        <v>0.782105638997443</v>
      </c>
      <c r="T801" s="54" t="n">
        <f aca="true">RAND()</f>
        <v>0.0779313459669694</v>
      </c>
      <c r="U801" s="54" t="n">
        <f aca="true">RAND()</f>
        <v>0.0133093583813594</v>
      </c>
    </row>
    <row r="802" customFormat="false" ht="15" hidden="false" customHeight="false" outlineLevel="0" collapsed="false">
      <c r="A802" s="50" t="n">
        <v>722</v>
      </c>
      <c r="B802" s="51" t="n">
        <f aca="false">1+IF($G$6=$E$6,$F$6,IF(P802&lt;($F$6-$E$6)/($G$6-$E$6),$E$6+SQRT(P802*($G$6-$E$6)*($F$6-$E$6)),$G$6-SQRT((1-P802)*($G$6-$E$6)*($G$6-$F$6))))</f>
        <v>1.01587701630531</v>
      </c>
      <c r="C802" s="51" t="n">
        <f aca="false">1+IF($G$7=$E$7,$F$7,IF(Q802&lt;($F$7-$E$7)/($G$7-$E$7),$E$7+SQRT(Q802*($G$7-$E$7)*($F$7-$E$7)),$G$7-SQRT((1-Q802)*($G$7-$E$7)*($G$7-$F$7))))</f>
        <v>1.08144694259431</v>
      </c>
      <c r="D802" s="51" t="n">
        <f aca="false">1+IF($G$8=$E$8,$F$8,IF(R802&lt;($F$8-$E$8)/($G$8-$E$8),$E$8+SQRT(R802*($G$8-$E$8)*($F$8-$E$8)),$G$8-SQRT((1-R802)*($G$8-$E$8)*($G$8-$F$8))))</f>
        <v>0.988261849131604</v>
      </c>
      <c r="E802" s="51" t="n">
        <f aca="false">1+IF($G$9=$E$9,$F$9,IF(S802&lt;($F$9-$E$9)/($G$9-$E$9),$E$9+SQRT(S802*($G$9-$E$9)*($F$9-$E$9)),$G$9-SQRT((1-S802)*($G$9-$E$9)*($G$9-$F$9))))</f>
        <v>1.01205946886416</v>
      </c>
      <c r="F802" s="51" t="n">
        <f aca="false">1+IF($G$10=$E$10,$F$10,IF(T802&lt;($F$10-$E$10)/($G$10-$E$10),$E$10+SQRT(T802*($G$10-$E$10)*($F$10-$E$10)),$G$10-SQRT((1-T802)*($G$10-$E$10)*($G$10-$F$10))))</f>
        <v>1.17591585174575</v>
      </c>
      <c r="G802" s="52" t="n">
        <f aca="false">IF($G$11=$E$11,$F$11,IF(U802&lt;($F$11-$E$11)/($G$11-$E$11),$E$11+SQRT(U802*($G$11-$E$11)*($F$11-$E$11)),$G$11-SQRT((1-U802)*($G$11-$E$11)*($G$11-$F$11))))</f>
        <v>0.0958432300960419</v>
      </c>
      <c r="H802" s="53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-2351831703.4915</v>
      </c>
      <c r="I802" s="53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34271837.651422</v>
      </c>
      <c r="J802" s="53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387002427.068399</v>
      </c>
      <c r="K802" s="53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798528809.072664</v>
      </c>
      <c r="L802" s="53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954073878.957321</v>
      </c>
      <c r="M802" s="53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1162899016.05848</v>
      </c>
      <c r="N802" s="53" t="n">
        <f aca="false">IF(COUNT('Business Case'!B11:G11)=0,"",H802+NPV(G802,I802:M802))</f>
        <v>5966976.10359049</v>
      </c>
      <c r="P802" s="54" t="n">
        <f aca="true">RAND()</f>
        <v>0.844749597836292</v>
      </c>
      <c r="Q802" s="54" t="n">
        <f aca="true">RAND()</f>
        <v>0.930377456597504</v>
      </c>
      <c r="R802" s="54" t="n">
        <f aca="true">RAND()</f>
        <v>0.195195879862618</v>
      </c>
      <c r="S802" s="54" t="n">
        <f aca="true">RAND()</f>
        <v>0.492597596532297</v>
      </c>
      <c r="T802" s="54" t="n">
        <f aca="true">RAND()</f>
        <v>0.926820519699231</v>
      </c>
      <c r="U802" s="54" t="n">
        <f aca="true">RAND()</f>
        <v>0.251007939876127</v>
      </c>
    </row>
    <row r="803" customFormat="false" ht="15" hidden="false" customHeight="false" outlineLevel="0" collapsed="false">
      <c r="A803" s="50" t="n">
        <v>723</v>
      </c>
      <c r="B803" s="51" t="n">
        <f aca="false">1+IF($G$6=$E$6,$F$6,IF(P803&lt;($F$6-$E$6)/($G$6-$E$6),$E$6+SQRT(P803*($G$6-$E$6)*($F$6-$E$6)),$G$6-SQRT((1-P803)*($G$6-$E$6)*($G$6-$F$6))))</f>
        <v>0.93652607834071</v>
      </c>
      <c r="C803" s="51" t="n">
        <f aca="false">1+IF($G$7=$E$7,$F$7,IF(Q803&lt;($F$7-$E$7)/($G$7-$E$7),$E$7+SQRT(Q803*($G$7-$E$7)*($F$7-$E$7)),$G$7-SQRT((1-Q803)*($G$7-$E$7)*($G$7-$F$7))))</f>
        <v>1.02725423982851</v>
      </c>
      <c r="D803" s="51" t="n">
        <f aca="false">1+IF($G$8=$E$8,$F$8,IF(R803&lt;($F$8-$E$8)/($G$8-$E$8),$E$8+SQRT(R803*($G$8-$E$8)*($F$8-$E$8)),$G$8-SQRT((1-R803)*($G$8-$E$8)*($G$8-$F$8))))</f>
        <v>0.998547438407927</v>
      </c>
      <c r="E803" s="51" t="n">
        <f aca="false">1+IF($G$9=$E$9,$F$9,IF(S803&lt;($F$9-$E$9)/($G$9-$E$9),$E$9+SQRT(S803*($G$9-$E$9)*($F$9-$E$9)),$G$9-SQRT((1-S803)*($G$9-$E$9)*($G$9-$F$9))))</f>
        <v>1.02712717747952</v>
      </c>
      <c r="F803" s="51" t="n">
        <f aca="false">1+IF($G$10=$E$10,$F$10,IF(T803&lt;($F$10-$E$10)/($G$10-$E$10),$E$10+SQRT(T803*($G$10-$E$10)*($F$10-$E$10)),$G$10-SQRT((1-T803)*($G$10-$E$10)*($G$10-$F$10))))</f>
        <v>1.04060537322615</v>
      </c>
      <c r="G803" s="52" t="n">
        <f aca="false">IF($G$11=$E$11,$F$11,IF(U803&lt;($F$11-$E$11)/($G$11-$E$11),$E$11+SQRT(U803*($G$11-$E$11)*($F$11-$E$11)),$G$11-SQRT((1-U803)*($G$11-$E$11)*($G$11-$F$11))))</f>
        <v>0.111181909005346</v>
      </c>
      <c r="H803" s="53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-2081210746.45229</v>
      </c>
      <c r="I803" s="53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-37110310.2145381</v>
      </c>
      <c r="J803" s="53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225770093.47322</v>
      </c>
      <c r="K803" s="53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540680765.822285</v>
      </c>
      <c r="L803" s="53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661556028.346267</v>
      </c>
      <c r="M803" s="53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844422565.467278</v>
      </c>
      <c r="N803" s="53" t="n">
        <f aca="false">IF(COUNT('Business Case'!B11:G11)=0,"",H803+NPV(G803,I803:M803))</f>
        <v>-605275925.542821</v>
      </c>
      <c r="P803" s="54" t="n">
        <f aca="true">RAND()</f>
        <v>0.0889436265967805</v>
      </c>
      <c r="Q803" s="54" t="n">
        <f aca="true">RAND()</f>
        <v>0.776792271998842</v>
      </c>
      <c r="R803" s="54" t="n">
        <f aca="true">RAND()</f>
        <v>0.314247170129526</v>
      </c>
      <c r="S803" s="54" t="n">
        <f aca="true">RAND()</f>
        <v>0.597393852955989</v>
      </c>
      <c r="T803" s="54" t="n">
        <f aca="true">RAND()</f>
        <v>0.415385203709848</v>
      </c>
      <c r="U803" s="54" t="n">
        <f aca="true">RAND()</f>
        <v>0.763919634211279</v>
      </c>
    </row>
    <row r="804" customFormat="false" ht="15" hidden="false" customHeight="false" outlineLevel="0" collapsed="false">
      <c r="A804" s="50" t="n">
        <v>724</v>
      </c>
      <c r="B804" s="51" t="n">
        <f aca="false">1+IF($G$6=$E$6,$F$6,IF(P804&lt;($F$6-$E$6)/($G$6-$E$6),$E$6+SQRT(P804*($G$6-$E$6)*($F$6-$E$6)),$G$6-SQRT((1-P804)*($G$6-$E$6)*($G$6-$F$6))))</f>
        <v>0.98309696351305</v>
      </c>
      <c r="C804" s="51" t="n">
        <f aca="false">1+IF($G$7=$E$7,$F$7,IF(Q804&lt;($F$7-$E$7)/($G$7-$E$7),$E$7+SQRT(Q804*($G$7-$E$7)*($F$7-$E$7)),$G$7-SQRT((1-Q804)*($G$7-$E$7)*($G$7-$F$7))))</f>
        <v>0.9450763334703</v>
      </c>
      <c r="D804" s="51" t="n">
        <f aca="false">1+IF($G$8=$E$8,$F$8,IF(R804&lt;($F$8-$E$8)/($G$8-$E$8),$E$8+SQRT(R804*($G$8-$E$8)*($F$8-$E$8)),$G$8-SQRT((1-R804)*($G$8-$E$8)*($G$8-$F$8))))</f>
        <v>1.05753041736825</v>
      </c>
      <c r="E804" s="51" t="n">
        <f aca="false">1+IF($G$9=$E$9,$F$9,IF(S804&lt;($F$9-$E$9)/($G$9-$E$9),$E$9+SQRT(S804*($G$9-$E$9)*($F$9-$E$9)),$G$9-SQRT((1-S804)*($G$9-$E$9)*($G$9-$F$9))))</f>
        <v>0.989437619517301</v>
      </c>
      <c r="F804" s="51" t="n">
        <f aca="false">1+IF($G$10=$E$10,$F$10,IF(T804&lt;($F$10-$E$10)/($G$10-$E$10),$E$10+SQRT(T804*($G$10-$E$10)*($F$10-$E$10)),$G$10-SQRT((1-T804)*($G$10-$E$10)*($G$10-$F$10))))</f>
        <v>0.97219923996167</v>
      </c>
      <c r="G804" s="52" t="n">
        <f aca="false">IF($G$11=$E$11,$F$11,IF(U804&lt;($F$11-$E$11)/($G$11-$E$11),$E$11+SQRT(U804*($G$11-$E$11)*($F$11-$E$11)),$G$11-SQRT((1-U804)*($G$11-$E$11)*($G$11-$F$11))))</f>
        <v>0.0909201056909634</v>
      </c>
      <c r="H804" s="53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-1944398479.92334</v>
      </c>
      <c r="I804" s="53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-36718310.7227712</v>
      </c>
      <c r="J804" s="53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212645962.811769</v>
      </c>
      <c r="K804" s="53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510620198.344393</v>
      </c>
      <c r="L804" s="53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625851376.699763</v>
      </c>
      <c r="M804" s="53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802455022.840974</v>
      </c>
      <c r="N804" s="53" t="n">
        <f aca="false">IF(COUNT('Business Case'!B11:G11)=0,"",H804+NPV(G804,I804:M804))</f>
        <v>-444862848.485398</v>
      </c>
      <c r="P804" s="54" t="n">
        <f aca="true">RAND()</f>
        <v>0.460340356339283</v>
      </c>
      <c r="Q804" s="54" t="n">
        <f aca="true">RAND()</f>
        <v>0.444906735016634</v>
      </c>
      <c r="R804" s="54" t="n">
        <f aca="true">RAND()</f>
        <v>0.879755636739007</v>
      </c>
      <c r="S804" s="54" t="n">
        <f aca="true">RAND()</f>
        <v>0.319963511396859</v>
      </c>
      <c r="T804" s="54" t="n">
        <f aca="true">RAND()</f>
        <v>0.0328537503250538</v>
      </c>
      <c r="U804" s="54" t="n">
        <f aca="true">RAND()</f>
        <v>0.11924870830181</v>
      </c>
    </row>
    <row r="805" customFormat="false" ht="15" hidden="false" customHeight="false" outlineLevel="0" collapsed="false">
      <c r="A805" s="50" t="n">
        <v>725</v>
      </c>
      <c r="B805" s="51" t="n">
        <f aca="false">1+IF($G$6=$E$6,$F$6,IF(P805&lt;($F$6-$E$6)/($G$6-$E$6),$E$6+SQRT(P805*($G$6-$E$6)*($F$6-$E$6)),$G$6-SQRT((1-P805)*($G$6-$E$6)*($G$6-$F$6))))</f>
        <v>0.951462695645767</v>
      </c>
      <c r="C805" s="51" t="n">
        <f aca="false">1+IF($G$7=$E$7,$F$7,IF(Q805&lt;($F$7-$E$7)/($G$7-$E$7),$E$7+SQRT(Q805*($G$7-$E$7)*($F$7-$E$7)),$G$7-SQRT((1-Q805)*($G$7-$E$7)*($G$7-$F$7))))</f>
        <v>0.905201253088725</v>
      </c>
      <c r="D805" s="51" t="n">
        <f aca="false">1+IF($G$8=$E$8,$F$8,IF(R805&lt;($F$8-$E$8)/($G$8-$E$8),$E$8+SQRT(R805*($G$8-$E$8)*($F$8-$E$8)),$G$8-SQRT((1-R805)*($G$8-$E$8)*($G$8-$F$8))))</f>
        <v>1.00655408453261</v>
      </c>
      <c r="E805" s="51" t="n">
        <f aca="false">1+IF($G$9=$E$9,$F$9,IF(S805&lt;($F$9-$E$9)/($G$9-$E$9),$E$9+SQRT(S805*($G$9-$E$9)*($F$9-$E$9)),$G$9-SQRT((1-S805)*($G$9-$E$9)*($G$9-$F$9))))</f>
        <v>0.973299171103527</v>
      </c>
      <c r="F805" s="51" t="n">
        <f aca="false">1+IF($G$10=$E$10,$F$10,IF(T805&lt;($F$10-$E$10)/($G$10-$E$10),$E$10+SQRT(T805*($G$10-$E$10)*($F$10-$E$10)),$G$10-SQRT((1-T805)*($G$10-$E$10)*($G$10-$F$10))))</f>
        <v>1.01104699587783</v>
      </c>
      <c r="G805" s="52" t="n">
        <f aca="false">IF($G$11=$E$11,$F$11,IF(U805&lt;($F$11-$E$11)/($G$11-$E$11),$E$11+SQRT(U805*($G$11-$E$11)*($F$11-$E$11)),$G$11-SQRT((1-U805)*($G$11-$E$11)*($G$11-$F$11))))</f>
        <v>0.100655243967682</v>
      </c>
      <c r="H805" s="53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-2022093991.75567</v>
      </c>
      <c r="I805" s="53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-45145327.910344</v>
      </c>
      <c r="J805" s="53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193865175.129136</v>
      </c>
      <c r="K805" s="53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483428027.962508</v>
      </c>
      <c r="L805" s="53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592863521.796414</v>
      </c>
      <c r="M805" s="53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756572815.643851</v>
      </c>
      <c r="N805" s="53" t="n">
        <f aca="false">IF(COUNT('Business Case'!B11:G11)=0,"",H805+NPV(G805,I805:M805))</f>
        <v>-668178086.517652</v>
      </c>
      <c r="P805" s="54" t="n">
        <f aca="true">RAND()</f>
        <v>0.176560602875259</v>
      </c>
      <c r="Q805" s="54" t="n">
        <f aca="true">RAND()</f>
        <v>0.311907809401354</v>
      </c>
      <c r="R805" s="54" t="n">
        <f aca="true">RAND()</f>
        <v>0.417857392164093</v>
      </c>
      <c r="S805" s="54" t="n">
        <f aca="true">RAND()</f>
        <v>0.214910739378565</v>
      </c>
      <c r="T805" s="54" t="n">
        <f aca="true">RAND()</f>
        <v>0.238686157613222</v>
      </c>
      <c r="U805" s="54" t="n">
        <f aca="true">RAND()</f>
        <v>0.425923528935816</v>
      </c>
    </row>
    <row r="806" customFormat="false" ht="15" hidden="false" customHeight="false" outlineLevel="0" collapsed="false">
      <c r="A806" s="50" t="n">
        <v>726</v>
      </c>
      <c r="B806" s="51" t="n">
        <f aca="false">1+IF($G$6=$E$6,$F$6,IF(P806&lt;($F$6-$E$6)/($G$6-$E$6),$E$6+SQRT(P806*($G$6-$E$6)*($F$6-$E$6)),$G$6-SQRT((1-P806)*($G$6-$E$6)*($G$6-$F$6))))</f>
        <v>0.999206637579354</v>
      </c>
      <c r="C806" s="51" t="n">
        <f aca="false">1+IF($G$7=$E$7,$F$7,IF(Q806&lt;($F$7-$E$7)/($G$7-$E$7),$E$7+SQRT(Q806*($G$7-$E$7)*($F$7-$E$7)),$G$7-SQRT((1-Q806)*($G$7-$E$7)*($G$7-$F$7))))</f>
        <v>0.974755839400201</v>
      </c>
      <c r="D806" s="51" t="n">
        <f aca="false">1+IF($G$8=$E$8,$F$8,IF(R806&lt;($F$8-$E$8)/($G$8-$E$8),$E$8+SQRT(R806*($G$8-$E$8)*($F$8-$E$8)),$G$8-SQRT((1-R806)*($G$8-$E$8)*($G$8-$F$8))))</f>
        <v>1.00256903954848</v>
      </c>
      <c r="E806" s="51" t="n">
        <f aca="false">1+IF($G$9=$E$9,$F$9,IF(S806&lt;($F$9-$E$9)/($G$9-$E$9),$E$9+SQRT(S806*($G$9-$E$9)*($F$9-$E$9)),$G$9-SQRT((1-S806)*($G$9-$E$9)*($G$9-$F$9))))</f>
        <v>1.0984388729112</v>
      </c>
      <c r="F806" s="51" t="n">
        <f aca="false">1+IF($G$10=$E$10,$F$10,IF(T806&lt;($F$10-$E$10)/($G$10-$E$10),$E$10+SQRT(T806*($G$10-$E$10)*($F$10-$E$10)),$G$10-SQRT((1-T806)*($G$10-$E$10)*($G$10-$F$10))))</f>
        <v>1.15231565079474</v>
      </c>
      <c r="G806" s="52" t="n">
        <f aca="false">IF($G$11=$E$11,$F$11,IF(U806&lt;($F$11-$E$11)/($G$11-$E$11),$E$11+SQRT(U806*($G$11-$E$11)*($F$11-$E$11)),$G$11-SQRT((1-U806)*($G$11-$E$11)*($G$11-$F$11))))</f>
        <v>0.101992719671566</v>
      </c>
      <c r="H806" s="53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-2304631301.58949</v>
      </c>
      <c r="I806" s="53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-24437980.0819236</v>
      </c>
      <c r="J806" s="53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273044865.689732</v>
      </c>
      <c r="K806" s="53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628143494.001124</v>
      </c>
      <c r="L806" s="53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760965277.955763</v>
      </c>
      <c r="M806" s="53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946099872.458247</v>
      </c>
      <c r="N806" s="53" t="n">
        <f aca="false">IF(COUNT('Business Case'!B11:G11)=0,"",H806+NPV(G806,I806:M806))</f>
        <v>-534426353.943887</v>
      </c>
      <c r="P806" s="54" t="n">
        <f aca="true">RAND()</f>
        <v>0.656130462653416</v>
      </c>
      <c r="Q806" s="54" t="n">
        <f aca="true">RAND()</f>
        <v>0.55919089840377</v>
      </c>
      <c r="R806" s="54" t="n">
        <f aca="true">RAND()</f>
        <v>0.367147196366258</v>
      </c>
      <c r="S806" s="54" t="n">
        <f aca="true">RAND()</f>
        <v>0.929105337955533</v>
      </c>
      <c r="T806" s="54" t="n">
        <f aca="true">RAND()</f>
        <v>0.87277023893794</v>
      </c>
      <c r="U806" s="54" t="n">
        <f aca="true">RAND()</f>
        <v>0.477061499069684</v>
      </c>
    </row>
    <row r="807" customFormat="false" ht="15" hidden="false" customHeight="false" outlineLevel="0" collapsed="false">
      <c r="A807" s="50" t="n">
        <v>727</v>
      </c>
      <c r="B807" s="51" t="n">
        <f aca="false">1+IF($G$6=$E$6,$F$6,IF(P807&lt;($F$6-$E$6)/($G$6-$E$6),$E$6+SQRT(P807*($G$6-$E$6)*($F$6-$E$6)),$G$6-SQRT((1-P807)*($G$6-$E$6)*($G$6-$F$6))))</f>
        <v>0.991005767073056</v>
      </c>
      <c r="C807" s="51" t="n">
        <f aca="false">1+IF($G$7=$E$7,$F$7,IF(Q807&lt;($F$7-$E$7)/($G$7-$E$7),$E$7+SQRT(Q807*($G$7-$E$7)*($F$7-$E$7)),$G$7-SQRT((1-Q807)*($G$7-$E$7)*($G$7-$F$7))))</f>
        <v>0.90737793503784</v>
      </c>
      <c r="D807" s="51" t="n">
        <f aca="false">1+IF($G$8=$E$8,$F$8,IF(R807&lt;($F$8-$E$8)/($G$8-$E$8),$E$8+SQRT(R807*($G$8-$E$8)*($F$8-$E$8)),$G$8-SQRT((1-R807)*($G$8-$E$8)*($G$8-$F$8))))</f>
        <v>1.043556551923</v>
      </c>
      <c r="E807" s="51" t="n">
        <f aca="false">1+IF($G$9=$E$9,$F$9,IF(S807&lt;($F$9-$E$9)/($G$9-$E$9),$E$9+SQRT(S807*($G$9-$E$9)*($F$9-$E$9)),$G$9-SQRT((1-S807)*($G$9-$E$9)*($G$9-$F$9))))</f>
        <v>0.997371126103234</v>
      </c>
      <c r="F807" s="51" t="n">
        <f aca="false">1+IF($G$10=$E$10,$F$10,IF(T807&lt;($F$10-$E$10)/($G$10-$E$10),$E$10+SQRT(T807*($G$10-$E$10)*($F$10-$E$10)),$G$10-SQRT((1-T807)*($G$10-$E$10)*($G$10-$F$10))))</f>
        <v>1.02520572512399</v>
      </c>
      <c r="G807" s="52" t="n">
        <f aca="false">IF($G$11=$E$11,$F$11,IF(U807&lt;($F$11-$E$11)/($G$11-$E$11),$E$11+SQRT(U807*($G$11-$E$11)*($F$11-$E$11)),$G$11-SQRT((1-U807)*($G$11-$E$11)*($G$11-$F$11))))</f>
        <v>0.121044846519302</v>
      </c>
      <c r="H807" s="53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-2050411450.24799</v>
      </c>
      <c r="I807" s="53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-39176013.2648666</v>
      </c>
      <c r="J807" s="53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212610117.291842</v>
      </c>
      <c r="K807" s="53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515656534.10475</v>
      </c>
      <c r="L807" s="53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630662175.74185</v>
      </c>
      <c r="M807" s="53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801585298.725267</v>
      </c>
      <c r="N807" s="53" t="n">
        <f aca="false">IF(COUNT('Business Case'!B11:G11)=0,"",H807+NPV(G807,I807:M807))</f>
        <v>-698142480.745779</v>
      </c>
      <c r="P807" s="54" t="n">
        <f aca="true">RAND()</f>
        <v>0.552136642703687</v>
      </c>
      <c r="Q807" s="54" t="n">
        <f aca="true">RAND()</f>
        <v>0.318560058818953</v>
      </c>
      <c r="R807" s="54" t="n">
        <f aca="true">RAND()</f>
        <v>0.787609144611917</v>
      </c>
      <c r="S807" s="54" t="n">
        <f aca="true">RAND()</f>
        <v>0.379245447944477</v>
      </c>
      <c r="T807" s="54" t="n">
        <f aca="true">RAND()</f>
        <v>0.326233786439606</v>
      </c>
      <c r="U807" s="54" t="n">
        <f aca="true">RAND()</f>
        <v>0.946536817424764</v>
      </c>
    </row>
    <row r="808" customFormat="false" ht="15" hidden="false" customHeight="false" outlineLevel="0" collapsed="false">
      <c r="A808" s="50" t="n">
        <v>728</v>
      </c>
      <c r="B808" s="51" t="n">
        <f aca="false">1+IF($G$6=$E$6,$F$6,IF(P808&lt;($F$6-$E$6)/($G$6-$E$6),$E$6+SQRT(P808*($G$6-$E$6)*($F$6-$E$6)),$G$6-SQRT((1-P808)*($G$6-$E$6)*($G$6-$F$6))))</f>
        <v>1.02885856101714</v>
      </c>
      <c r="C808" s="51" t="n">
        <f aca="false">1+IF($G$7=$E$7,$F$7,IF(Q808&lt;($F$7-$E$7)/($G$7-$E$7),$E$7+SQRT(Q808*($G$7-$E$7)*($F$7-$E$7)),$G$7-SQRT((1-Q808)*($G$7-$E$7)*($G$7-$F$7))))</f>
        <v>1.00323252988384</v>
      </c>
      <c r="D808" s="51" t="n">
        <f aca="false">1+IF($G$8=$E$8,$F$8,IF(R808&lt;($F$8-$E$8)/($G$8-$E$8),$E$8+SQRT(R808*($G$8-$E$8)*($F$8-$E$8)),$G$8-SQRT((1-R808)*($G$8-$E$8)*($G$8-$F$8))))</f>
        <v>1.03634398035033</v>
      </c>
      <c r="E808" s="51" t="n">
        <f aca="false">1+IF($G$9=$E$9,$F$9,IF(S808&lt;($F$9-$E$9)/($G$9-$E$9),$E$9+SQRT(S808*($G$9-$E$9)*($F$9-$E$9)),$G$9-SQRT((1-S808)*($G$9-$E$9)*($G$9-$F$9))))</f>
        <v>0.952153336427591</v>
      </c>
      <c r="F808" s="51" t="n">
        <f aca="false">1+IF($G$10=$E$10,$F$10,IF(T808&lt;($F$10-$E$10)/($G$10-$E$10),$E$10+SQRT(T808*($G$10-$E$10)*($F$10-$E$10)),$G$10-SQRT((1-T808)*($G$10-$E$10)*($G$10-$F$10))))</f>
        <v>1.15156378751294</v>
      </c>
      <c r="G808" s="52" t="n">
        <f aca="false">IF($G$11=$E$11,$F$11,IF(U808&lt;($F$11-$E$11)/($G$11-$E$11),$E$11+SQRT(U808*($G$11-$E$11)*($F$11-$E$11)),$G$11-SQRT((1-U808)*($G$11-$E$11)*($G$11-$F$11))))</f>
        <v>0.085225860594036</v>
      </c>
      <c r="H808" s="53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-2303127575.02589</v>
      </c>
      <c r="I808" s="53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9132151.77287978</v>
      </c>
      <c r="J808" s="53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322325324.843945</v>
      </c>
      <c r="K808" s="53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693096687.290658</v>
      </c>
      <c r="L808" s="53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833166703.718938</v>
      </c>
      <c r="M808" s="53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1029364310.11086</v>
      </c>
      <c r="N808" s="53" t="n">
        <f aca="false">IF(COUNT('Business Case'!B11:G11)=0,"",H808+NPV(G808,I808:M808))</f>
        <v>-194180046.721762</v>
      </c>
      <c r="P808" s="54" t="n">
        <f aca="true">RAND()</f>
        <v>0.940405274364523</v>
      </c>
      <c r="Q808" s="54" t="n">
        <f aca="true">RAND()</f>
        <v>0.680878662454853</v>
      </c>
      <c r="R808" s="54" t="n">
        <f aca="true">RAND()</f>
        <v>0.729860744157364</v>
      </c>
      <c r="S808" s="54" t="n">
        <f aca="true">RAND()</f>
        <v>0.108798820021179</v>
      </c>
      <c r="T808" s="54" t="n">
        <f aca="true">RAND()</f>
        <v>0.870804160949376</v>
      </c>
      <c r="U808" s="54" t="n">
        <f aca="true">RAND()</f>
        <v>0.0273096189482978</v>
      </c>
    </row>
    <row r="809" customFormat="false" ht="15" hidden="false" customHeight="false" outlineLevel="0" collapsed="false">
      <c r="A809" s="50" t="n">
        <v>729</v>
      </c>
      <c r="B809" s="51" t="n">
        <f aca="false">1+IF($G$6=$E$6,$F$6,IF(P809&lt;($F$6-$E$6)/($G$6-$E$6),$E$6+SQRT(P809*($G$6-$E$6)*($F$6-$E$6)),$G$6-SQRT((1-P809)*($G$6-$E$6)*($G$6-$F$6))))</f>
        <v>1.00302524276347</v>
      </c>
      <c r="C809" s="51" t="n">
        <f aca="false">1+IF($G$7=$E$7,$F$7,IF(Q809&lt;($F$7-$E$7)/($G$7-$E$7),$E$7+SQRT(Q809*($G$7-$E$7)*($F$7-$E$7)),$G$7-SQRT((1-Q809)*($G$7-$E$7)*($G$7-$F$7))))</f>
        <v>0.920284311819996</v>
      </c>
      <c r="D809" s="51" t="n">
        <f aca="false">1+IF($G$8=$E$8,$F$8,IF(R809&lt;($F$8-$E$8)/($G$8-$E$8),$E$8+SQRT(R809*($G$8-$E$8)*($F$8-$E$8)),$G$8-SQRT((1-R809)*($G$8-$E$8)*($G$8-$F$8))))</f>
        <v>0.990317501798431</v>
      </c>
      <c r="E809" s="51" t="n">
        <f aca="false">1+IF($G$9=$E$9,$F$9,IF(S809&lt;($F$9-$E$9)/($G$9-$E$9),$E$9+SQRT(S809*($G$9-$E$9)*($F$9-$E$9)),$G$9-SQRT((1-S809)*($G$9-$E$9)*($G$9-$F$9))))</f>
        <v>0.963451328166722</v>
      </c>
      <c r="F809" s="51" t="n">
        <f aca="false">1+IF($G$10=$E$10,$F$10,IF(T809&lt;($F$10-$E$10)/($G$10-$E$10),$E$10+SQRT(T809*($G$10-$E$10)*($F$10-$E$10)),$G$10-SQRT((1-T809)*($G$10-$E$10)*($G$10-$F$10))))</f>
        <v>1.00519313122426</v>
      </c>
      <c r="G809" s="52" t="n">
        <f aca="false">IF($G$11=$E$11,$F$11,IF(U809&lt;($F$11-$E$11)/($G$11-$E$11),$E$11+SQRT(U809*($G$11-$E$11)*($F$11-$E$11)),$G$11-SQRT((1-U809)*($G$11-$E$11)*($G$11-$F$11))))</f>
        <v>0.0985786949970373</v>
      </c>
      <c r="H809" s="53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-2010386262.44852</v>
      </c>
      <c r="I809" s="53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4135114.70804173</v>
      </c>
      <c r="J809" s="53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293644187.014856</v>
      </c>
      <c r="K809" s="53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633412915.882883</v>
      </c>
      <c r="L809" s="53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761817183.725847</v>
      </c>
      <c r="M809" s="53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937274024.299655</v>
      </c>
      <c r="N809" s="53" t="n">
        <f aca="false">IF(COUNT('Business Case'!B11:G11)=0,"",H809+NPV(G809,I809:M809))</f>
        <v>-176793494.384629</v>
      </c>
      <c r="P809" s="54" t="n">
        <f aca="true">RAND()</f>
        <v>0.705782957675843</v>
      </c>
      <c r="Q809" s="54" t="n">
        <f aca="true">RAND()</f>
        <v>0.359445763214882</v>
      </c>
      <c r="R809" s="54" t="n">
        <f aca="true">RAND()</f>
        <v>0.216733460168861</v>
      </c>
      <c r="S809" s="54" t="n">
        <f aca="true">RAND()</f>
        <v>0.161042841844841</v>
      </c>
      <c r="T809" s="54" t="n">
        <f aca="true">RAND()</f>
        <v>0.200927960002916</v>
      </c>
      <c r="U809" s="54" t="n">
        <f aca="true">RAND()</f>
        <v>0.34516790779294</v>
      </c>
    </row>
    <row r="810" customFormat="false" ht="15" hidden="false" customHeight="false" outlineLevel="0" collapsed="false">
      <c r="A810" s="50" t="n">
        <v>730</v>
      </c>
      <c r="B810" s="51" t="n">
        <f aca="false">1+IF($G$6=$E$6,$F$6,IF(P810&lt;($F$6-$E$6)/($G$6-$E$6),$E$6+SQRT(P810*($G$6-$E$6)*($F$6-$E$6)),$G$6-SQRT((1-P810)*($G$6-$E$6)*($G$6-$F$6))))</f>
        <v>0.974060821265594</v>
      </c>
      <c r="C810" s="51" t="n">
        <f aca="false">1+IF($G$7=$E$7,$F$7,IF(Q810&lt;($F$7-$E$7)/($G$7-$E$7),$E$7+SQRT(Q810*($G$7-$E$7)*($F$7-$E$7)),$G$7-SQRT((1-Q810)*($G$7-$E$7)*($G$7-$F$7))))</f>
        <v>0.954885544416251</v>
      </c>
      <c r="D810" s="51" t="n">
        <f aca="false">1+IF($G$8=$E$8,$F$8,IF(R810&lt;($F$8-$E$8)/($G$8-$E$8),$E$8+SQRT(R810*($G$8-$E$8)*($F$8-$E$8)),$G$8-SQRT((1-R810)*($G$8-$E$8)*($G$8-$F$8))))</f>
        <v>1.02415362685068</v>
      </c>
      <c r="E810" s="51" t="n">
        <f aca="false">1+IF($G$9=$E$9,$F$9,IF(S810&lt;($F$9-$E$9)/($G$9-$E$9),$E$9+SQRT(S810*($G$9-$E$9)*($F$9-$E$9)),$G$9-SQRT((1-S810)*($G$9-$E$9)*($G$9-$F$9))))</f>
        <v>1.07304113963922</v>
      </c>
      <c r="F810" s="51" t="n">
        <f aca="false">1+IF($G$10=$E$10,$F$10,IF(T810&lt;($F$10-$E$10)/($G$10-$E$10),$E$10+SQRT(T810*($G$10-$E$10)*($F$10-$E$10)),$G$10-SQRT((1-T810)*($G$10-$E$10)*($G$10-$F$10))))</f>
        <v>1.13440789753828</v>
      </c>
      <c r="G810" s="52" t="n">
        <f aca="false">IF($G$11=$E$11,$F$11,IF(U810&lt;($F$11-$E$11)/($G$11-$E$11),$E$11+SQRT(U810*($G$11-$E$11)*($F$11-$E$11)),$G$11-SQRT((1-U810)*($G$11-$E$11)*($G$11-$F$11))))</f>
        <v>0.0952310953343758</v>
      </c>
      <c r="H810" s="53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-2268815795.07656</v>
      </c>
      <c r="I810" s="53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-53043927.1275861</v>
      </c>
      <c r="J810" s="53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208156629.97539</v>
      </c>
      <c r="K810" s="53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526077581.95528</v>
      </c>
      <c r="L810" s="53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645289263.936296</v>
      </c>
      <c r="M810" s="53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822085826.809765</v>
      </c>
      <c r="N810" s="53" t="n">
        <f aca="false">IF(COUNT('Business Case'!B11:G11)=0,"",H810+NPV(G810,I810:M810))</f>
        <v>-773151555.594884</v>
      </c>
      <c r="P810" s="54" t="n">
        <f aca="true">RAND()</f>
        <v>0.365667016435614</v>
      </c>
      <c r="Q810" s="54" t="n">
        <f aca="true">RAND()</f>
        <v>0.481234375943473</v>
      </c>
      <c r="R810" s="54" t="n">
        <f aca="true">RAND()</f>
        <v>0.616488512006311</v>
      </c>
      <c r="S810" s="54" t="n">
        <f aca="true">RAND()</f>
        <v>0.842062234985872</v>
      </c>
      <c r="T810" s="54" t="n">
        <f aca="true">RAND()</f>
        <v>0.821846211313053</v>
      </c>
      <c r="U810" s="54" t="n">
        <f aca="true">RAND()</f>
        <v>0.231986265084844</v>
      </c>
    </row>
    <row r="811" customFormat="false" ht="15" hidden="false" customHeight="false" outlineLevel="0" collapsed="false">
      <c r="A811" s="50" t="n">
        <v>731</v>
      </c>
      <c r="B811" s="51" t="n">
        <f aca="false">1+IF($G$6=$E$6,$F$6,IF(P811&lt;($F$6-$E$6)/($G$6-$E$6),$E$6+SQRT(P811*($G$6-$E$6)*($F$6-$E$6)),$G$6-SQRT((1-P811)*($G$6-$E$6)*($G$6-$F$6))))</f>
        <v>1.00770522641615</v>
      </c>
      <c r="C811" s="51" t="n">
        <f aca="false">1+IF($G$7=$E$7,$F$7,IF(Q811&lt;($F$7-$E$7)/($G$7-$E$7),$E$7+SQRT(Q811*($G$7-$E$7)*($F$7-$E$7)),$G$7-SQRT((1-Q811)*($G$7-$E$7)*($G$7-$F$7))))</f>
        <v>1.10276926878124</v>
      </c>
      <c r="D811" s="51" t="n">
        <f aca="false">1+IF($G$8=$E$8,$F$8,IF(R811&lt;($F$8-$E$8)/($G$8-$E$8),$E$8+SQRT(R811*($G$8-$E$8)*($F$8-$E$8)),$G$8-SQRT((1-R811)*($G$8-$E$8)*($G$8-$F$8))))</f>
        <v>0.964395143149457</v>
      </c>
      <c r="E811" s="51" t="n">
        <f aca="false">1+IF($G$9=$E$9,$F$9,IF(S811&lt;($F$9-$E$9)/($G$9-$E$9),$E$9+SQRT(S811*($G$9-$E$9)*($F$9-$E$9)),$G$9-SQRT((1-S811)*($G$9-$E$9)*($G$9-$F$9))))</f>
        <v>1.03532788384617</v>
      </c>
      <c r="F811" s="51" t="n">
        <f aca="false">1+IF($G$10=$E$10,$F$10,IF(T811&lt;($F$10-$E$10)/($G$10-$E$10),$E$10+SQRT(T811*($G$10-$E$10)*($F$10-$E$10)),$G$10-SQRT((1-T811)*($G$10-$E$10)*($G$10-$F$10))))</f>
        <v>1.20335490255951</v>
      </c>
      <c r="G811" s="52" t="n">
        <f aca="false">IF($G$11=$E$11,$F$11,IF(U811&lt;($F$11-$E$11)/($G$11-$E$11),$E$11+SQRT(U811*($G$11-$E$11)*($F$11-$E$11)),$G$11-SQRT((1-U811)*($G$11-$E$11)*($G$11-$F$11))))</f>
        <v>0.102154816357367</v>
      </c>
      <c r="H811" s="53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-2406709805.11902</v>
      </c>
      <c r="I811" s="53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40610346.3543792</v>
      </c>
      <c r="J811" s="53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406387855.926188</v>
      </c>
      <c r="K811" s="53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832333110.625973</v>
      </c>
      <c r="L811" s="53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992664312.402278</v>
      </c>
      <c r="M811" s="53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1203893821.29031</v>
      </c>
      <c r="N811" s="53" t="n">
        <f aca="false">IF(COUNT('Business Case'!B11:G11)=0,"",H811+NPV(G811,I811:M811))</f>
        <v>-673365.566193104</v>
      </c>
      <c r="P811" s="54" t="n">
        <f aca="true">RAND()</f>
        <v>0.761486950332074</v>
      </c>
      <c r="Q811" s="54" t="n">
        <f aca="true">RAND()</f>
        <v>0.966951970793207</v>
      </c>
      <c r="R811" s="54" t="n">
        <f aca="true">RAND()</f>
        <v>0.027629352839115</v>
      </c>
      <c r="S811" s="54" t="n">
        <f aca="true">RAND()</f>
        <v>0.649341487381414</v>
      </c>
      <c r="T811" s="54" t="n">
        <f aca="true">RAND()</f>
        <v>0.970989798463561</v>
      </c>
      <c r="U811" s="54" t="n">
        <f aca="true">RAND()</f>
        <v>0.483097165272033</v>
      </c>
    </row>
    <row r="812" customFormat="false" ht="15" hidden="false" customHeight="false" outlineLevel="0" collapsed="false">
      <c r="A812" s="50" t="n">
        <v>732</v>
      </c>
      <c r="B812" s="51" t="n">
        <f aca="false">1+IF($G$6=$E$6,$F$6,IF(P812&lt;($F$6-$E$6)/($G$6-$E$6),$E$6+SQRT(P812*($G$6-$E$6)*($F$6-$E$6)),$G$6-SQRT((1-P812)*($G$6-$E$6)*($G$6-$F$6))))</f>
        <v>1.01505922827201</v>
      </c>
      <c r="C812" s="51" t="n">
        <f aca="false">1+IF($G$7=$E$7,$F$7,IF(Q812&lt;($F$7-$E$7)/($G$7-$E$7),$E$7+SQRT(Q812*($G$7-$E$7)*($F$7-$E$7)),$G$7-SQRT((1-Q812)*($G$7-$E$7)*($G$7-$F$7))))</f>
        <v>1.02546165109566</v>
      </c>
      <c r="D812" s="51" t="n">
        <f aca="false">1+IF($G$8=$E$8,$F$8,IF(R812&lt;($F$8-$E$8)/($G$8-$E$8),$E$8+SQRT(R812*($G$8-$E$8)*($F$8-$E$8)),$G$8-SQRT((1-R812)*($G$8-$E$8)*($G$8-$F$8))))</f>
        <v>1.05968981426567</v>
      </c>
      <c r="E812" s="51" t="n">
        <f aca="false">1+IF($G$9=$E$9,$F$9,IF(S812&lt;($F$9-$E$9)/($G$9-$E$9),$E$9+SQRT(S812*($G$9-$E$9)*($F$9-$E$9)),$G$9-SQRT((1-S812)*($G$9-$E$9)*($G$9-$F$9))))</f>
        <v>0.975027650945173</v>
      </c>
      <c r="F812" s="51" t="n">
        <f aca="false">1+IF($G$10=$E$10,$F$10,IF(T812&lt;($F$10-$E$10)/($G$10-$E$10),$E$10+SQRT(T812*($G$10-$E$10)*($F$10-$E$10)),$G$10-SQRT((1-T812)*($G$10-$E$10)*($G$10-$F$10))))</f>
        <v>0.98451121595336</v>
      </c>
      <c r="G812" s="52" t="n">
        <f aca="false">IF($G$11=$E$11,$F$11,IF(U812&lt;($F$11-$E$11)/($G$11-$E$11),$E$11+SQRT(U812*($G$11-$E$11)*($F$11-$E$11)),$G$11-SQRT((1-U812)*($G$11-$E$11)*($G$11-$F$11))))</f>
        <v>0.119897422433014</v>
      </c>
      <c r="H812" s="53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-1969022431.90672</v>
      </c>
      <c r="I812" s="53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5226288.89481795</v>
      </c>
      <c r="J812" s="53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301513110.892978</v>
      </c>
      <c r="K812" s="53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647025493.688807</v>
      </c>
      <c r="L812" s="53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781761420.717262</v>
      </c>
      <c r="M812" s="53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979616512.377139</v>
      </c>
      <c r="N812" s="53" t="n">
        <f aca="false">IF(COUNT('Business Case'!B11:G11)=0,"",H812+NPV(G812,I812:M812))</f>
        <v>-210159802.652727</v>
      </c>
      <c r="P812" s="54" t="n">
        <f aca="true">RAND()</f>
        <v>0.837218996140351</v>
      </c>
      <c r="Q812" s="54" t="n">
        <f aca="true">RAND()</f>
        <v>0.77022518003229</v>
      </c>
      <c r="R812" s="54" t="n">
        <f aca="true">RAND()</f>
        <v>0.891672595070905</v>
      </c>
      <c r="S812" s="54" t="n">
        <f aca="true">RAND()</f>
        <v>0.225165936254028</v>
      </c>
      <c r="T812" s="54" t="n">
        <f aca="true">RAND()</f>
        <v>0.0794016017719618</v>
      </c>
      <c r="U812" s="54" t="n">
        <f aca="true">RAND()</f>
        <v>0.931958617668689</v>
      </c>
    </row>
    <row r="813" customFormat="false" ht="15" hidden="false" customHeight="false" outlineLevel="0" collapsed="false">
      <c r="A813" s="50" t="n">
        <v>733</v>
      </c>
      <c r="B813" s="51" t="n">
        <f aca="false">1+IF($G$6=$E$6,$F$6,IF(P813&lt;($F$6-$E$6)/($G$6-$E$6),$E$6+SQRT(P813*($G$6-$E$6)*($F$6-$E$6)),$G$6-SQRT((1-P813)*($G$6-$E$6)*($G$6-$F$6))))</f>
        <v>0.946776372048332</v>
      </c>
      <c r="C813" s="51" t="n">
        <f aca="false">1+IF($G$7=$E$7,$F$7,IF(Q813&lt;($F$7-$E$7)/($G$7-$E$7),$E$7+SQRT(Q813*($G$7-$E$7)*($F$7-$E$7)),$G$7-SQRT((1-Q813)*($G$7-$E$7)*($G$7-$F$7))))</f>
        <v>0.926056709477562</v>
      </c>
      <c r="D813" s="51" t="n">
        <f aca="false">1+IF($G$8=$E$8,$F$8,IF(R813&lt;($F$8-$E$8)/($G$8-$E$8),$E$8+SQRT(R813*($G$8-$E$8)*($F$8-$E$8)),$G$8-SQRT((1-R813)*($G$8-$E$8)*($G$8-$F$8))))</f>
        <v>1.05024564036336</v>
      </c>
      <c r="E813" s="51" t="n">
        <f aca="false">1+IF($G$9=$E$9,$F$9,IF(S813&lt;($F$9-$E$9)/($G$9-$E$9),$E$9+SQRT(S813*($G$9-$E$9)*($F$9-$E$9)),$G$9-SQRT((1-S813)*($G$9-$E$9)*($G$9-$F$9))))</f>
        <v>1.08229590214698</v>
      </c>
      <c r="F813" s="51" t="n">
        <f aca="false">1+IF($G$10=$E$10,$F$10,IF(T813&lt;($F$10-$E$10)/($G$10-$E$10),$E$10+SQRT(T813*($G$10-$E$10)*($F$10-$E$10)),$G$10-SQRT((1-T813)*($G$10-$E$10)*($G$10-$F$10))))</f>
        <v>1.0094145472359</v>
      </c>
      <c r="G813" s="52" t="n">
        <f aca="false">IF($G$11=$E$11,$F$11,IF(U813&lt;($F$11-$E$11)/($G$11-$E$11),$E$11+SQRT(U813*($G$11-$E$11)*($F$11-$E$11)),$G$11-SQRT((1-U813)*($G$11-$E$11)*($G$11-$F$11))))</f>
        <v>0.103245205058629</v>
      </c>
      <c r="H813" s="53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-2018829094.47181</v>
      </c>
      <c r="I813" s="53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-80045744.7388348</v>
      </c>
      <c r="J813" s="53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140204127.362277</v>
      </c>
      <c r="K813" s="53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410924726.825185</v>
      </c>
      <c r="L813" s="53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514642474.079593</v>
      </c>
      <c r="M813" s="53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681298651.793464</v>
      </c>
      <c r="N813" s="53" t="n">
        <f aca="false">IF(COUNT('Business Case'!B11:G11)=0,"",H813+NPV(G813,I813:M813))</f>
        <v>-905938309.761046</v>
      </c>
      <c r="P813" s="54" t="n">
        <f aca="true">RAND()</f>
        <v>0.145868598800264</v>
      </c>
      <c r="Q813" s="54" t="n">
        <f aca="true">RAND()</f>
        <v>0.378530636294983</v>
      </c>
      <c r="R813" s="54" t="n">
        <f aca="true">RAND()</f>
        <v>0.834966913143168</v>
      </c>
      <c r="S813" s="54" t="n">
        <f aca="true">RAND()</f>
        <v>0.877764136904235</v>
      </c>
      <c r="T813" s="54" t="n">
        <f aca="true">RAND()</f>
        <v>0.228248532243934</v>
      </c>
      <c r="U813" s="54" t="n">
        <f aca="true">RAND()</f>
        <v>0.522787298430134</v>
      </c>
    </row>
    <row r="814" customFormat="false" ht="15" hidden="false" customHeight="false" outlineLevel="0" collapsed="false">
      <c r="A814" s="50" t="n">
        <v>734</v>
      </c>
      <c r="B814" s="51" t="n">
        <f aca="false">1+IF($G$6=$E$6,$F$6,IF(P814&lt;($F$6-$E$6)/($G$6-$E$6),$E$6+SQRT(P814*($G$6-$E$6)*($F$6-$E$6)),$G$6-SQRT((1-P814)*($G$6-$E$6)*($G$6-$F$6))))</f>
        <v>1.04325250906913</v>
      </c>
      <c r="C814" s="51" t="n">
        <f aca="false">1+IF($G$7=$E$7,$F$7,IF(Q814&lt;($F$7-$E$7)/($G$7-$E$7),$E$7+SQRT(Q814*($G$7-$E$7)*($F$7-$E$7)),$G$7-SQRT((1-Q814)*($G$7-$E$7)*($G$7-$F$7))))</f>
        <v>0.930331671880396</v>
      </c>
      <c r="D814" s="51" t="n">
        <f aca="false">1+IF($G$8=$E$8,$F$8,IF(R814&lt;($F$8-$E$8)/($G$8-$E$8),$E$8+SQRT(R814*($G$8-$E$8)*($F$8-$E$8)),$G$8-SQRT((1-R814)*($G$8-$E$8)*($G$8-$F$8))))</f>
        <v>0.984076617985713</v>
      </c>
      <c r="E814" s="51" t="n">
        <f aca="false">1+IF($G$9=$E$9,$F$9,IF(S814&lt;($F$9-$E$9)/($G$9-$E$9),$E$9+SQRT(S814*($G$9-$E$9)*($F$9-$E$9)),$G$9-SQRT((1-S814)*($G$9-$E$9)*($G$9-$F$9))))</f>
        <v>1.02774831903506</v>
      </c>
      <c r="F814" s="51" t="n">
        <f aca="false">1+IF($G$10=$E$10,$F$10,IF(T814&lt;($F$10-$E$10)/($G$10-$E$10),$E$10+SQRT(T814*($G$10-$E$10)*($F$10-$E$10)),$G$10-SQRT((1-T814)*($G$10-$E$10)*($G$10-$F$10))))</f>
        <v>1.11175250377523</v>
      </c>
      <c r="G814" s="52" t="n">
        <f aca="false">IF($G$11=$E$11,$F$11,IF(U814&lt;($F$11-$E$11)/($G$11-$E$11),$E$11+SQRT(U814*($G$11-$E$11)*($F$11-$E$11)),$G$11-SQRT((1-U814)*($G$11-$E$11)*($G$11-$F$11))))</f>
        <v>0.0935227467545268</v>
      </c>
      <c r="H814" s="53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-2223505007.55045</v>
      </c>
      <c r="I814" s="53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18660160.8100017</v>
      </c>
      <c r="J814" s="53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344955775.877856</v>
      </c>
      <c r="K814" s="53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726839016.134471</v>
      </c>
      <c r="L814" s="53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869147149.766117</v>
      </c>
      <c r="M814" s="53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1053633257.11578</v>
      </c>
      <c r="N814" s="53" t="n">
        <f aca="false">IF(COUNT('Business Case'!B11:G11)=0,"",H814+NPV(G814,I814:M814))</f>
        <v>-80459766.2196903</v>
      </c>
      <c r="P814" s="54" t="n">
        <f aca="true">RAND()</f>
        <v>0.993929515485043</v>
      </c>
      <c r="Q814" s="54" t="n">
        <f aca="true">RAND()</f>
        <v>0.39298280793495</v>
      </c>
      <c r="R814" s="54" t="n">
        <f aca="true">RAND()</f>
        <v>0.154828785779229</v>
      </c>
      <c r="S814" s="54" t="n">
        <f aca="true">RAND()</f>
        <v>0.601454040033255</v>
      </c>
      <c r="T814" s="54" t="n">
        <f aca="true">RAND()</f>
        <v>0.745168397167753</v>
      </c>
      <c r="U814" s="54" t="n">
        <f aca="true">RAND()</f>
        <v>0.182864679787064</v>
      </c>
    </row>
    <row r="815" customFormat="false" ht="15" hidden="false" customHeight="false" outlineLevel="0" collapsed="false">
      <c r="A815" s="50" t="n">
        <v>735</v>
      </c>
      <c r="B815" s="51" t="n">
        <f aca="false">1+IF($G$6=$E$6,$F$6,IF(P815&lt;($F$6-$E$6)/($G$6-$E$6),$E$6+SQRT(P815*($G$6-$E$6)*($F$6-$E$6)),$G$6-SQRT((1-P815)*($G$6-$E$6)*($G$6-$F$6))))</f>
        <v>0.989910441999777</v>
      </c>
      <c r="C815" s="51" t="n">
        <f aca="false">1+IF($G$7=$E$7,$F$7,IF(Q815&lt;($F$7-$E$7)/($G$7-$E$7),$E$7+SQRT(Q815*($G$7-$E$7)*($F$7-$E$7)),$G$7-SQRT((1-Q815)*($G$7-$E$7)*($G$7-$F$7))))</f>
        <v>1.10706134150088</v>
      </c>
      <c r="D815" s="51" t="n">
        <f aca="false">1+IF($G$8=$E$8,$F$8,IF(R815&lt;($F$8-$E$8)/($G$8-$E$8),$E$8+SQRT(R815*($G$8-$E$8)*($F$8-$E$8)),$G$8-SQRT((1-R815)*($G$8-$E$8)*($G$8-$F$8))))</f>
        <v>1.0001934756406</v>
      </c>
      <c r="E815" s="51" t="n">
        <f aca="false">1+IF($G$9=$E$9,$F$9,IF(S815&lt;($F$9-$E$9)/($G$9-$E$9),$E$9+SQRT(S815*($G$9-$E$9)*($F$9-$E$9)),$G$9-SQRT((1-S815)*($G$9-$E$9)*($G$9-$F$9))))</f>
        <v>0.994355608297767</v>
      </c>
      <c r="F815" s="51" t="n">
        <f aca="false">1+IF($G$10=$E$10,$F$10,IF(T815&lt;($F$10-$E$10)/($G$10-$E$10),$E$10+SQRT(T815*($G$10-$E$10)*($F$10-$E$10)),$G$10-SQRT((1-T815)*($G$10-$E$10)*($G$10-$F$10))))</f>
        <v>1.0185645778394</v>
      </c>
      <c r="G815" s="52" t="n">
        <f aca="false">IF($G$11=$E$11,$F$11,IF(U815&lt;($F$11-$E$11)/($G$11-$E$11),$E$11+SQRT(U815*($G$11-$E$11)*($F$11-$E$11)),$G$11-SQRT((1-U815)*($G$11-$E$11)*($G$11-$F$11))))</f>
        <v>0.102907925092614</v>
      </c>
      <c r="H815" s="53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-2037129155.67879</v>
      </c>
      <c r="I815" s="53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30712775.0897615</v>
      </c>
      <c r="J815" s="53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361490395.068376</v>
      </c>
      <c r="K815" s="53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743196243.93896</v>
      </c>
      <c r="L815" s="53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891329463.668478</v>
      </c>
      <c r="M815" s="53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1099636535.55337</v>
      </c>
      <c r="N815" s="53" t="n">
        <f aca="false">IF(COUNT('Business Case'!B11:G11)=0,"",H815+NPV(G815,I815:M815))</f>
        <v>118095122.39344</v>
      </c>
      <c r="P815" s="54" t="n">
        <f aca="true">RAND()</f>
        <v>0.538925838706355</v>
      </c>
      <c r="Q815" s="54" t="n">
        <f aca="true">RAND()</f>
        <v>0.972685505278458</v>
      </c>
      <c r="R815" s="54" t="n">
        <f aca="true">RAND()</f>
        <v>0.335910513019702</v>
      </c>
      <c r="S815" s="54" t="n">
        <f aca="true">RAND()</f>
        <v>0.356119232689667</v>
      </c>
      <c r="T815" s="54" t="n">
        <f aca="true">RAND()</f>
        <v>0.285835271591247</v>
      </c>
      <c r="U815" s="54" t="n">
        <f aca="true">RAND()</f>
        <v>0.510679651475047</v>
      </c>
    </row>
    <row r="816" customFormat="false" ht="15" hidden="false" customHeight="false" outlineLevel="0" collapsed="false">
      <c r="A816" s="50" t="n">
        <v>736</v>
      </c>
      <c r="B816" s="51" t="n">
        <f aca="false">1+IF($G$6=$E$6,$F$6,IF(P816&lt;($F$6-$E$6)/($G$6-$E$6),$E$6+SQRT(P816*($G$6-$E$6)*($F$6-$E$6)),$G$6-SQRT((1-P816)*($G$6-$E$6)*($G$6-$F$6))))</f>
        <v>0.93170948768299</v>
      </c>
      <c r="C816" s="51" t="n">
        <f aca="false">1+IF($G$7=$E$7,$F$7,IF(Q816&lt;($F$7-$E$7)/($G$7-$E$7),$E$7+SQRT(Q816*($G$7-$E$7)*($F$7-$E$7)),$G$7-SQRT((1-Q816)*($G$7-$E$7)*($G$7-$F$7))))</f>
        <v>1.02076866721633</v>
      </c>
      <c r="D816" s="51" t="n">
        <f aca="false">1+IF($G$8=$E$8,$F$8,IF(R816&lt;($F$8-$E$8)/($G$8-$E$8),$E$8+SQRT(R816*($G$8-$E$8)*($F$8-$E$8)),$G$8-SQRT((1-R816)*($G$8-$E$8)*($G$8-$F$8))))</f>
        <v>1.04399893451301</v>
      </c>
      <c r="E816" s="51" t="n">
        <f aca="false">1+IF($G$9=$E$9,$F$9,IF(S816&lt;($F$9-$E$9)/($G$9-$E$9),$E$9+SQRT(S816*($G$9-$E$9)*($F$9-$E$9)),$G$9-SQRT((1-S816)*($G$9-$E$9)*($G$9-$F$9))))</f>
        <v>1.06687726479627</v>
      </c>
      <c r="F816" s="51" t="n">
        <f aca="false">1+IF($G$10=$E$10,$F$10,IF(T816&lt;($F$10-$E$10)/($G$10-$E$10),$E$10+SQRT(T816*($G$10-$E$10)*($F$10-$E$10)),$G$10-SQRT((1-T816)*($G$10-$E$10)*($G$10-$F$10))))</f>
        <v>1.05399298512777</v>
      </c>
      <c r="G816" s="52" t="n">
        <f aca="false">IF($G$11=$E$11,$F$11,IF(U816&lt;($F$11-$E$11)/($G$11-$E$11),$E$11+SQRT(U816*($G$11-$E$11)*($F$11-$E$11)),$G$11-SQRT((1-U816)*($G$11-$E$11)*($G$11-$F$11))))</f>
        <v>0.0939149987224987</v>
      </c>
      <c r="H816" s="53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-2107985970.25554</v>
      </c>
      <c r="I816" s="53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-72969315.9948225</v>
      </c>
      <c r="J816" s="53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160473556.303545</v>
      </c>
      <c r="K816" s="53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446616077.858301</v>
      </c>
      <c r="L816" s="53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557298997.108679</v>
      </c>
      <c r="M816" s="53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738076453.772082</v>
      </c>
      <c r="N816" s="53" t="n">
        <f aca="false">IF(COUNT('Business Case'!B11:G11)=0,"",H816+NPV(G816,I816:M816))</f>
        <v>-839048922.715498</v>
      </c>
      <c r="P816" s="54" t="n">
        <f aca="true">RAND()</f>
        <v>0.0670327739411779</v>
      </c>
      <c r="Q816" s="54" t="n">
        <f aca="true">RAND()</f>
        <v>0.7525816685475</v>
      </c>
      <c r="R816" s="54" t="n">
        <f aca="true">RAND()</f>
        <v>0.790925377621476</v>
      </c>
      <c r="S816" s="54" t="n">
        <f aca="true">RAND()</f>
        <v>0.81574962379337</v>
      </c>
      <c r="T816" s="54" t="n">
        <f aca="true">RAND()</f>
        <v>0.487750001611709</v>
      </c>
      <c r="U816" s="54" t="n">
        <f aca="true">RAND()</f>
        <v>0.193627189447141</v>
      </c>
    </row>
    <row r="817" customFormat="false" ht="15" hidden="false" customHeight="false" outlineLevel="0" collapsed="false">
      <c r="A817" s="50" t="n">
        <v>737</v>
      </c>
      <c r="B817" s="51" t="n">
        <f aca="false">1+IF($G$6=$E$6,$F$6,IF(P817&lt;($F$6-$E$6)/($G$6-$E$6),$E$6+SQRT(P817*($G$6-$E$6)*($F$6-$E$6)),$G$6-SQRT((1-P817)*($G$6-$E$6)*($G$6-$F$6))))</f>
        <v>0.999948049525302</v>
      </c>
      <c r="C817" s="51" t="n">
        <f aca="false">1+IF($G$7=$E$7,$F$7,IF(Q817&lt;($F$7-$E$7)/($G$7-$E$7),$E$7+SQRT(Q817*($G$7-$E$7)*($F$7-$E$7)),$G$7-SQRT((1-Q817)*($G$7-$E$7)*($G$7-$F$7))))</f>
        <v>1.03099787854389</v>
      </c>
      <c r="D817" s="51" t="n">
        <f aca="false">1+IF($G$8=$E$8,$F$8,IF(R817&lt;($F$8-$E$8)/($G$8-$E$8),$E$8+SQRT(R817*($G$8-$E$8)*($F$8-$E$8)),$G$8-SQRT((1-R817)*($G$8-$E$8)*($G$8-$F$8))))</f>
        <v>1.06912901032939</v>
      </c>
      <c r="E817" s="51" t="n">
        <f aca="false">1+IF($G$9=$E$9,$F$9,IF(S817&lt;($F$9-$E$9)/($G$9-$E$9),$E$9+SQRT(S817*($G$9-$E$9)*($F$9-$E$9)),$G$9-SQRT((1-S817)*($G$9-$E$9)*($G$9-$F$9))))</f>
        <v>1.12931197212363</v>
      </c>
      <c r="F817" s="51" t="n">
        <f aca="false">1+IF($G$10=$E$10,$F$10,IF(T817&lt;($F$10-$E$10)/($G$10-$E$10),$E$10+SQRT(T817*($G$10-$E$10)*($F$10-$E$10)),$G$10-SQRT((1-T817)*($G$10-$E$10)*($G$10-$F$10))))</f>
        <v>1.08321792858791</v>
      </c>
      <c r="G817" s="52" t="n">
        <f aca="false">IF($G$11=$E$11,$F$11,IF(U817&lt;($F$11-$E$11)/($G$11-$E$11),$E$11+SQRT(U817*($G$11-$E$11)*($F$11-$E$11)),$G$11-SQRT((1-U817)*($G$11-$E$11)*($G$11-$F$11))))</f>
        <v>0.102995292681847</v>
      </c>
      <c r="H817" s="53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-2166435857.17582</v>
      </c>
      <c r="I817" s="53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-42210410.6147085</v>
      </c>
      <c r="J817" s="53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237933287.495684</v>
      </c>
      <c r="K817" s="53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572237882.035472</v>
      </c>
      <c r="L817" s="53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701248550.359155</v>
      </c>
      <c r="M817" s="53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897210446.270363</v>
      </c>
      <c r="N817" s="53" t="n">
        <f aca="false">IF(COUNT('Business Case'!B11:G11)=0,"",H817+NPV(G817,I817:M817))</f>
        <v>-559339991.08412</v>
      </c>
      <c r="P817" s="54" t="n">
        <f aca="true">RAND()</f>
        <v>0.665974173594148</v>
      </c>
      <c r="Q817" s="54" t="n">
        <f aca="true">RAND()</f>
        <v>0.790199927243632</v>
      </c>
      <c r="R817" s="54" t="n">
        <f aca="true">RAND()</f>
        <v>0.936465466450457</v>
      </c>
      <c r="S817" s="54" t="n">
        <f aca="true">RAND()</f>
        <v>0.988586813402312</v>
      </c>
      <c r="T817" s="54" t="n">
        <f aca="true">RAND()</f>
        <v>0.629116542073222</v>
      </c>
      <c r="U817" s="54" t="n">
        <f aca="true">RAND()</f>
        <v>0.513830521773935</v>
      </c>
    </row>
    <row r="818" customFormat="false" ht="15" hidden="false" customHeight="false" outlineLevel="0" collapsed="false">
      <c r="A818" s="50" t="n">
        <v>738</v>
      </c>
      <c r="B818" s="51" t="n">
        <f aca="false">1+IF($G$6=$E$6,$F$6,IF(P818&lt;($F$6-$E$6)/($G$6-$E$6),$E$6+SQRT(P818*($G$6-$E$6)*($F$6-$E$6)),$G$6-SQRT((1-P818)*($G$6-$E$6)*($G$6-$F$6))))</f>
        <v>0.97437319502511</v>
      </c>
      <c r="C818" s="51" t="n">
        <f aca="false">1+IF($G$7=$E$7,$F$7,IF(Q818&lt;($F$7-$E$7)/($G$7-$E$7),$E$7+SQRT(Q818*($G$7-$E$7)*($F$7-$E$7)),$G$7-SQRT((1-Q818)*($G$7-$E$7)*($G$7-$F$7))))</f>
        <v>0.941432449901473</v>
      </c>
      <c r="D818" s="51" t="n">
        <f aca="false">1+IF($G$8=$E$8,$F$8,IF(R818&lt;($F$8-$E$8)/($G$8-$E$8),$E$8+SQRT(R818*($G$8-$E$8)*($F$8-$E$8)),$G$8-SQRT((1-R818)*($G$8-$E$8)*($G$8-$F$8))))</f>
        <v>1.03446887600218</v>
      </c>
      <c r="E818" s="51" t="n">
        <f aca="false">1+IF($G$9=$E$9,$F$9,IF(S818&lt;($F$9-$E$9)/($G$9-$E$9),$E$9+SQRT(S818*($G$9-$E$9)*($F$9-$E$9)),$G$9-SQRT((1-S818)*($G$9-$E$9)*($G$9-$F$9))))</f>
        <v>0.924376654594432</v>
      </c>
      <c r="F818" s="51" t="n">
        <f aca="false">1+IF($G$10=$E$10,$F$10,IF(T818&lt;($F$10-$E$10)/($G$10-$E$10),$E$10+SQRT(T818*($G$10-$E$10)*($F$10-$E$10)),$G$10-SQRT((1-T818)*($G$10-$E$10)*($G$10-$F$10))))</f>
        <v>1.00227654151906</v>
      </c>
      <c r="G818" s="52" t="n">
        <f aca="false">IF($G$11=$E$11,$F$11,IF(U818&lt;($F$11-$E$11)/($G$11-$E$11),$E$11+SQRT(U818*($G$11-$E$11)*($F$11-$E$11)),$G$11-SQRT((1-U818)*($G$11-$E$11)*($G$11-$F$11))))</f>
        <v>0.11298890872708</v>
      </c>
      <c r="H818" s="53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-2004553083.03812</v>
      </c>
      <c r="I818" s="53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-26437044.3386995</v>
      </c>
      <c r="J818" s="53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226353097.00454</v>
      </c>
      <c r="K818" s="53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529257065.423732</v>
      </c>
      <c r="L818" s="53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645222560.035948</v>
      </c>
      <c r="M818" s="53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819584187.940532</v>
      </c>
      <c r="N818" s="53" t="n">
        <f aca="false">IF(COUNT('Business Case'!B11:G11)=0,"",H818+NPV(G818,I818:M818))</f>
        <v>-561331323.076713</v>
      </c>
      <c r="P818" s="54" t="n">
        <f aca="true">RAND()</f>
        <v>0.368758142549536</v>
      </c>
      <c r="Q818" s="54" t="n">
        <f aca="true">RAND()</f>
        <v>0.431775021225386</v>
      </c>
      <c r="R818" s="54" t="n">
        <f aca="true">RAND()</f>
        <v>0.713711452505499</v>
      </c>
      <c r="S818" s="54" t="n">
        <f aca="true">RAND()</f>
        <v>0.02376885156865</v>
      </c>
      <c r="T818" s="54" t="n">
        <f aca="true">RAND()</f>
        <v>0.181774508243211</v>
      </c>
      <c r="U818" s="54" t="n">
        <f aca="true">RAND()</f>
        <v>0.80708184913626</v>
      </c>
    </row>
    <row r="819" customFormat="false" ht="15" hidden="false" customHeight="false" outlineLevel="0" collapsed="false">
      <c r="A819" s="50" t="n">
        <v>739</v>
      </c>
      <c r="B819" s="51" t="n">
        <f aca="false">1+IF($G$6=$E$6,$F$6,IF(P819&lt;($F$6-$E$6)/($G$6-$E$6),$E$6+SQRT(P819*($G$6-$E$6)*($F$6-$E$6)),$G$6-SQRT((1-P819)*($G$6-$E$6)*($G$6-$F$6))))</f>
        <v>1.00372071587285</v>
      </c>
      <c r="C819" s="51" t="n">
        <f aca="false">1+IF($G$7=$E$7,$F$7,IF(Q819&lt;($F$7-$E$7)/($G$7-$E$7),$E$7+SQRT(Q819*($G$7-$E$7)*($F$7-$E$7)),$G$7-SQRT((1-Q819)*($G$7-$E$7)*($G$7-$F$7))))</f>
        <v>0.769090855702944</v>
      </c>
      <c r="D819" s="51" t="n">
        <f aca="false">1+IF($G$8=$E$8,$F$8,IF(R819&lt;($F$8-$E$8)/($G$8-$E$8),$E$8+SQRT(R819*($G$8-$E$8)*($F$8-$E$8)),$G$8-SQRT((1-R819)*($G$8-$E$8)*($G$8-$F$8))))</f>
        <v>1.00722110357944</v>
      </c>
      <c r="E819" s="51" t="n">
        <f aca="false">1+IF($G$9=$E$9,$F$9,IF(S819&lt;($F$9-$E$9)/($G$9-$E$9),$E$9+SQRT(S819*($G$9-$E$9)*($F$9-$E$9)),$G$9-SQRT((1-S819)*($G$9-$E$9)*($G$9-$F$9))))</f>
        <v>1.03225193591144</v>
      </c>
      <c r="F819" s="51" t="n">
        <f aca="false">1+IF($G$10=$E$10,$F$10,IF(T819&lt;($F$10-$E$10)/($G$10-$E$10),$E$10+SQRT(T819*($G$10-$E$10)*($F$10-$E$10)),$G$10-SQRT((1-T819)*($G$10-$E$10)*($G$10-$F$10))))</f>
        <v>1.21707744024322</v>
      </c>
      <c r="G819" s="52" t="n">
        <f aca="false">IF($G$11=$E$11,$F$11,IF(U819&lt;($F$11-$E$11)/($G$11-$E$11),$E$11+SQRT(U819*($G$11-$E$11)*($F$11-$E$11)),$G$11-SQRT((1-U819)*($G$11-$E$11)*($G$11-$F$11))))</f>
        <v>0.116107522888549</v>
      </c>
      <c r="H819" s="53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-2434154880.48645</v>
      </c>
      <c r="I819" s="53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-72783400.0820151</v>
      </c>
      <c r="J819" s="53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162945182.820404</v>
      </c>
      <c r="K819" s="53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459527637.734983</v>
      </c>
      <c r="L819" s="53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564782507.818126</v>
      </c>
      <c r="M819" s="53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711515224.620978</v>
      </c>
      <c r="N819" s="53" t="n">
        <f aca="false">IF(COUNT('Business Case'!B11:G11)=0,"",H819+NPV(G819,I819:M819))</f>
        <v>-1263258173.28977</v>
      </c>
      <c r="P819" s="54" t="n">
        <f aca="true">RAND()</f>
        <v>0.714430381423859</v>
      </c>
      <c r="Q819" s="54" t="n">
        <f aca="true">RAND()</f>
        <v>0.0353596025315925</v>
      </c>
      <c r="R819" s="54" t="n">
        <f aca="true">RAND()</f>
        <v>0.426138425265485</v>
      </c>
      <c r="S819" s="54" t="n">
        <f aca="true">RAND()</f>
        <v>0.630277157423897</v>
      </c>
      <c r="T819" s="54" t="n">
        <f aca="true">RAND()</f>
        <v>0.985548067454152</v>
      </c>
      <c r="U819" s="54" t="n">
        <f aca="true">RAND()</f>
        <v>0.871332719805213</v>
      </c>
    </row>
    <row r="820" customFormat="false" ht="15" hidden="false" customHeight="false" outlineLevel="0" collapsed="false">
      <c r="A820" s="50" t="n">
        <v>740</v>
      </c>
      <c r="B820" s="51" t="n">
        <f aca="false">1+IF($G$6=$E$6,$F$6,IF(P820&lt;($F$6-$E$6)/($G$6-$E$6),$E$6+SQRT(P820*($G$6-$E$6)*($F$6-$E$6)),$G$6-SQRT((1-P820)*($G$6-$E$6)*($G$6-$F$6))))</f>
        <v>1.01229590206022</v>
      </c>
      <c r="C820" s="51" t="n">
        <f aca="false">1+IF($G$7=$E$7,$F$7,IF(Q820&lt;($F$7-$E$7)/($G$7-$E$7),$E$7+SQRT(Q820*($G$7-$E$7)*($F$7-$E$7)),$G$7-SQRT((1-Q820)*($G$7-$E$7)*($G$7-$F$7))))</f>
        <v>1.10642645959621</v>
      </c>
      <c r="D820" s="51" t="n">
        <f aca="false">1+IF($G$8=$E$8,$F$8,IF(R820&lt;($F$8-$E$8)/($G$8-$E$8),$E$8+SQRT(R820*($G$8-$E$8)*($F$8-$E$8)),$G$8-SQRT((1-R820)*($G$8-$E$8)*($G$8-$F$8))))</f>
        <v>1.0646962733958</v>
      </c>
      <c r="E820" s="51" t="n">
        <f aca="false">1+IF($G$9=$E$9,$F$9,IF(S820&lt;($F$9-$E$9)/($G$9-$E$9),$E$9+SQRT(S820*($G$9-$E$9)*($F$9-$E$9)),$G$9-SQRT((1-S820)*($G$9-$E$9)*($G$9-$F$9))))</f>
        <v>0.986630609985731</v>
      </c>
      <c r="F820" s="51" t="n">
        <f aca="false">1+IF($G$10=$E$10,$F$10,IF(T820&lt;($F$10-$E$10)/($G$10-$E$10),$E$10+SQRT(T820*($G$10-$E$10)*($F$10-$E$10)),$G$10-SQRT((1-T820)*($G$10-$E$10)*($G$10-$F$10))))</f>
        <v>0.9849090940577</v>
      </c>
      <c r="G820" s="52" t="n">
        <f aca="false">IF($G$11=$E$11,$F$11,IF(U820&lt;($F$11-$E$11)/($G$11-$E$11),$E$11+SQRT(U820*($G$11-$E$11)*($F$11-$E$11)),$G$11-SQRT((1-U820)*($G$11-$E$11)*($G$11-$F$11))))</f>
        <v>0.0897733025614899</v>
      </c>
      <c r="H820" s="53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-1969818188.1154</v>
      </c>
      <c r="I820" s="53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17487898.7325115</v>
      </c>
      <c r="J820" s="53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331827985.146379</v>
      </c>
      <c r="K820" s="53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695413526.263132</v>
      </c>
      <c r="L820" s="53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838901825.424832</v>
      </c>
      <c r="M820" s="53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1051797312.38875</v>
      </c>
      <c r="N820" s="53" t="n">
        <f aca="false">IF(COUNT('Business Case'!B11:G11)=0,"",H820+NPV(G820,I820:M820))</f>
        <v>142061568.623136</v>
      </c>
      <c r="P820" s="54" t="n">
        <f aca="true">RAND()</f>
        <v>0.810453466472947</v>
      </c>
      <c r="Q820" s="54" t="n">
        <f aca="true">RAND()</f>
        <v>0.971871801135985</v>
      </c>
      <c r="R820" s="54" t="n">
        <f aca="true">RAND()</f>
        <v>0.91690979252373</v>
      </c>
      <c r="S820" s="54" t="n">
        <f aca="true">RAND()</f>
        <v>0.300194503459991</v>
      </c>
      <c r="T820" s="54" t="n">
        <f aca="true">RAND()</f>
        <v>0.0812429898619551</v>
      </c>
      <c r="U820" s="54" t="n">
        <f aca="true">RAND()</f>
        <v>0.0955174429584242</v>
      </c>
    </row>
    <row r="821" customFormat="false" ht="15" hidden="false" customHeight="false" outlineLevel="0" collapsed="false">
      <c r="A821" s="50" t="n">
        <v>741</v>
      </c>
      <c r="B821" s="51" t="n">
        <f aca="false">1+IF($G$6=$E$6,$F$6,IF(P821&lt;($F$6-$E$6)/($G$6-$E$6),$E$6+SQRT(P821*($G$6-$E$6)*($F$6-$E$6)),$G$6-SQRT((1-P821)*($G$6-$E$6)*($G$6-$F$6))))</f>
        <v>1.01725314013089</v>
      </c>
      <c r="C821" s="51" t="n">
        <f aca="false">1+IF($G$7=$E$7,$F$7,IF(Q821&lt;($F$7-$E$7)/($G$7-$E$7),$E$7+SQRT(Q821*($G$7-$E$7)*($F$7-$E$7)),$G$7-SQRT((1-Q821)*($G$7-$E$7)*($G$7-$F$7))))</f>
        <v>0.961096364346548</v>
      </c>
      <c r="D821" s="51" t="n">
        <f aca="false">1+IF($G$8=$E$8,$F$8,IF(R821&lt;($F$8-$E$8)/($G$8-$E$8),$E$8+SQRT(R821*($G$8-$E$8)*($F$8-$E$8)),$G$8-SQRT((1-R821)*($G$8-$E$8)*($G$8-$F$8))))</f>
        <v>1.01939228583911</v>
      </c>
      <c r="E821" s="51" t="n">
        <f aca="false">1+IF($G$9=$E$9,$F$9,IF(S821&lt;($F$9-$E$9)/($G$9-$E$9),$E$9+SQRT(S821*($G$9-$E$9)*($F$9-$E$9)),$G$9-SQRT((1-S821)*($G$9-$E$9)*($G$9-$F$9))))</f>
        <v>1.09284610279975</v>
      </c>
      <c r="F821" s="51" t="n">
        <f aca="false">1+IF($G$10=$E$10,$F$10,IF(T821&lt;($F$10-$E$10)/($G$10-$E$10),$E$10+SQRT(T821*($G$10-$E$10)*($F$10-$E$10)),$G$10-SQRT((1-T821)*($G$10-$E$10)*($G$10-$F$10))))</f>
        <v>1.18338763625973</v>
      </c>
      <c r="G821" s="52" t="n">
        <f aca="false">IF($G$11=$E$11,$F$11,IF(U821&lt;($F$11-$E$11)/($G$11-$E$11),$E$11+SQRT(U821*($G$11-$E$11)*($F$11-$E$11)),$G$11-SQRT((1-U821)*($G$11-$E$11)*($G$11-$F$11))))</f>
        <v>0.104245975994955</v>
      </c>
      <c r="H821" s="53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-2366775272.51947</v>
      </c>
      <c r="I821" s="53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-25180947.9026345</v>
      </c>
      <c r="J821" s="53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274062426.430888</v>
      </c>
      <c r="K821" s="53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632475182.577398</v>
      </c>
      <c r="L821" s="53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766011535.883278</v>
      </c>
      <c r="M821" s="53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951848626.120829</v>
      </c>
      <c r="N821" s="53" t="n">
        <f aca="false">IF(COUNT('Business Case'!B11:G11)=0,"",H821+NPV(G821,I821:M821))</f>
        <v>-600149328.066323</v>
      </c>
      <c r="P821" s="54" t="n">
        <f aca="true">RAND()</f>
        <v>0.857019089161736</v>
      </c>
      <c r="Q821" s="54" t="n">
        <f aca="true">RAND()</f>
        <v>0.504972677592484</v>
      </c>
      <c r="R821" s="54" t="n">
        <f aca="true">RAND()</f>
        <v>0.56682642785038</v>
      </c>
      <c r="S821" s="54" t="n">
        <f aca="true">RAND()</f>
        <v>0.912891520928624</v>
      </c>
      <c r="T821" s="54" t="n">
        <f aca="true">RAND()</f>
        <v>0.940837239959126</v>
      </c>
      <c r="U821" s="54" t="n">
        <f aca="true">RAND()</f>
        <v>0.557820165031719</v>
      </c>
    </row>
    <row r="822" customFormat="false" ht="15" hidden="false" customHeight="false" outlineLevel="0" collapsed="false">
      <c r="A822" s="50" t="n">
        <v>742</v>
      </c>
      <c r="B822" s="51" t="n">
        <f aca="false">1+IF($G$6=$E$6,$F$6,IF(P822&lt;($F$6-$E$6)/($G$6-$E$6),$E$6+SQRT(P822*($G$6-$E$6)*($F$6-$E$6)),$G$6-SQRT((1-P822)*($G$6-$E$6)*($G$6-$F$6))))</f>
        <v>1.00591010627185</v>
      </c>
      <c r="C822" s="51" t="n">
        <f aca="false">1+IF($G$7=$E$7,$F$7,IF(Q822&lt;($F$7-$E$7)/($G$7-$E$7),$E$7+SQRT(Q822*($G$7-$E$7)*($F$7-$E$7)),$G$7-SQRT((1-Q822)*($G$7-$E$7)*($G$7-$F$7))))</f>
        <v>0.827310968728904</v>
      </c>
      <c r="D822" s="51" t="n">
        <f aca="false">1+IF($G$8=$E$8,$F$8,IF(R822&lt;($F$8-$E$8)/($G$8-$E$8),$E$8+SQRT(R822*($G$8-$E$8)*($F$8-$E$8)),$G$8-SQRT((1-R822)*($G$8-$E$8)*($G$8-$F$8))))</f>
        <v>1.0333132749547</v>
      </c>
      <c r="E822" s="51" t="n">
        <f aca="false">1+IF($G$9=$E$9,$F$9,IF(S822&lt;($F$9-$E$9)/($G$9-$E$9),$E$9+SQRT(S822*($G$9-$E$9)*($F$9-$E$9)),$G$9-SQRT((1-S822)*($G$9-$E$9)*($G$9-$F$9))))</f>
        <v>1.10115903384974</v>
      </c>
      <c r="F822" s="51" t="n">
        <f aca="false">1+IF($G$10=$E$10,$F$10,IF(T822&lt;($F$10-$E$10)/($G$10-$E$10),$E$10+SQRT(T822*($G$10-$E$10)*($F$10-$E$10)),$G$10-SQRT((1-T822)*($G$10-$E$10)*($G$10-$F$10))))</f>
        <v>1.05149631964507</v>
      </c>
      <c r="G822" s="52" t="n">
        <f aca="false">IF($G$11=$E$11,$F$11,IF(U822&lt;($F$11-$E$11)/($G$11-$E$11),$E$11+SQRT(U822*($G$11-$E$11)*($F$11-$E$11)),$G$11-SQRT((1-U822)*($G$11-$E$11)*($G$11-$F$11))))</f>
        <v>0.104937704600839</v>
      </c>
      <c r="H822" s="53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-2102992639.29015</v>
      </c>
      <c r="I822" s="53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-60869390.2357811</v>
      </c>
      <c r="J822" s="53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183136938.184709</v>
      </c>
      <c r="K822" s="53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479718082.587452</v>
      </c>
      <c r="L822" s="53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589814373.446502</v>
      </c>
      <c r="M822" s="53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747999037.733712</v>
      </c>
      <c r="N822" s="53" t="n">
        <f aca="false">IF(COUNT('Business Case'!B11:G11)=0,"",H822+NPV(G822,I822:M822))</f>
        <v>-802607421.250489</v>
      </c>
      <c r="P822" s="54" t="n">
        <f aca="true">RAND()</f>
        <v>0.740810836138681</v>
      </c>
      <c r="Q822" s="54" t="n">
        <f aca="true">RAND()</f>
        <v>0.120059872286607</v>
      </c>
      <c r="R822" s="54" t="n">
        <f aca="true">RAND()</f>
        <v>0.703525380182155</v>
      </c>
      <c r="S822" s="54" t="n">
        <f aca="true">RAND()</f>
        <v>0.936388267346922</v>
      </c>
      <c r="T822" s="54" t="n">
        <f aca="true">RAND()</f>
        <v>0.474617185140661</v>
      </c>
      <c r="U822" s="54" t="n">
        <f aca="true">RAND()</f>
        <v>0.581254232883454</v>
      </c>
    </row>
    <row r="823" customFormat="false" ht="15" hidden="false" customHeight="false" outlineLevel="0" collapsed="false">
      <c r="A823" s="50" t="n">
        <v>743</v>
      </c>
      <c r="B823" s="51" t="n">
        <f aca="false">1+IF($G$6=$E$6,$F$6,IF(P823&lt;($F$6-$E$6)/($G$6-$E$6),$E$6+SQRT(P823*($G$6-$E$6)*($F$6-$E$6)),$G$6-SQRT((1-P823)*($G$6-$E$6)*($G$6-$F$6))))</f>
        <v>0.930517132493406</v>
      </c>
      <c r="C823" s="51" t="n">
        <f aca="false">1+IF($G$7=$E$7,$F$7,IF(Q823&lt;($F$7-$E$7)/($G$7-$E$7),$E$7+SQRT(Q823*($G$7-$E$7)*($F$7-$E$7)),$G$7-SQRT((1-Q823)*($G$7-$E$7)*($G$7-$F$7))))</f>
        <v>1.05954381916104</v>
      </c>
      <c r="D823" s="51" t="n">
        <f aca="false">1+IF($G$8=$E$8,$F$8,IF(R823&lt;($F$8-$E$8)/($G$8-$E$8),$E$8+SQRT(R823*($G$8-$E$8)*($F$8-$E$8)),$G$8-SQRT((1-R823)*($G$8-$E$8)*($G$8-$F$8))))</f>
        <v>1.02113358000689</v>
      </c>
      <c r="E823" s="51" t="n">
        <f aca="false">1+IF($G$9=$E$9,$F$9,IF(S823&lt;($F$9-$E$9)/($G$9-$E$9),$E$9+SQRT(S823*($G$9-$E$9)*($F$9-$E$9)),$G$9-SQRT((1-S823)*($G$9-$E$9)*($G$9-$F$9))))</f>
        <v>0.978435575803277</v>
      </c>
      <c r="F823" s="51" t="n">
        <f aca="false">1+IF($G$10=$E$10,$F$10,IF(T823&lt;($F$10-$E$10)/($G$10-$E$10),$E$10+SQRT(T823*($G$10-$E$10)*($F$10-$E$10)),$G$10-SQRT((1-T823)*($G$10-$E$10)*($G$10-$F$10))))</f>
        <v>1.08380114065662</v>
      </c>
      <c r="G823" s="52" t="n">
        <f aca="false">IF($G$11=$E$11,$F$11,IF(U823&lt;($F$11-$E$11)/($G$11-$E$11),$E$11+SQRT(U823*($G$11-$E$11)*($F$11-$E$11)),$G$11-SQRT((1-U823)*($G$11-$E$11)*($G$11-$F$11))))</f>
        <v>0.114560543491665</v>
      </c>
      <c r="H823" s="53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-2167602281.31324</v>
      </c>
      <c r="I823" s="53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-44946019.9202693</v>
      </c>
      <c r="J823" s="53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208731896.486688</v>
      </c>
      <c r="K823" s="53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516599869.926477</v>
      </c>
      <c r="L823" s="53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635232697.650356</v>
      </c>
      <c r="M823" s="53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822637070.052265</v>
      </c>
      <c r="N823" s="53" t="n">
        <f aca="false">IF(COUNT('Business Case'!B11:G11)=0,"",H823+NPV(G823,I823:M823))</f>
        <v>-776855964.557303</v>
      </c>
      <c r="P823" s="54" t="n">
        <f aca="true">RAND()</f>
        <v>0.0620863583746716</v>
      </c>
      <c r="Q823" s="54" t="n">
        <f aca="true">RAND()</f>
        <v>0.878780434785626</v>
      </c>
      <c r="R823" s="54" t="n">
        <f aca="true">RAND()</f>
        <v>0.585339186498053</v>
      </c>
      <c r="S823" s="54" t="n">
        <f aca="true">RAND()</f>
        <v>0.246085582063664</v>
      </c>
      <c r="T823" s="54" t="n">
        <f aca="true">RAND()</f>
        <v>0.6317058553728</v>
      </c>
      <c r="U823" s="54" t="n">
        <f aca="true">RAND()</f>
        <v>0.841082121818145</v>
      </c>
    </row>
    <row r="824" customFormat="false" ht="15" hidden="false" customHeight="false" outlineLevel="0" collapsed="false">
      <c r="A824" s="50" t="n">
        <v>744</v>
      </c>
      <c r="B824" s="51" t="n">
        <f aca="false">1+IF($G$6=$E$6,$F$6,IF(P824&lt;($F$6-$E$6)/($G$6-$E$6),$E$6+SQRT(P824*($G$6-$E$6)*($F$6-$E$6)),$G$6-SQRT((1-P824)*($G$6-$E$6)*($G$6-$F$6))))</f>
        <v>0.993898771157409</v>
      </c>
      <c r="C824" s="51" t="n">
        <f aca="false">1+IF($G$7=$E$7,$F$7,IF(Q824&lt;($F$7-$E$7)/($G$7-$E$7),$E$7+SQRT(Q824*($G$7-$E$7)*($F$7-$E$7)),$G$7-SQRT((1-Q824)*($G$7-$E$7)*($G$7-$F$7))))</f>
        <v>1.01066615206297</v>
      </c>
      <c r="D824" s="51" t="n">
        <f aca="false">1+IF($G$8=$E$8,$F$8,IF(R824&lt;($F$8-$E$8)/($G$8-$E$8),$E$8+SQRT(R824*($G$8-$E$8)*($F$8-$E$8)),$G$8-SQRT((1-R824)*($G$8-$E$8)*($G$8-$F$8))))</f>
        <v>0.985100392740146</v>
      </c>
      <c r="E824" s="51" t="n">
        <f aca="false">1+IF($G$9=$E$9,$F$9,IF(S824&lt;($F$9-$E$9)/($G$9-$E$9),$E$9+SQRT(S824*($G$9-$E$9)*($F$9-$E$9)),$G$9-SQRT((1-S824)*($G$9-$E$9)*($G$9-$F$9))))</f>
        <v>1.05466332772686</v>
      </c>
      <c r="F824" s="51" t="n">
        <f aca="false">1+IF($G$10=$E$10,$F$10,IF(T824&lt;($F$10-$E$10)/($G$10-$E$10),$E$10+SQRT(T824*($G$10-$E$10)*($F$10-$E$10)),$G$10-SQRT((1-T824)*($G$10-$E$10)*($G$10-$F$10))))</f>
        <v>1.1125904495133</v>
      </c>
      <c r="G824" s="52" t="n">
        <f aca="false">IF($G$11=$E$11,$F$11,IF(U824&lt;($F$11-$E$11)/($G$11-$E$11),$E$11+SQRT(U824*($G$11-$E$11)*($F$11-$E$11)),$G$11-SQRT((1-U824)*($G$11-$E$11)*($G$11-$F$11))))</f>
        <v>0.0913562529556383</v>
      </c>
      <c r="H824" s="53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-2225180899.02661</v>
      </c>
      <c r="I824" s="53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-219198.391647309</v>
      </c>
      <c r="J824" s="53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312867045.417801</v>
      </c>
      <c r="K824" s="53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681582811.702915</v>
      </c>
      <c r="L824" s="53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820660407.670735</v>
      </c>
      <c r="M824" s="53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1011595738.50976</v>
      </c>
      <c r="N824" s="53" t="n">
        <f aca="false">IF(COUNT('Business Case'!B11:G11)=0,"",H824+NPV(G824,I824:M824))</f>
        <v>-206469988.869796</v>
      </c>
      <c r="P824" s="54" t="n">
        <f aca="true">RAND()</f>
        <v>0.587798614991429</v>
      </c>
      <c r="Q824" s="54" t="n">
        <f aca="true">RAND()</f>
        <v>0.712386352874963</v>
      </c>
      <c r="R824" s="54" t="n">
        <f aca="true">RAND()</f>
        <v>0.164271676068335</v>
      </c>
      <c r="S824" s="54" t="n">
        <f aca="true">RAND()</f>
        <v>0.757624504530227</v>
      </c>
      <c r="T824" s="54" t="n">
        <f aca="true">RAND()</f>
        <v>0.748248205800585</v>
      </c>
      <c r="U824" s="54" t="n">
        <f aca="true">RAND()</f>
        <v>0.128964481192443</v>
      </c>
    </row>
    <row r="825" customFormat="false" ht="15" hidden="false" customHeight="false" outlineLevel="0" collapsed="false">
      <c r="A825" s="50" t="n">
        <v>745</v>
      </c>
      <c r="B825" s="51" t="n">
        <f aca="false">1+IF($G$6=$E$6,$F$6,IF(P825&lt;($F$6-$E$6)/($G$6-$E$6),$E$6+SQRT(P825*($G$6-$E$6)*($F$6-$E$6)),$G$6-SQRT((1-P825)*($G$6-$E$6)*($G$6-$F$6))))</f>
        <v>0.970232335407463</v>
      </c>
      <c r="C825" s="51" t="n">
        <f aca="false">1+IF($G$7=$E$7,$F$7,IF(Q825&lt;($F$7-$E$7)/($G$7-$E$7),$E$7+SQRT(Q825*($G$7-$E$7)*($F$7-$E$7)),$G$7-SQRT((1-Q825)*($G$7-$E$7)*($G$7-$F$7))))</f>
        <v>0.926924168471688</v>
      </c>
      <c r="D825" s="51" t="n">
        <f aca="false">1+IF($G$8=$E$8,$F$8,IF(R825&lt;($F$8-$E$8)/($G$8-$E$8),$E$8+SQRT(R825*($G$8-$E$8)*($F$8-$E$8)),$G$8-SQRT((1-R825)*($G$8-$E$8)*($G$8-$F$8))))</f>
        <v>1.05704454886436</v>
      </c>
      <c r="E825" s="51" t="n">
        <f aca="false">1+IF($G$9=$E$9,$F$9,IF(S825&lt;($F$9-$E$9)/($G$9-$E$9),$E$9+SQRT(S825*($G$9-$E$9)*($F$9-$E$9)),$G$9-SQRT((1-S825)*($G$9-$E$9)*($G$9-$F$9))))</f>
        <v>0.998988992521326</v>
      </c>
      <c r="F825" s="51" t="n">
        <f aca="false">1+IF($G$10=$E$10,$F$10,IF(T825&lt;($F$10-$E$10)/($G$10-$E$10),$E$10+SQRT(T825*($G$10-$E$10)*($F$10-$E$10)),$G$10-SQRT((1-T825)*($G$10-$E$10)*($G$10-$F$10))))</f>
        <v>1.05361242340402</v>
      </c>
      <c r="G825" s="52" t="n">
        <f aca="false">IF($G$11=$E$11,$F$11,IF(U825&lt;($F$11-$E$11)/($G$11-$E$11),$E$11+SQRT(U825*($G$11-$E$11)*($F$11-$E$11)),$G$11-SQRT((1-U825)*($G$11-$E$11)*($G$11-$F$11))))</f>
        <v>0.106637010770997</v>
      </c>
      <c r="H825" s="53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-2107224846.80804</v>
      </c>
      <c r="I825" s="53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-59000628.3550422</v>
      </c>
      <c r="J825" s="53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176037580.916274</v>
      </c>
      <c r="K825" s="53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463756411.357791</v>
      </c>
      <c r="L825" s="53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573183388.147845</v>
      </c>
      <c r="M825" s="53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744128376.829065</v>
      </c>
      <c r="N825" s="53" t="n">
        <f aca="false">IF(COUNT('Business Case'!B11:G11)=0,"",H825+NPV(G825,I825:M825))</f>
        <v>-844059617.525498</v>
      </c>
      <c r="P825" s="54" t="n">
        <f aca="true">RAND()</f>
        <v>0.32883872911909</v>
      </c>
      <c r="Q825" s="54" t="n">
        <f aca="true">RAND()</f>
        <v>0.381441320270866</v>
      </c>
      <c r="R825" s="54" t="n">
        <f aca="true">RAND()</f>
        <v>0.87698861451557</v>
      </c>
      <c r="S825" s="54" t="n">
        <f aca="true">RAND()</f>
        <v>0.391952825615483</v>
      </c>
      <c r="T825" s="54" t="n">
        <f aca="true">RAND()</f>
        <v>0.485758930116773</v>
      </c>
      <c r="U825" s="54" t="n">
        <f aca="true">RAND()</f>
        <v>0.63611382285698</v>
      </c>
    </row>
    <row r="826" customFormat="false" ht="15" hidden="false" customHeight="false" outlineLevel="0" collapsed="false">
      <c r="A826" s="50" t="n">
        <v>746</v>
      </c>
      <c r="B826" s="51" t="n">
        <f aca="false">1+IF($G$6=$E$6,$F$6,IF(P826&lt;($F$6-$E$6)/($G$6-$E$6),$E$6+SQRT(P826*($G$6-$E$6)*($F$6-$E$6)),$G$6-SQRT((1-P826)*($G$6-$E$6)*($G$6-$F$6))))</f>
        <v>0.990059026308742</v>
      </c>
      <c r="C826" s="51" t="n">
        <f aca="false">1+IF($G$7=$E$7,$F$7,IF(Q826&lt;($F$7-$E$7)/($G$7-$E$7),$E$7+SQRT(Q826*($G$7-$E$7)*($F$7-$E$7)),$G$7-SQRT((1-Q826)*($G$7-$E$7)*($G$7-$F$7))))</f>
        <v>0.930236018599726</v>
      </c>
      <c r="D826" s="51" t="n">
        <f aca="false">1+IF($G$8=$E$8,$F$8,IF(R826&lt;($F$8-$E$8)/($G$8-$E$8),$E$8+SQRT(R826*($G$8-$E$8)*($F$8-$E$8)),$G$8-SQRT((1-R826)*($G$8-$E$8)*($G$8-$F$8))))</f>
        <v>1.03441053567204</v>
      </c>
      <c r="E826" s="51" t="n">
        <f aca="false">1+IF($G$9=$E$9,$F$9,IF(S826&lt;($F$9-$E$9)/($G$9-$E$9),$E$9+SQRT(S826*($G$9-$E$9)*($F$9-$E$9)),$G$9-SQRT((1-S826)*($G$9-$E$9)*($G$9-$F$9))))</f>
        <v>1.06730198342594</v>
      </c>
      <c r="F826" s="51" t="n">
        <f aca="false">1+IF($G$10=$E$10,$F$10,IF(T826&lt;($F$10-$E$10)/($G$10-$E$10),$E$10+SQRT(T826*($G$10-$E$10)*($F$10-$E$10)),$G$10-SQRT((1-T826)*($G$10-$E$10)*($G$10-$F$10))))</f>
        <v>0.999222659648279</v>
      </c>
      <c r="G826" s="52" t="n">
        <f aca="false">IF($G$11=$E$11,$F$11,IF(U826&lt;($F$11-$E$11)/($G$11-$E$11),$E$11+SQRT(U826*($G$11-$E$11)*($F$11-$E$11)),$G$11-SQRT((1-U826)*($G$11-$E$11)*($G$11-$F$11))))</f>
        <v>0.0956359623884307</v>
      </c>
      <c r="H826" s="53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-1998445319.29656</v>
      </c>
      <c r="I826" s="53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-37673648.6507003</v>
      </c>
      <c r="J826" s="53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224089358.010139</v>
      </c>
      <c r="K826" s="53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535813497.653391</v>
      </c>
      <c r="L826" s="53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654897198.076033</v>
      </c>
      <c r="M826" s="53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829958704.855689</v>
      </c>
      <c r="N826" s="53" t="n">
        <f aca="false">IF(COUNT('Business Case'!B11:G11)=0,"",H826+NPV(G826,I826:M826))</f>
        <v>-458602924.993239</v>
      </c>
      <c r="P826" s="54" t="n">
        <f aca="true">RAND()</f>
        <v>0.540708547978574</v>
      </c>
      <c r="Q826" s="54" t="n">
        <f aca="true">RAND()</f>
        <v>0.39265647600484</v>
      </c>
      <c r="R826" s="54" t="n">
        <f aca="true">RAND()</f>
        <v>0.713201477944768</v>
      </c>
      <c r="S826" s="54" t="n">
        <f aca="true">RAND()</f>
        <v>0.817627681459103</v>
      </c>
      <c r="T826" s="54" t="n">
        <f aca="true">RAND()</f>
        <v>0.161524681523351</v>
      </c>
      <c r="U826" s="54" t="n">
        <f aca="true">RAND()</f>
        <v>0.244483319812418</v>
      </c>
    </row>
    <row r="827" customFormat="false" ht="15" hidden="false" customHeight="false" outlineLevel="0" collapsed="false">
      <c r="A827" s="50" t="n">
        <v>747</v>
      </c>
      <c r="B827" s="51" t="n">
        <f aca="false">1+IF($G$6=$E$6,$F$6,IF(P827&lt;($F$6-$E$6)/($G$6-$E$6),$E$6+SQRT(P827*($G$6-$E$6)*($F$6-$E$6)),$G$6-SQRT((1-P827)*($G$6-$E$6)*($G$6-$F$6))))</f>
        <v>0.986377919269712</v>
      </c>
      <c r="C827" s="51" t="n">
        <f aca="false">1+IF($G$7=$E$7,$F$7,IF(Q827&lt;($F$7-$E$7)/($G$7-$E$7),$E$7+SQRT(Q827*($G$7-$E$7)*($F$7-$E$7)),$G$7-SQRT((1-Q827)*($G$7-$E$7)*($G$7-$F$7))))</f>
        <v>0.763323017196693</v>
      </c>
      <c r="D827" s="51" t="n">
        <f aca="false">1+IF($G$8=$E$8,$F$8,IF(R827&lt;($F$8-$E$8)/($G$8-$E$8),$E$8+SQRT(R827*($G$8-$E$8)*($F$8-$E$8)),$G$8-SQRT((1-R827)*($G$8-$E$8)*($G$8-$F$8))))</f>
        <v>1.01188768188255</v>
      </c>
      <c r="E827" s="51" t="n">
        <f aca="false">1+IF($G$9=$E$9,$F$9,IF(S827&lt;($F$9-$E$9)/($G$9-$E$9),$E$9+SQRT(S827*($G$9-$E$9)*($F$9-$E$9)),$G$9-SQRT((1-S827)*($G$9-$E$9)*($G$9-$F$9))))</f>
        <v>1.05957658682826</v>
      </c>
      <c r="F827" s="51" t="n">
        <f aca="false">1+IF($G$10=$E$10,$F$10,IF(T827&lt;($F$10-$E$10)/($G$10-$E$10),$E$10+SQRT(T827*($G$10-$E$10)*($F$10-$E$10)),$G$10-SQRT((1-T827)*($G$10-$E$10)*($G$10-$F$10))))</f>
        <v>1.11975575545085</v>
      </c>
      <c r="G827" s="52" t="n">
        <f aca="false">IF($G$11=$E$11,$F$11,IF(U827&lt;($F$11-$E$11)/($G$11-$E$11),$E$11+SQRT(U827*($G$11-$E$11)*($F$11-$E$11)),$G$11-SQRT((1-U827)*($G$11-$E$11)*($G$11-$F$11))))</f>
        <v>0.098272133554142</v>
      </c>
      <c r="H827" s="53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-2239511510.9017</v>
      </c>
      <c r="I827" s="53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-80384789.3714182</v>
      </c>
      <c r="J827" s="53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140909417.864642</v>
      </c>
      <c r="K827" s="53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418191412.873245</v>
      </c>
      <c r="L827" s="53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517977235.562208</v>
      </c>
      <c r="M827" s="53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661093213.752061</v>
      </c>
      <c r="N827" s="53" t="n">
        <f aca="false">IF(COUNT('Business Case'!B11:G11)=0,"",H827+NPV(G827,I827:M827))</f>
        <v>-1110461003.79703</v>
      </c>
      <c r="P827" s="54" t="n">
        <f aca="true">RAND()</f>
        <v>0.497409662490987</v>
      </c>
      <c r="Q827" s="54" t="n">
        <f aca="true">RAND()</f>
        <v>0.0297022556066126</v>
      </c>
      <c r="R827" s="54" t="n">
        <f aca="true">RAND()</f>
        <v>0.482414626397947</v>
      </c>
      <c r="S827" s="54" t="n">
        <f aca="true">RAND()</f>
        <v>0.781962836009942</v>
      </c>
      <c r="T827" s="54" t="n">
        <f aca="true">RAND()</f>
        <v>0.773819156824288</v>
      </c>
      <c r="U827" s="54" t="n">
        <f aca="true">RAND()</f>
        <v>0.3338708646204</v>
      </c>
    </row>
    <row r="828" customFormat="false" ht="15" hidden="false" customHeight="false" outlineLevel="0" collapsed="false">
      <c r="A828" s="50" t="n">
        <v>748</v>
      </c>
      <c r="B828" s="51" t="n">
        <f aca="false">1+IF($G$6=$E$6,$F$6,IF(P828&lt;($F$6-$E$6)/($G$6-$E$6),$E$6+SQRT(P828*($G$6-$E$6)*($F$6-$E$6)),$G$6-SQRT((1-P828)*($G$6-$E$6)*($G$6-$F$6))))</f>
        <v>0.982784641692126</v>
      </c>
      <c r="C828" s="51" t="n">
        <f aca="false">1+IF($G$7=$E$7,$F$7,IF(Q828&lt;($F$7-$E$7)/($G$7-$E$7),$E$7+SQRT(Q828*($G$7-$E$7)*($F$7-$E$7)),$G$7-SQRT((1-Q828)*($G$7-$E$7)*($G$7-$F$7))))</f>
        <v>1.04909071151546</v>
      </c>
      <c r="D828" s="51" t="n">
        <f aca="false">1+IF($G$8=$E$8,$F$8,IF(R828&lt;($F$8-$E$8)/($G$8-$E$8),$E$8+SQRT(R828*($G$8-$E$8)*($F$8-$E$8)),$G$8-SQRT((1-R828)*($G$8-$E$8)*($G$8-$F$8))))</f>
        <v>0.970539644889126</v>
      </c>
      <c r="E828" s="51" t="n">
        <f aca="false">1+IF($G$9=$E$9,$F$9,IF(S828&lt;($F$9-$E$9)/($G$9-$E$9),$E$9+SQRT(S828*($G$9-$E$9)*($F$9-$E$9)),$G$9-SQRT((1-S828)*($G$9-$E$9)*($G$9-$F$9))))</f>
        <v>1.06267820708408</v>
      </c>
      <c r="F828" s="51" t="n">
        <f aca="false">1+IF($G$10=$E$10,$F$10,IF(T828&lt;($F$10-$E$10)/($G$10-$E$10),$E$10+SQRT(T828*($G$10-$E$10)*($F$10-$E$10)),$G$10-SQRT((1-T828)*($G$10-$E$10)*($G$10-$F$10))))</f>
        <v>1.12877451251427</v>
      </c>
      <c r="G828" s="52" t="n">
        <f aca="false">IF($G$11=$E$11,$F$11,IF(U828&lt;($F$11-$E$11)/($G$11-$E$11),$E$11+SQRT(U828*($G$11-$E$11)*($F$11-$E$11)),$G$11-SQRT((1-U828)*($G$11-$E$11)*($G$11-$F$11))))</f>
        <v>0.110072330347372</v>
      </c>
      <c r="H828" s="53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-2257549025.02855</v>
      </c>
      <c r="I828" s="53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5820281.94989239</v>
      </c>
      <c r="J828" s="53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329079463.789327</v>
      </c>
      <c r="K828" s="53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708777371.254476</v>
      </c>
      <c r="L828" s="53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852162836.928126</v>
      </c>
      <c r="M828" s="53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1048141064.76091</v>
      </c>
      <c r="N828" s="53" t="n">
        <f aca="false">IF(COUNT('Business Case'!B11:G11)=0,"",H828+NPV(G828,I828:M828))</f>
        <v>-284083943.390825</v>
      </c>
      <c r="P828" s="54" t="n">
        <f aca="true">RAND()</f>
        <v>0.456886460006246</v>
      </c>
      <c r="Q828" s="54" t="n">
        <f aca="true">RAND()</f>
        <v>0.84914541477842</v>
      </c>
      <c r="R828" s="54" t="n">
        <f aca="true">RAND()</f>
        <v>0.0562502682895185</v>
      </c>
      <c r="S828" s="54" t="n">
        <f aca="true">RAND()</f>
        <v>0.796664119518663</v>
      </c>
      <c r="T828" s="54" t="n">
        <f aca="true">RAND()</f>
        <v>0.80405841578464</v>
      </c>
      <c r="U828" s="54" t="n">
        <f aca="true">RAND()</f>
        <v>0.735258654810484</v>
      </c>
    </row>
    <row r="829" customFormat="false" ht="15" hidden="false" customHeight="false" outlineLevel="0" collapsed="false">
      <c r="A829" s="50" t="n">
        <v>749</v>
      </c>
      <c r="B829" s="51" t="n">
        <f aca="false">1+IF($G$6=$E$6,$F$6,IF(P829&lt;($F$6-$E$6)/($G$6-$E$6),$E$6+SQRT(P829*($G$6-$E$6)*($F$6-$E$6)),$G$6-SQRT((1-P829)*($G$6-$E$6)*($G$6-$F$6))))</f>
        <v>0.973035708643603</v>
      </c>
      <c r="C829" s="51" t="n">
        <f aca="false">1+IF($G$7=$E$7,$F$7,IF(Q829&lt;($F$7-$E$7)/($G$7-$E$7),$E$7+SQRT(Q829*($G$7-$E$7)*($F$7-$E$7)),$G$7-SQRT((1-Q829)*($G$7-$E$7)*($G$7-$F$7))))</f>
        <v>0.975992016837575</v>
      </c>
      <c r="D829" s="51" t="n">
        <f aca="false">1+IF($G$8=$E$8,$F$8,IF(R829&lt;($F$8-$E$8)/($G$8-$E$8),$E$8+SQRT(R829*($G$8-$E$8)*($F$8-$E$8)),$G$8-SQRT((1-R829)*($G$8-$E$8)*($G$8-$F$8))))</f>
        <v>1.06220216665325</v>
      </c>
      <c r="E829" s="51" t="n">
        <f aca="false">1+IF($G$9=$E$9,$F$9,IF(S829&lt;($F$9-$E$9)/($G$9-$E$9),$E$9+SQRT(S829*($G$9-$E$9)*($F$9-$E$9)),$G$9-SQRT((1-S829)*($G$9-$E$9)*($G$9-$F$9))))</f>
        <v>1.03555079253914</v>
      </c>
      <c r="F829" s="51" t="n">
        <f aca="false">1+IF($G$10=$E$10,$F$10,IF(T829&lt;($F$10-$E$10)/($G$10-$E$10),$E$10+SQRT(T829*($G$10-$E$10)*($F$10-$E$10)),$G$10-SQRT((1-T829)*($G$10-$E$10)*($G$10-$F$10))))</f>
        <v>1.14810190531608</v>
      </c>
      <c r="G829" s="52" t="n">
        <f aca="false">IF($G$11=$E$11,$F$11,IF(U829&lt;($F$11-$E$11)/($G$11-$E$11),$E$11+SQRT(U829*($G$11-$E$11)*($F$11-$E$11)),$G$11-SQRT((1-U829)*($G$11-$E$11)*($G$11-$F$11))))</f>
        <v>0.107995973405731</v>
      </c>
      <c r="H829" s="53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-2296203810.63215</v>
      </c>
      <c r="I829" s="53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-64152290.8000675</v>
      </c>
      <c r="J829" s="53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182992087.971312</v>
      </c>
      <c r="K829" s="53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487541562.008494</v>
      </c>
      <c r="L829" s="53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602743792.492803</v>
      </c>
      <c r="M829" s="53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783258032.408971</v>
      </c>
      <c r="N829" s="53" t="n">
        <f aca="false">IF(COUNT('Business Case'!B11:G11)=0,"",H829+NPV(G829,I829:M829))</f>
        <v>-977650221.971583</v>
      </c>
      <c r="P829" s="54" t="n">
        <f aca="true">RAND()</f>
        <v>0.355614315804881</v>
      </c>
      <c r="Q829" s="54" t="n">
        <f aca="true">RAND()</f>
        <v>0.56423402487461</v>
      </c>
      <c r="R829" s="54" t="n">
        <f aca="true">RAND()</f>
        <v>0.904754919619441</v>
      </c>
      <c r="S829" s="54" t="n">
        <f aca="true">RAND()</f>
        <v>0.650703437642162</v>
      </c>
      <c r="T829" s="54" t="n">
        <f aca="true">RAND()</f>
        <v>0.861557043997151</v>
      </c>
      <c r="U829" s="54" t="n">
        <f aca="true">RAND()</f>
        <v>0.677215209092467</v>
      </c>
    </row>
    <row r="830" customFormat="false" ht="15" hidden="false" customHeight="false" outlineLevel="0" collapsed="false">
      <c r="A830" s="50" t="n">
        <v>750</v>
      </c>
      <c r="B830" s="51" t="n">
        <f aca="false">1+IF($G$6=$E$6,$F$6,IF(P830&lt;($F$6-$E$6)/($G$6-$E$6),$E$6+SQRT(P830*($G$6-$E$6)*($F$6-$E$6)),$G$6-SQRT((1-P830)*($G$6-$E$6)*($G$6-$F$6))))</f>
        <v>0.914764316326532</v>
      </c>
      <c r="C830" s="51" t="n">
        <f aca="false">1+IF($G$7=$E$7,$F$7,IF(Q830&lt;($F$7-$E$7)/($G$7-$E$7),$E$7+SQRT(Q830*($G$7-$E$7)*($F$7-$E$7)),$G$7-SQRT((1-Q830)*($G$7-$E$7)*($G$7-$F$7))))</f>
        <v>0.923277180909261</v>
      </c>
      <c r="D830" s="51" t="n">
        <f aca="false">1+IF($G$8=$E$8,$F$8,IF(R830&lt;($F$8-$E$8)/($G$8-$E$8),$E$8+SQRT(R830*($G$8-$E$8)*($F$8-$E$8)),$G$8-SQRT((1-R830)*($G$8-$E$8)*($G$8-$F$8))))</f>
        <v>0.985994702335731</v>
      </c>
      <c r="E830" s="51" t="n">
        <f aca="false">1+IF($G$9=$E$9,$F$9,IF(S830&lt;($F$9-$E$9)/($G$9-$E$9),$E$9+SQRT(S830*($G$9-$E$9)*($F$9-$E$9)),$G$9-SQRT((1-S830)*($G$9-$E$9)*($G$9-$F$9))))</f>
        <v>1.00802545635786</v>
      </c>
      <c r="F830" s="51" t="n">
        <f aca="false">1+IF($G$10=$E$10,$F$10,IF(T830&lt;($F$10-$E$10)/($G$10-$E$10),$E$10+SQRT(T830*($G$10-$E$10)*($F$10-$E$10)),$G$10-SQRT((1-T830)*($G$10-$E$10)*($G$10-$F$10))))</f>
        <v>1.13639615037656</v>
      </c>
      <c r="G830" s="52" t="n">
        <f aca="false">IF($G$11=$E$11,$F$11,IF(U830&lt;($F$11-$E$11)/($G$11-$E$11),$E$11+SQRT(U830*($G$11-$E$11)*($F$11-$E$11)),$G$11-SQRT((1-U830)*($G$11-$E$11)*($G$11-$F$11))))</f>
        <v>0.101363669006663</v>
      </c>
      <c r="H830" s="53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-2272792300.75312</v>
      </c>
      <c r="I830" s="53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-75015784.2078045</v>
      </c>
      <c r="J830" s="53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150732346.550132</v>
      </c>
      <c r="K830" s="53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433300284.826897</v>
      </c>
      <c r="L830" s="53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537738381.768875</v>
      </c>
      <c r="M830" s="53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698276341.893535</v>
      </c>
      <c r="N830" s="53" t="n">
        <f aca="false">IF(COUNT('Business Case'!B11:G11)=0,"",H830+NPV(G830,I830:M830))</f>
        <v>-1095938926.7158</v>
      </c>
      <c r="P830" s="54" t="n">
        <f aca="true">RAND()</f>
        <v>0.0145323357726605</v>
      </c>
      <c r="Q830" s="54" t="n">
        <f aca="true">RAND()</f>
        <v>0.369279255665087</v>
      </c>
      <c r="R830" s="54" t="n">
        <f aca="true">RAND()</f>
        <v>0.172749146165054</v>
      </c>
      <c r="S830" s="54" t="n">
        <f aca="true">RAND()</f>
        <v>0.462486105536132</v>
      </c>
      <c r="T830" s="54" t="n">
        <f aca="true">RAND()</f>
        <v>0.82792220467646</v>
      </c>
      <c r="U830" s="54" t="n">
        <f aca="true">RAND()</f>
        <v>0.453307031493356</v>
      </c>
    </row>
    <row r="831" customFormat="false" ht="15" hidden="false" customHeight="false" outlineLevel="0" collapsed="false">
      <c r="A831" s="50" t="n">
        <v>751</v>
      </c>
      <c r="B831" s="51" t="n">
        <f aca="false">1+IF($G$6=$E$6,$F$6,IF(P831&lt;($F$6-$E$6)/($G$6-$E$6),$E$6+SQRT(P831*($G$6-$E$6)*($F$6-$E$6)),$G$6-SQRT((1-P831)*($G$6-$E$6)*($G$6-$F$6))))</f>
        <v>0.977704780792892</v>
      </c>
      <c r="C831" s="51" t="n">
        <f aca="false">1+IF($G$7=$E$7,$F$7,IF(Q831&lt;($F$7-$E$7)/($G$7-$E$7),$E$7+SQRT(Q831*($G$7-$E$7)*($F$7-$E$7)),$G$7-SQRT((1-Q831)*($G$7-$E$7)*($G$7-$F$7))))</f>
        <v>0.982097960702494</v>
      </c>
      <c r="D831" s="51" t="n">
        <f aca="false">1+IF($G$8=$E$8,$F$8,IF(R831&lt;($F$8-$E$8)/($G$8-$E$8),$E$8+SQRT(R831*($G$8-$E$8)*($F$8-$E$8)),$G$8-SQRT((1-R831)*($G$8-$E$8)*($G$8-$F$8))))</f>
        <v>0.977940209081566</v>
      </c>
      <c r="E831" s="51" t="n">
        <f aca="false">1+IF($G$9=$E$9,$F$9,IF(S831&lt;($F$9-$E$9)/($G$9-$E$9),$E$9+SQRT(S831*($G$9-$E$9)*($F$9-$E$9)),$G$9-SQRT((1-S831)*($G$9-$E$9)*($G$9-$F$9))))</f>
        <v>0.97343308960245</v>
      </c>
      <c r="F831" s="51" t="n">
        <f aca="false">1+IF($G$10=$E$10,$F$10,IF(T831&lt;($F$10-$E$10)/($G$10-$E$10),$E$10+SQRT(T831*($G$10-$E$10)*($F$10-$E$10)),$G$10-SQRT((1-T831)*($G$10-$E$10)*($G$10-$F$10))))</f>
        <v>1.20645229122126</v>
      </c>
      <c r="G831" s="52" t="n">
        <f aca="false">IF($G$11=$E$11,$F$11,IF(U831&lt;($F$11-$E$11)/($G$11-$E$11),$E$11+SQRT(U831*($G$11-$E$11)*($F$11-$E$11)),$G$11-SQRT((1-U831)*($G$11-$E$11)*($G$11-$F$11))))</f>
        <v>0.122876056672439</v>
      </c>
      <c r="H831" s="53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-2412904582.44253</v>
      </c>
      <c r="I831" s="53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-14034717.1640629</v>
      </c>
      <c r="J831" s="53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280774845.148107</v>
      </c>
      <c r="K831" s="53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635907022.021341</v>
      </c>
      <c r="L831" s="53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767361452.80049</v>
      </c>
      <c r="M831" s="53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949876624.513499</v>
      </c>
      <c r="N831" s="53" t="n">
        <f aca="false">IF(COUNT('Business Case'!B11:G11)=0,"",H831+NPV(G831,I831:M831))</f>
        <v>-738746602.419091</v>
      </c>
      <c r="P831" s="54" t="n">
        <f aca="true">RAND()</f>
        <v>0.402535530538091</v>
      </c>
      <c r="Q831" s="54" t="n">
        <f aca="true">RAND()</f>
        <v>0.589475995796339</v>
      </c>
      <c r="R831" s="54" t="n">
        <f aca="true">RAND()</f>
        <v>0.104087371136213</v>
      </c>
      <c r="S831" s="54" t="n">
        <f aca="true">RAND()</f>
        <v>0.215696745942455</v>
      </c>
      <c r="T831" s="54" t="n">
        <f aca="true">RAND()</f>
        <v>0.974714627468298</v>
      </c>
      <c r="U831" s="54" t="n">
        <f aca="true">RAND()</f>
        <v>0.966166287643797</v>
      </c>
    </row>
    <row r="832" customFormat="false" ht="15" hidden="false" customHeight="false" outlineLevel="0" collapsed="false">
      <c r="A832" s="50" t="n">
        <v>752</v>
      </c>
      <c r="B832" s="51" t="n">
        <f aca="false">1+IF($G$6=$E$6,$F$6,IF(P832&lt;($F$6-$E$6)/($G$6-$E$6),$E$6+SQRT(P832*($G$6-$E$6)*($F$6-$E$6)),$G$6-SQRT((1-P832)*($G$6-$E$6)*($G$6-$F$6))))</f>
        <v>1.02065262491954</v>
      </c>
      <c r="C832" s="51" t="n">
        <f aca="false">1+IF($G$7=$E$7,$F$7,IF(Q832&lt;($F$7-$E$7)/($G$7-$E$7),$E$7+SQRT(Q832*($G$7-$E$7)*($F$7-$E$7)),$G$7-SQRT((1-Q832)*($G$7-$E$7)*($G$7-$F$7))))</f>
        <v>0.961625085097962</v>
      </c>
      <c r="D832" s="51" t="n">
        <f aca="false">1+IF($G$8=$E$8,$F$8,IF(R832&lt;($F$8-$E$8)/($G$8-$E$8),$E$8+SQRT(R832*($G$8-$E$8)*($F$8-$E$8)),$G$8-SQRT((1-R832)*($G$8-$E$8)*($G$8-$F$8))))</f>
        <v>0.999272228281662</v>
      </c>
      <c r="E832" s="51" t="n">
        <f aca="false">1+IF($G$9=$E$9,$F$9,IF(S832&lt;($F$9-$E$9)/($G$9-$E$9),$E$9+SQRT(S832*($G$9-$E$9)*($F$9-$E$9)),$G$9-SQRT((1-S832)*($G$9-$E$9)*($G$9-$F$9))))</f>
        <v>1.0548185761108</v>
      </c>
      <c r="F832" s="51" t="n">
        <f aca="false">1+IF($G$10=$E$10,$F$10,IF(T832&lt;($F$10-$E$10)/($G$10-$E$10),$E$10+SQRT(T832*($G$10-$E$10)*($F$10-$E$10)),$G$10-SQRT((1-T832)*($G$10-$E$10)*($G$10-$F$10))))</f>
        <v>0.974303952207971</v>
      </c>
      <c r="G832" s="52" t="n">
        <f aca="false">IF($G$11=$E$11,$F$11,IF(U832&lt;($F$11-$E$11)/($G$11-$E$11),$E$11+SQRT(U832*($G$11-$E$11)*($F$11-$E$11)),$G$11-SQRT((1-U832)*($G$11-$E$11)*($G$11-$F$11))))</f>
        <v>0.0875725010608247</v>
      </c>
      <c r="H832" s="53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-1948607904.41594</v>
      </c>
      <c r="I832" s="53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13684381.4712822</v>
      </c>
      <c r="J832" s="53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325674550.758823</v>
      </c>
      <c r="K832" s="53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686379917.656763</v>
      </c>
      <c r="L832" s="53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824296768.134281</v>
      </c>
      <c r="M832" s="53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1010857468.73347</v>
      </c>
      <c r="N832" s="53" t="n">
        <f aca="false">IF(COUNT('Business Case'!B11:G11)=0,"",H832+NPV(G832,I832:M832))</f>
        <v>126418148.467531</v>
      </c>
      <c r="P832" s="54" t="n">
        <f aca="true">RAND()</f>
        <v>0.885164210118264</v>
      </c>
      <c r="Q832" s="54" t="n">
        <f aca="true">RAND()</f>
        <v>0.507019890018637</v>
      </c>
      <c r="R832" s="54" t="n">
        <f aca="true">RAND()</f>
        <v>0.323700330645364</v>
      </c>
      <c r="S832" s="54" t="n">
        <f aca="true">RAND()</f>
        <v>0.758413241237984</v>
      </c>
      <c r="T832" s="54" t="n">
        <f aca="true">RAND()</f>
        <v>0.0393788061951569</v>
      </c>
      <c r="U832" s="54" t="n">
        <f aca="true">RAND()</f>
        <v>0.0573427723161916</v>
      </c>
    </row>
    <row r="833" customFormat="false" ht="15" hidden="false" customHeight="false" outlineLevel="0" collapsed="false">
      <c r="A833" s="50" t="n">
        <v>753</v>
      </c>
      <c r="B833" s="51" t="n">
        <f aca="false">1+IF($G$6=$E$6,$F$6,IF(P833&lt;($F$6-$E$6)/($G$6-$E$6),$E$6+SQRT(P833*($G$6-$E$6)*($F$6-$E$6)),$G$6-SQRT((1-P833)*($G$6-$E$6)*($G$6-$F$6))))</f>
        <v>0.942210591844875</v>
      </c>
      <c r="C833" s="51" t="n">
        <f aca="false">1+IF($G$7=$E$7,$F$7,IF(Q833&lt;($F$7-$E$7)/($G$7-$E$7),$E$7+SQRT(Q833*($G$7-$E$7)*($F$7-$E$7)),$G$7-SQRT((1-Q833)*($G$7-$E$7)*($G$7-$F$7))))</f>
        <v>0.999008308154775</v>
      </c>
      <c r="D833" s="51" t="n">
        <f aca="false">1+IF($G$8=$E$8,$F$8,IF(R833&lt;($F$8-$E$8)/($G$8-$E$8),$E$8+SQRT(R833*($G$8-$E$8)*($F$8-$E$8)),$G$8-SQRT((1-R833)*($G$8-$E$8)*($G$8-$F$8))))</f>
        <v>0.998653602136281</v>
      </c>
      <c r="E833" s="51" t="n">
        <f aca="false">1+IF($G$9=$E$9,$F$9,IF(S833&lt;($F$9-$E$9)/($G$9-$E$9),$E$9+SQRT(S833*($G$9-$E$9)*($F$9-$E$9)),$G$9-SQRT((1-S833)*($G$9-$E$9)*($G$9-$F$9))))</f>
        <v>0.958278571954003</v>
      </c>
      <c r="F833" s="51" t="n">
        <f aca="false">1+IF($G$10=$E$10,$F$10,IF(T833&lt;($F$10-$E$10)/($G$10-$E$10),$E$10+SQRT(T833*($G$10-$E$10)*($F$10-$E$10)),$G$10-SQRT((1-T833)*($G$10-$E$10)*($G$10-$F$10))))</f>
        <v>1.16917196434136</v>
      </c>
      <c r="G833" s="52" t="n">
        <f aca="false">IF($G$11=$E$11,$F$11,IF(U833&lt;($F$11-$E$11)/($G$11-$E$11),$E$11+SQRT(U833*($G$11-$E$11)*($F$11-$E$11)),$G$11-SQRT((1-U833)*($G$11-$E$11)*($G$11-$F$11))))</f>
        <v>0.0914006094827838</v>
      </c>
      <c r="H833" s="53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-2338343928.68271</v>
      </c>
      <c r="I833" s="53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-41730949.4020745</v>
      </c>
      <c r="J833" s="53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218518269.251152</v>
      </c>
      <c r="K833" s="53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537226086.121447</v>
      </c>
      <c r="L833" s="53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656506331.465394</v>
      </c>
      <c r="M833" s="53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835424113.326183</v>
      </c>
      <c r="N833" s="53" t="n">
        <f aca="false">IF(COUNT('Business Case'!B11:G11)=0,"",H833+NPV(G833,I833:M833))</f>
        <v>-777691200.909781</v>
      </c>
      <c r="P833" s="54" t="n">
        <f aca="true">RAND()</f>
        <v>0.118782270926308</v>
      </c>
      <c r="Q833" s="54" t="n">
        <f aca="true">RAND()</f>
        <v>0.662266432189488</v>
      </c>
      <c r="R833" s="54" t="n">
        <f aca="true">RAND()</f>
        <v>0.315623066778068</v>
      </c>
      <c r="S833" s="54" t="n">
        <f aca="true">RAND()</f>
        <v>0.135855677959916</v>
      </c>
      <c r="T833" s="54" t="n">
        <f aca="true">RAND()</f>
        <v>0.912891048687535</v>
      </c>
      <c r="U833" s="54" t="n">
        <f aca="true">RAND()</f>
        <v>0.12997389657894</v>
      </c>
    </row>
    <row r="834" customFormat="false" ht="15" hidden="false" customHeight="false" outlineLevel="0" collapsed="false">
      <c r="A834" s="50" t="n">
        <v>754</v>
      </c>
      <c r="B834" s="51" t="n">
        <f aca="false">1+IF($G$6=$E$6,$F$6,IF(P834&lt;($F$6-$E$6)/($G$6-$E$6),$E$6+SQRT(P834*($G$6-$E$6)*($F$6-$E$6)),$G$6-SQRT((1-P834)*($G$6-$E$6)*($G$6-$F$6))))</f>
        <v>0.985202763293042</v>
      </c>
      <c r="C834" s="51" t="n">
        <f aca="false">1+IF($G$7=$E$7,$F$7,IF(Q834&lt;($F$7-$E$7)/($G$7-$E$7),$E$7+SQRT(Q834*($G$7-$E$7)*($F$7-$E$7)),$G$7-SQRT((1-Q834)*($G$7-$E$7)*($G$7-$F$7))))</f>
        <v>0.958269415692284</v>
      </c>
      <c r="D834" s="51" t="n">
        <f aca="false">1+IF($G$8=$E$8,$F$8,IF(R834&lt;($F$8-$E$8)/($G$8-$E$8),$E$8+SQRT(R834*($G$8-$E$8)*($F$8-$E$8)),$G$8-SQRT((1-R834)*($G$8-$E$8)*($G$8-$F$8))))</f>
        <v>1.04406715055165</v>
      </c>
      <c r="E834" s="51" t="n">
        <f aca="false">1+IF($G$9=$E$9,$F$9,IF(S834&lt;($F$9-$E$9)/($G$9-$E$9),$E$9+SQRT(S834*($G$9-$E$9)*($F$9-$E$9)),$G$9-SQRT((1-S834)*($G$9-$E$9)*($G$9-$F$9))))</f>
        <v>1.10612071254683</v>
      </c>
      <c r="F834" s="51" t="n">
        <f aca="false">1+IF($G$10=$E$10,$F$10,IF(T834&lt;($F$10-$E$10)/($G$10-$E$10),$E$10+SQRT(T834*($G$10-$E$10)*($F$10-$E$10)),$G$10-SQRT((1-T834)*($G$10-$E$10)*($G$10-$F$10))))</f>
        <v>1.01939724977939</v>
      </c>
      <c r="G834" s="52" t="n">
        <f aca="false">IF($G$11=$E$11,$F$11,IF(U834&lt;($F$11-$E$11)/($G$11-$E$11),$E$11+SQRT(U834*($G$11-$E$11)*($F$11-$E$11)),$G$11-SQRT((1-U834)*($G$11-$E$11)*($G$11-$F$11))))</f>
        <v>0.101942529068846</v>
      </c>
      <c r="H834" s="53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-2038794499.55878</v>
      </c>
      <c r="I834" s="53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-47069020.5218168</v>
      </c>
      <c r="J834" s="53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214033658.078854</v>
      </c>
      <c r="K834" s="53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526106199.168495</v>
      </c>
      <c r="L834" s="53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645768164.582312</v>
      </c>
      <c r="M834" s="53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825220730.257074</v>
      </c>
      <c r="N834" s="53" t="n">
        <f aca="false">IF(COUNT('Business Case'!B11:G11)=0,"",H834+NPV(G834,I834:M834))</f>
        <v>-566197005.870001</v>
      </c>
      <c r="P834" s="54" t="n">
        <f aca="true">RAND()</f>
        <v>0.483967391518013</v>
      </c>
      <c r="Q834" s="54" t="n">
        <f aca="true">RAND()</f>
        <v>0.494096970978027</v>
      </c>
      <c r="R834" s="54" t="n">
        <f aca="true">RAND()</f>
        <v>0.791434423505897</v>
      </c>
      <c r="S834" s="54" t="n">
        <f aca="true">RAND()</f>
        <v>0.948656216869383</v>
      </c>
      <c r="T834" s="54" t="n">
        <f aca="true">RAND()</f>
        <v>0.290964954542555</v>
      </c>
      <c r="U834" s="54" t="n">
        <f aca="true">RAND()</f>
        <v>0.475185549964981</v>
      </c>
    </row>
    <row r="835" customFormat="false" ht="15" hidden="false" customHeight="false" outlineLevel="0" collapsed="false">
      <c r="A835" s="50" t="n">
        <v>755</v>
      </c>
      <c r="B835" s="51" t="n">
        <f aca="false">1+IF($G$6=$E$6,$F$6,IF(P835&lt;($F$6-$E$6)/($G$6-$E$6),$E$6+SQRT(P835*($G$6-$E$6)*($F$6-$E$6)),$G$6-SQRT((1-P835)*($G$6-$E$6)*($G$6-$F$6))))</f>
        <v>0.997464659552554</v>
      </c>
      <c r="C835" s="51" t="n">
        <f aca="false">1+IF($G$7=$E$7,$F$7,IF(Q835&lt;($F$7-$E$7)/($G$7-$E$7),$E$7+SQRT(Q835*($G$7-$E$7)*($F$7-$E$7)),$G$7-SQRT((1-Q835)*($G$7-$E$7)*($G$7-$F$7))))</f>
        <v>0.879514080314492</v>
      </c>
      <c r="D835" s="51" t="n">
        <f aca="false">1+IF($G$8=$E$8,$F$8,IF(R835&lt;($F$8-$E$8)/($G$8-$E$8),$E$8+SQRT(R835*($G$8-$E$8)*($F$8-$E$8)),$G$8-SQRT((1-R835)*($G$8-$E$8)*($G$8-$F$8))))</f>
        <v>1.06625275935746</v>
      </c>
      <c r="E835" s="51" t="n">
        <f aca="false">1+IF($G$9=$E$9,$F$9,IF(S835&lt;($F$9-$E$9)/($G$9-$E$9),$E$9+SQRT(S835*($G$9-$E$9)*($F$9-$E$9)),$G$9-SQRT((1-S835)*($G$9-$E$9)*($G$9-$F$9))))</f>
        <v>0.998802518032423</v>
      </c>
      <c r="F835" s="51" t="n">
        <f aca="false">1+IF($G$10=$E$10,$F$10,IF(T835&lt;($F$10-$E$10)/($G$10-$E$10),$E$10+SQRT(T835*($G$10-$E$10)*($F$10-$E$10)),$G$10-SQRT((1-T835)*($G$10-$E$10)*($G$10-$F$10))))</f>
        <v>1.06364998406248</v>
      </c>
      <c r="G835" s="52" t="n">
        <f aca="false">IF($G$11=$E$11,$F$11,IF(U835&lt;($F$11-$E$11)/($G$11-$E$11),$E$11+SQRT(U835*($G$11-$E$11)*($F$11-$E$11)),$G$11-SQRT((1-U835)*($G$11-$E$11)*($G$11-$F$11))))</f>
        <v>0.111666388345079</v>
      </c>
      <c r="H835" s="53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-2127299968.12496</v>
      </c>
      <c r="I835" s="53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-55384741.9475909</v>
      </c>
      <c r="J835" s="53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183103646.16126</v>
      </c>
      <c r="K835" s="53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474774533.473234</v>
      </c>
      <c r="L835" s="53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584589605.233506</v>
      </c>
      <c r="M835" s="53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751343788.38211</v>
      </c>
      <c r="N835" s="53" t="n">
        <f aca="false">IF(COUNT('Business Case'!B11:G11)=0,"",H835+NPV(G835,I835:M835))</f>
        <v>-858025725.952763</v>
      </c>
      <c r="P835" s="54" t="n">
        <f aca="true">RAND()</f>
        <v>0.633290657446355</v>
      </c>
      <c r="Q835" s="54" t="n">
        <f aca="true">RAND()</f>
        <v>0.238705963193763</v>
      </c>
      <c r="R835" s="54" t="n">
        <f aca="true">RAND()</f>
        <v>0.924074916600979</v>
      </c>
      <c r="S835" s="54" t="n">
        <f aca="true">RAND()</f>
        <v>0.390477502781893</v>
      </c>
      <c r="T835" s="54" t="n">
        <f aca="true">RAND()</f>
        <v>0.536982287467804</v>
      </c>
      <c r="U835" s="54" t="n">
        <f aca="true">RAND()</f>
        <v>0.775919122457688</v>
      </c>
    </row>
    <row r="836" customFormat="false" ht="15" hidden="false" customHeight="false" outlineLevel="0" collapsed="false">
      <c r="A836" s="50" t="n">
        <v>756</v>
      </c>
      <c r="B836" s="51" t="n">
        <f aca="false">1+IF($G$6=$E$6,$F$6,IF(P836&lt;($F$6-$E$6)/($G$6-$E$6),$E$6+SQRT(P836*($G$6-$E$6)*($F$6-$E$6)),$G$6-SQRT((1-P836)*($G$6-$E$6)*($G$6-$F$6))))</f>
        <v>0.992345680752728</v>
      </c>
      <c r="C836" s="51" t="n">
        <f aca="false">1+IF($G$7=$E$7,$F$7,IF(Q836&lt;($F$7-$E$7)/($G$7-$E$7),$E$7+SQRT(Q836*($G$7-$E$7)*($F$7-$E$7)),$G$7-SQRT((1-Q836)*($G$7-$E$7)*($G$7-$F$7))))</f>
        <v>1.02436663875003</v>
      </c>
      <c r="D836" s="51" t="n">
        <f aca="false">1+IF($G$8=$E$8,$F$8,IF(R836&lt;($F$8-$E$8)/($G$8-$E$8),$E$8+SQRT(R836*($G$8-$E$8)*($F$8-$E$8)),$G$8-SQRT((1-R836)*($G$8-$E$8)*($G$8-$F$8))))</f>
        <v>0.992793565866578</v>
      </c>
      <c r="E836" s="51" t="n">
        <f aca="false">1+IF($G$9=$E$9,$F$9,IF(S836&lt;($F$9-$E$9)/($G$9-$E$9),$E$9+SQRT(S836*($G$9-$E$9)*($F$9-$E$9)),$G$9-SQRT((1-S836)*($G$9-$E$9)*($G$9-$F$9))))</f>
        <v>1.00090504426302</v>
      </c>
      <c r="F836" s="51" t="n">
        <f aca="false">1+IF($G$10=$E$10,$F$10,IF(T836&lt;($F$10-$E$10)/($G$10-$E$10),$E$10+SQRT(T836*($G$10-$E$10)*($F$10-$E$10)),$G$10-SQRT((1-T836)*($G$10-$E$10)*($G$10-$F$10))))</f>
        <v>0.998138500555255</v>
      </c>
      <c r="G836" s="52" t="n">
        <f aca="false">IF($G$11=$E$11,$F$11,IF(U836&lt;($F$11-$E$11)/($G$11-$E$11),$E$11+SQRT(U836*($G$11-$E$11)*($F$11-$E$11)),$G$11-SQRT((1-U836)*($G$11-$E$11)*($G$11-$F$11))))</f>
        <v>0.115770550270248</v>
      </c>
      <c r="H836" s="53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-1996277001.11051</v>
      </c>
      <c r="I836" s="53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17153821.9546305</v>
      </c>
      <c r="J836" s="53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329146889.221953</v>
      </c>
      <c r="K836" s="53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691046881.517037</v>
      </c>
      <c r="L836" s="53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830175702.581455</v>
      </c>
      <c r="M836" s="53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1023396928.44566</v>
      </c>
      <c r="N836" s="53" t="n">
        <f aca="false">IF(COUNT('Business Case'!B11:G11)=0,"",H836+NPV(G836,I836:M836))</f>
        <v>-91598273.9080894</v>
      </c>
      <c r="P836" s="54" t="n">
        <f aca="true">RAND()</f>
        <v>0.568514983578986</v>
      </c>
      <c r="Q836" s="54" t="n">
        <f aca="true">RAND()</f>
        <v>0.766166793200518</v>
      </c>
      <c r="R836" s="54" t="n">
        <f aca="true">RAND()</f>
        <v>0.244171903943619</v>
      </c>
      <c r="S836" s="54" t="n">
        <f aca="true">RAND()</f>
        <v>0.407218511300975</v>
      </c>
      <c r="T836" s="54" t="n">
        <f aca="true">RAND()</f>
        <v>0.154487682380551</v>
      </c>
      <c r="U836" s="54" t="n">
        <f aca="true">RAND()</f>
        <v>0.865015173592316</v>
      </c>
    </row>
    <row r="837" customFormat="false" ht="15" hidden="false" customHeight="false" outlineLevel="0" collapsed="false">
      <c r="A837" s="50" t="n">
        <v>757</v>
      </c>
      <c r="B837" s="51" t="n">
        <f aca="false">1+IF($G$6=$E$6,$F$6,IF(P837&lt;($F$6-$E$6)/($G$6-$E$6),$E$6+SQRT(P837*($G$6-$E$6)*($F$6-$E$6)),$G$6-SQRT((1-P837)*($G$6-$E$6)*($G$6-$F$6))))</f>
        <v>1.00045351586971</v>
      </c>
      <c r="C837" s="51" t="n">
        <f aca="false">1+IF($G$7=$E$7,$F$7,IF(Q837&lt;($F$7-$E$7)/($G$7-$E$7),$E$7+SQRT(Q837*($G$7-$E$7)*($F$7-$E$7)),$G$7-SQRT((1-Q837)*($G$7-$E$7)*($G$7-$F$7))))</f>
        <v>1.05458853421672</v>
      </c>
      <c r="D837" s="51" t="n">
        <f aca="false">1+IF($G$8=$E$8,$F$8,IF(R837&lt;($F$8-$E$8)/($G$8-$E$8),$E$8+SQRT(R837*($G$8-$E$8)*($F$8-$E$8)),$G$8-SQRT((1-R837)*($G$8-$E$8)*($G$8-$F$8))))</f>
        <v>1.05873229608567</v>
      </c>
      <c r="E837" s="51" t="n">
        <f aca="false">1+IF($G$9=$E$9,$F$9,IF(S837&lt;($F$9-$E$9)/($G$9-$E$9),$E$9+SQRT(S837*($G$9-$E$9)*($F$9-$E$9)),$G$9-SQRT((1-S837)*($G$9-$E$9)*($G$9-$F$9))))</f>
        <v>1.10808886373764</v>
      </c>
      <c r="F837" s="51" t="n">
        <f aca="false">1+IF($G$10=$E$10,$F$10,IF(T837&lt;($F$10-$E$10)/($G$10-$E$10),$E$10+SQRT(T837*($G$10-$E$10)*($F$10-$E$10)),$G$10-SQRT((1-T837)*($G$10-$E$10)*($G$10-$F$10))))</f>
        <v>1.06739120488999</v>
      </c>
      <c r="G837" s="52" t="n">
        <f aca="false">IF($G$11=$E$11,$F$11,IF(U837&lt;($F$11-$E$11)/($G$11-$E$11),$E$11+SQRT(U837*($G$11-$E$11)*($F$11-$E$11)),$G$11-SQRT((1-U837)*($G$11-$E$11)*($G$11-$F$11))))</f>
        <v>0.0885787641239289</v>
      </c>
      <c r="H837" s="53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-2134782409.77997</v>
      </c>
      <c r="I837" s="53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-26400811.8133533</v>
      </c>
      <c r="J837" s="53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266202396.553044</v>
      </c>
      <c r="K837" s="53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612175165.163941</v>
      </c>
      <c r="L837" s="53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746172676.79758</v>
      </c>
      <c r="M837" s="53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946719775.444199</v>
      </c>
      <c r="N837" s="53" t="n">
        <f aca="false">IF(COUNT('Business Case'!B11:G11)=0,"",H837+NPV(G837,I837:M837))</f>
        <v>-309123243.807958</v>
      </c>
      <c r="P837" s="54" t="n">
        <f aca="true">RAND()</f>
        <v>0.672686121376949</v>
      </c>
      <c r="Q837" s="54" t="n">
        <f aca="true">RAND()</f>
        <v>0.86513558810498</v>
      </c>
      <c r="R837" s="54" t="n">
        <f aca="true">RAND()</f>
        <v>0.886465107575939</v>
      </c>
      <c r="S837" s="54" t="n">
        <f aca="true">RAND()</f>
        <v>0.953158844191947</v>
      </c>
      <c r="T837" s="54" t="n">
        <f aca="true">RAND()</f>
        <v>0.555387039312916</v>
      </c>
      <c r="U837" s="54" t="n">
        <f aca="true">RAND()</f>
        <v>0.0735951938940098</v>
      </c>
    </row>
    <row r="838" customFormat="false" ht="15" hidden="false" customHeight="false" outlineLevel="0" collapsed="false">
      <c r="A838" s="50" t="n">
        <v>758</v>
      </c>
      <c r="B838" s="51" t="n">
        <f aca="false">1+IF($G$6=$E$6,$F$6,IF(P838&lt;($F$6-$E$6)/($G$6-$E$6),$E$6+SQRT(P838*($G$6-$E$6)*($F$6-$E$6)),$G$6-SQRT((1-P838)*($G$6-$E$6)*($G$6-$F$6))))</f>
        <v>1.01665017354842</v>
      </c>
      <c r="C838" s="51" t="n">
        <f aca="false">1+IF($G$7=$E$7,$F$7,IF(Q838&lt;($F$7-$E$7)/($G$7-$E$7),$E$7+SQRT(Q838*($G$7-$E$7)*($F$7-$E$7)),$G$7-SQRT((1-Q838)*($G$7-$E$7)*($G$7-$F$7))))</f>
        <v>1.06582664346786</v>
      </c>
      <c r="D838" s="51" t="n">
        <f aca="false">1+IF($G$8=$E$8,$F$8,IF(R838&lt;($F$8-$E$8)/($G$8-$E$8),$E$8+SQRT(R838*($G$8-$E$8)*($F$8-$E$8)),$G$8-SQRT((1-R838)*($G$8-$E$8)*($G$8-$F$8))))</f>
        <v>1.03056265779083</v>
      </c>
      <c r="E838" s="51" t="n">
        <f aca="false">1+IF($G$9=$E$9,$F$9,IF(S838&lt;($F$9-$E$9)/($G$9-$E$9),$E$9+SQRT(S838*($G$9-$E$9)*($F$9-$E$9)),$G$9-SQRT((1-S838)*($G$9-$E$9)*($G$9-$F$9))))</f>
        <v>1.04152242324965</v>
      </c>
      <c r="F838" s="51" t="n">
        <f aca="false">1+IF($G$10=$E$10,$F$10,IF(T838&lt;($F$10-$E$10)/($G$10-$E$10),$E$10+SQRT(T838*($G$10-$E$10)*($F$10-$E$10)),$G$10-SQRT((1-T838)*($G$10-$E$10)*($G$10-$F$10))))</f>
        <v>1.09844346909475</v>
      </c>
      <c r="G838" s="52" t="n">
        <f aca="false">IF($G$11=$E$11,$F$11,IF(U838&lt;($F$11-$E$11)/($G$11-$E$11),$E$11+SQRT(U838*($G$11-$E$11)*($F$11-$E$11)),$G$11-SQRT((1-U838)*($G$11-$E$11)*($G$11-$F$11))))</f>
        <v>0.10100959123474</v>
      </c>
      <c r="H838" s="53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-2196886938.1895</v>
      </c>
      <c r="I838" s="53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11109412.4708709</v>
      </c>
      <c r="J838" s="53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336340076.569403</v>
      </c>
      <c r="K838" s="53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716492914.122672</v>
      </c>
      <c r="L838" s="53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862351412.91024</v>
      </c>
      <c r="M838" s="53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1068316938.72789</v>
      </c>
      <c r="N838" s="53" t="n">
        <f aca="false">IF(COUNT('Business Case'!B11:G11)=0,"",H838+NPV(G838,I838:M838))</f>
        <v>-125361779.538237</v>
      </c>
      <c r="P838" s="54" t="n">
        <f aca="true">RAND()</f>
        <v>0.851705210086562</v>
      </c>
      <c r="Q838" s="54" t="n">
        <f aca="true">RAND()</f>
        <v>0.895034756297963</v>
      </c>
      <c r="R838" s="54" t="n">
        <f aca="true">RAND()</f>
        <v>0.678563700461797</v>
      </c>
      <c r="S838" s="54" t="n">
        <f aca="true">RAND()</f>
        <v>0.686203075796608</v>
      </c>
      <c r="T838" s="54" t="n">
        <f aca="true">RAND()</f>
        <v>0.693741572532873</v>
      </c>
      <c r="U838" s="54" t="n">
        <f aca="true">RAND()</f>
        <v>0.439704133082077</v>
      </c>
    </row>
    <row r="839" customFormat="false" ht="15" hidden="false" customHeight="false" outlineLevel="0" collapsed="false">
      <c r="A839" s="50" t="n">
        <v>759</v>
      </c>
      <c r="B839" s="51" t="n">
        <f aca="false">1+IF($G$6=$E$6,$F$6,IF(P839&lt;($F$6-$E$6)/($G$6-$E$6),$E$6+SQRT(P839*($G$6-$E$6)*($F$6-$E$6)),$G$6-SQRT((1-P839)*($G$6-$E$6)*($G$6-$F$6))))</f>
        <v>0.983866694136108</v>
      </c>
      <c r="C839" s="51" t="n">
        <f aca="false">1+IF($G$7=$E$7,$F$7,IF(Q839&lt;($F$7-$E$7)/($G$7-$E$7),$E$7+SQRT(Q839*($G$7-$E$7)*($F$7-$E$7)),$G$7-SQRT((1-Q839)*($G$7-$E$7)*($G$7-$F$7))))</f>
        <v>1.0430904962807</v>
      </c>
      <c r="D839" s="51" t="n">
        <f aca="false">1+IF($G$8=$E$8,$F$8,IF(R839&lt;($F$8-$E$8)/($G$8-$E$8),$E$8+SQRT(R839*($G$8-$E$8)*($F$8-$E$8)),$G$8-SQRT((1-R839)*($G$8-$E$8)*($G$8-$F$8))))</f>
        <v>1.016448268264</v>
      </c>
      <c r="E839" s="51" t="n">
        <f aca="false">1+IF($G$9=$E$9,$F$9,IF(S839&lt;($F$9-$E$9)/($G$9-$E$9),$E$9+SQRT(S839*($G$9-$E$9)*($F$9-$E$9)),$G$9-SQRT((1-S839)*($G$9-$E$9)*($G$9-$F$9))))</f>
        <v>1.04721464408353</v>
      </c>
      <c r="F839" s="51" t="n">
        <f aca="false">1+IF($G$10=$E$10,$F$10,IF(T839&lt;($F$10-$E$10)/($G$10-$E$10),$E$10+SQRT(T839*($G$10-$E$10)*($F$10-$E$10)),$G$10-SQRT((1-T839)*($G$10-$E$10)*($G$10-$F$10))))</f>
        <v>0.979420245795027</v>
      </c>
      <c r="G839" s="52" t="n">
        <f aca="false">IF($G$11=$E$11,$F$11,IF(U839&lt;($F$11-$E$11)/($G$11-$E$11),$E$11+SQRT(U839*($G$11-$E$11)*($F$11-$E$11)),$G$11-SQRT((1-U839)*($G$11-$E$11)*($G$11-$F$11))))</f>
        <v>0.0994926886528357</v>
      </c>
      <c r="H839" s="53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-1958840491.59005</v>
      </c>
      <c r="I839" s="53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-2236816.3531266</v>
      </c>
      <c r="J839" s="53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295583736.251751</v>
      </c>
      <c r="K839" s="53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642375301.14638</v>
      </c>
      <c r="L839" s="53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777116433.341221</v>
      </c>
      <c r="M839" s="53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972188313.970574</v>
      </c>
      <c r="N839" s="53" t="n">
        <f aca="false">IF(COUNT('Business Case'!B11:G11)=0,"",H839+NPV(G839,I839:M839))</f>
        <v>-96263242.6057863</v>
      </c>
      <c r="P839" s="54" t="n">
        <f aca="true">RAND()</f>
        <v>0.4689081590213</v>
      </c>
      <c r="Q839" s="54" t="n">
        <f aca="true">RAND()</f>
        <v>0.830671970585086</v>
      </c>
      <c r="R839" s="54" t="n">
        <f aca="true">RAND()</f>
        <v>0.534607208261005</v>
      </c>
      <c r="S839" s="54" t="n">
        <f aca="true">RAND()</f>
        <v>0.718271216243319</v>
      </c>
      <c r="T839" s="54" t="n">
        <f aca="true">RAND()</f>
        <v>0.0577033908426527</v>
      </c>
      <c r="U839" s="54" t="n">
        <f aca="true">RAND()</f>
        <v>0.379964910916391</v>
      </c>
    </row>
    <row r="840" customFormat="false" ht="15" hidden="false" customHeight="false" outlineLevel="0" collapsed="false">
      <c r="A840" s="50" t="n">
        <v>760</v>
      </c>
      <c r="B840" s="51" t="n">
        <f aca="false">1+IF($G$6=$E$6,$F$6,IF(P840&lt;($F$6-$E$6)/($G$6-$E$6),$E$6+SQRT(P840*($G$6-$E$6)*($F$6-$E$6)),$G$6-SQRT((1-P840)*($G$6-$E$6)*($G$6-$F$6))))</f>
        <v>0.946508231142121</v>
      </c>
      <c r="C840" s="51" t="n">
        <f aca="false">1+IF($G$7=$E$7,$F$7,IF(Q840&lt;($F$7-$E$7)/($G$7-$E$7),$E$7+SQRT(Q840*($G$7-$E$7)*($F$7-$E$7)),$G$7-SQRT((1-Q840)*($G$7-$E$7)*($G$7-$F$7))))</f>
        <v>1.11251319857966</v>
      </c>
      <c r="D840" s="51" t="n">
        <f aca="false">1+IF($G$8=$E$8,$F$8,IF(R840&lt;($F$8-$E$8)/($G$8-$E$8),$E$8+SQRT(R840*($G$8-$E$8)*($F$8-$E$8)),$G$8-SQRT((1-R840)*($G$8-$E$8)*($G$8-$F$8))))</f>
        <v>0.958544061800373</v>
      </c>
      <c r="E840" s="51" t="n">
        <f aca="false">1+IF($G$9=$E$9,$F$9,IF(S840&lt;($F$9-$E$9)/($G$9-$E$9),$E$9+SQRT(S840*($G$9-$E$9)*($F$9-$E$9)),$G$9-SQRT((1-S840)*($G$9-$E$9)*($G$9-$F$9))))</f>
        <v>1.0185954742541</v>
      </c>
      <c r="F840" s="51" t="n">
        <f aca="false">1+IF($G$10=$E$10,$F$10,IF(T840&lt;($F$10-$E$10)/($G$10-$E$10),$E$10+SQRT(T840*($G$10-$E$10)*($F$10-$E$10)),$G$10-SQRT((1-T840)*($G$10-$E$10)*($G$10-$F$10))))</f>
        <v>1.01729123034964</v>
      </c>
      <c r="G840" s="52" t="n">
        <f aca="false">IF($G$11=$E$11,$F$11,IF(U840&lt;($F$11-$E$11)/($G$11-$E$11),$E$11+SQRT(U840*($G$11-$E$11)*($F$11-$E$11)),$G$11-SQRT((1-U840)*($G$11-$E$11)*($G$11-$F$11))))</f>
        <v>0.0978908067758884</v>
      </c>
      <c r="H840" s="53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-2034582460.69929</v>
      </c>
      <c r="I840" s="53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15416257.5813278</v>
      </c>
      <c r="J840" s="53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331993584.957514</v>
      </c>
      <c r="K840" s="53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699435473.851181</v>
      </c>
      <c r="L840" s="53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841353029.857217</v>
      </c>
      <c r="M840" s="53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1041507821.03407</v>
      </c>
      <c r="N840" s="53" t="n">
        <f aca="false">IF(COUNT('Business Case'!B11:G11)=0,"",H840+NPV(G840,I840:M840))</f>
        <v>15434421.5968437</v>
      </c>
      <c r="P840" s="54" t="n">
        <f aca="true">RAND()</f>
        <v>0.144201037597927</v>
      </c>
      <c r="Q840" s="54" t="n">
        <f aca="true">RAND()</f>
        <v>0.979181329174401</v>
      </c>
      <c r="R840" s="54" t="n">
        <f aca="true">RAND()</f>
        <v>0.00973346560647869</v>
      </c>
      <c r="S840" s="54" t="n">
        <f aca="true">RAND()</f>
        <v>0.539542683026511</v>
      </c>
      <c r="T840" s="54" t="n">
        <f aca="true">RAND()</f>
        <v>0.277955047037563</v>
      </c>
      <c r="U840" s="54" t="n">
        <f aca="true">RAND()</f>
        <v>0.320080967092174</v>
      </c>
    </row>
    <row r="841" customFormat="false" ht="15" hidden="false" customHeight="false" outlineLevel="0" collapsed="false">
      <c r="A841" s="50" t="n">
        <v>761</v>
      </c>
      <c r="B841" s="51" t="n">
        <f aca="false">1+IF($G$6=$E$6,$F$6,IF(P841&lt;($F$6-$E$6)/($G$6-$E$6),$E$6+SQRT(P841*($G$6-$E$6)*($F$6-$E$6)),$G$6-SQRT((1-P841)*($G$6-$E$6)*($G$6-$F$6))))</f>
        <v>0.993561901280964</v>
      </c>
      <c r="C841" s="51" t="n">
        <f aca="false">1+IF($G$7=$E$7,$F$7,IF(Q841&lt;($F$7-$E$7)/($G$7-$E$7),$E$7+SQRT(Q841*($G$7-$E$7)*($F$7-$E$7)),$G$7-SQRT((1-Q841)*($G$7-$E$7)*($G$7-$F$7))))</f>
        <v>0.789116886606204</v>
      </c>
      <c r="D841" s="51" t="n">
        <f aca="false">1+IF($G$8=$E$8,$F$8,IF(R841&lt;($F$8-$E$8)/($G$8-$E$8),$E$8+SQRT(R841*($G$8-$E$8)*($F$8-$E$8)),$G$8-SQRT((1-R841)*($G$8-$E$8)*($G$8-$F$8))))</f>
        <v>1.01355258502926</v>
      </c>
      <c r="E841" s="51" t="n">
        <f aca="false">1+IF($G$9=$E$9,$F$9,IF(S841&lt;($F$9-$E$9)/($G$9-$E$9),$E$9+SQRT(S841*($G$9-$E$9)*($F$9-$E$9)),$G$9-SQRT((1-S841)*($G$9-$E$9)*($G$9-$F$9))))</f>
        <v>0.992209226343376</v>
      </c>
      <c r="F841" s="51" t="n">
        <f aca="false">1+IF($G$10=$E$10,$F$10,IF(T841&lt;($F$10-$E$10)/($G$10-$E$10),$E$10+SQRT(T841*($G$10-$E$10)*($F$10-$E$10)),$G$10-SQRT((1-T841)*($G$10-$E$10)*($G$10-$F$10))))</f>
        <v>1.07982010543322</v>
      </c>
      <c r="G841" s="52" t="n">
        <f aca="false">IF($G$11=$E$11,$F$11,IF(U841&lt;($F$11-$E$11)/($G$11-$E$11),$E$11+SQRT(U841*($G$11-$E$11)*($F$11-$E$11)),$G$11-SQRT((1-U841)*($G$11-$E$11)*($G$11-$F$11))))</f>
        <v>0.112300703207811</v>
      </c>
      <c r="H841" s="53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-2159640210.86645</v>
      </c>
      <c r="I841" s="53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-56975773.125961</v>
      </c>
      <c r="J841" s="53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175767067.099406</v>
      </c>
      <c r="K841" s="53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462500912.596434</v>
      </c>
      <c r="L841" s="53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567178159.886207</v>
      </c>
      <c r="M841" s="53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716207812.900124</v>
      </c>
      <c r="N841" s="53" t="n">
        <f aca="false">IF(COUNT('Business Case'!B11:G11)=0,"",H841+NPV(G841,I841:M841))</f>
        <v>-941520974.259522</v>
      </c>
      <c r="P841" s="54" t="n">
        <f aca="true">RAND()</f>
        <v>0.583588624753919</v>
      </c>
      <c r="Q841" s="54" t="n">
        <f aca="true">RAND()</f>
        <v>0.0588282924324672</v>
      </c>
      <c r="R841" s="54" t="n">
        <f aca="true">RAND()</f>
        <v>0.501789629658398</v>
      </c>
      <c r="S841" s="54" t="n">
        <f aca="true">RAND()</f>
        <v>0.34010165691376</v>
      </c>
      <c r="T841" s="54" t="n">
        <f aca="true">RAND()</f>
        <v>0.613850713136551</v>
      </c>
      <c r="U841" s="54" t="n">
        <f aca="true">RAND()</f>
        <v>0.791156595374661</v>
      </c>
    </row>
    <row r="842" customFormat="false" ht="15" hidden="false" customHeight="false" outlineLevel="0" collapsed="false">
      <c r="A842" s="50" t="n">
        <v>762</v>
      </c>
      <c r="B842" s="51" t="n">
        <f aca="false">1+IF($G$6=$E$6,$F$6,IF(P842&lt;($F$6-$E$6)/($G$6-$E$6),$E$6+SQRT(P842*($G$6-$E$6)*($F$6-$E$6)),$G$6-SQRT((1-P842)*($G$6-$E$6)*($G$6-$F$6))))</f>
        <v>1.00017335984277</v>
      </c>
      <c r="C842" s="51" t="n">
        <f aca="false">1+IF($G$7=$E$7,$F$7,IF(Q842&lt;($F$7-$E$7)/($G$7-$E$7),$E$7+SQRT(Q842*($G$7-$E$7)*($F$7-$E$7)),$G$7-SQRT((1-Q842)*($G$7-$E$7)*($G$7-$F$7))))</f>
        <v>0.874422856597778</v>
      </c>
      <c r="D842" s="51" t="n">
        <f aca="false">1+IF($G$8=$E$8,$F$8,IF(R842&lt;($F$8-$E$8)/($G$8-$E$8),$E$8+SQRT(R842*($G$8-$E$8)*($F$8-$E$8)),$G$8-SQRT((1-R842)*($G$8-$E$8)*($G$8-$F$8))))</f>
        <v>0.951433762142663</v>
      </c>
      <c r="E842" s="51" t="n">
        <f aca="false">1+IF($G$9=$E$9,$F$9,IF(S842&lt;($F$9-$E$9)/($G$9-$E$9),$E$9+SQRT(S842*($G$9-$E$9)*($F$9-$E$9)),$G$9-SQRT((1-S842)*($G$9-$E$9)*($G$9-$F$9))))</f>
        <v>0.991768629823309</v>
      </c>
      <c r="F842" s="51" t="n">
        <f aca="false">1+IF($G$10=$E$10,$F$10,IF(T842&lt;($F$10-$E$10)/($G$10-$E$10),$E$10+SQRT(T842*($G$10-$E$10)*($F$10-$E$10)),$G$10-SQRT((1-T842)*($G$10-$E$10)*($G$10-$F$10))))</f>
        <v>1.0235544310819</v>
      </c>
      <c r="G842" s="52" t="n">
        <f aca="false">IF($G$11=$E$11,$F$11,IF(U842&lt;($F$11-$E$11)/($G$11-$E$11),$E$11+SQRT(U842*($G$11-$E$11)*($F$11-$E$11)),$G$11-SQRT((1-U842)*($G$11-$E$11)*($G$11-$F$11))))</f>
        <v>0.102424440271713</v>
      </c>
      <c r="H842" s="53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-2047108862.16381</v>
      </c>
      <c r="I842" s="53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1721936.61464523</v>
      </c>
      <c r="J842" s="53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292166754.800079</v>
      </c>
      <c r="K842" s="53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633789294.539608</v>
      </c>
      <c r="L842" s="53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760829526.802569</v>
      </c>
      <c r="M842" s="53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927068637.575557</v>
      </c>
      <c r="N842" s="53" t="n">
        <f aca="false">IF(COUNT('Business Case'!B11:G11)=0,"",H842+NPV(G842,I842:M842))</f>
        <v>-247671702.947289</v>
      </c>
      <c r="P842" s="54" t="n">
        <f aca="true">RAND()</f>
        <v>0.668974124085555</v>
      </c>
      <c r="Q842" s="54" t="n">
        <f aca="true">RAND()</f>
        <v>0.225358021509104</v>
      </c>
      <c r="R842" s="54" t="n">
        <f aca="true">RAND()</f>
        <v>0.00027408985089784</v>
      </c>
      <c r="S842" s="54" t="n">
        <f aca="true">RAND()</f>
        <v>0.336859256785898</v>
      </c>
      <c r="T842" s="54" t="n">
        <f aca="true">RAND()</f>
        <v>0.316298724231461</v>
      </c>
      <c r="U842" s="54" t="n">
        <f aca="true">RAND()</f>
        <v>0.493059003781134</v>
      </c>
    </row>
    <row r="843" customFormat="false" ht="15" hidden="false" customHeight="false" outlineLevel="0" collapsed="false">
      <c r="A843" s="50" t="n">
        <v>763</v>
      </c>
      <c r="B843" s="51" t="n">
        <f aca="false">1+IF($G$6=$E$6,$F$6,IF(P843&lt;($F$6-$E$6)/($G$6-$E$6),$E$6+SQRT(P843*($G$6-$E$6)*($F$6-$E$6)),$G$6-SQRT((1-P843)*($G$6-$E$6)*($G$6-$F$6))))</f>
        <v>0.997090570044108</v>
      </c>
      <c r="C843" s="51" t="n">
        <f aca="false">1+IF($G$7=$E$7,$F$7,IF(Q843&lt;($F$7-$E$7)/($G$7-$E$7),$E$7+SQRT(Q843*($G$7-$E$7)*($F$7-$E$7)),$G$7-SQRT((1-Q843)*($G$7-$E$7)*($G$7-$F$7))))</f>
        <v>0.928587021653441</v>
      </c>
      <c r="D843" s="51" t="n">
        <f aca="false">1+IF($G$8=$E$8,$F$8,IF(R843&lt;($F$8-$E$8)/($G$8-$E$8),$E$8+SQRT(R843*($G$8-$E$8)*($F$8-$E$8)),$G$8-SQRT((1-R843)*($G$8-$E$8)*($G$8-$F$8))))</f>
        <v>0.979928147943442</v>
      </c>
      <c r="E843" s="51" t="n">
        <f aca="false">1+IF($G$9=$E$9,$F$9,IF(S843&lt;($F$9-$E$9)/($G$9-$E$9),$E$9+SQRT(S843*($G$9-$E$9)*($F$9-$E$9)),$G$9-SQRT((1-S843)*($G$9-$E$9)*($G$9-$F$9))))</f>
        <v>0.994963907075718</v>
      </c>
      <c r="F843" s="51" t="n">
        <f aca="false">1+IF($G$10=$E$10,$F$10,IF(T843&lt;($F$10-$E$10)/($G$10-$E$10),$E$10+SQRT(T843*($G$10-$E$10)*($F$10-$E$10)),$G$10-SQRT((1-T843)*($G$10-$E$10)*($G$10-$F$10))))</f>
        <v>1.02284099706269</v>
      </c>
      <c r="G843" s="52" t="n">
        <f aca="false">IF($G$11=$E$11,$F$11,IF(U843&lt;($F$11-$E$11)/($G$11-$E$11),$E$11+SQRT(U843*($G$11-$E$11)*($F$11-$E$11)),$G$11-SQRT((1-U843)*($G$11-$E$11)*($G$11-$F$11))))</f>
        <v>0.10567660664465</v>
      </c>
      <c r="H843" s="53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-2045681994.12538</v>
      </c>
      <c r="I843" s="53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780044.339809358</v>
      </c>
      <c r="J843" s="53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293325953.177326</v>
      </c>
      <c r="K843" s="53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637013911.867976</v>
      </c>
      <c r="L843" s="53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766527812.950662</v>
      </c>
      <c r="M843" s="53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942520102.703321</v>
      </c>
      <c r="N843" s="53" t="n">
        <f aca="false">IF(COUNT('Business Case'!B11:G11)=0,"",H843+NPV(G843,I843:M843))</f>
        <v>-250535969.609812</v>
      </c>
      <c r="P843" s="54" t="n">
        <f aca="true">RAND()</f>
        <v>0.628438586099321</v>
      </c>
      <c r="Q843" s="54" t="n">
        <f aca="true">RAND()</f>
        <v>0.387052047914007</v>
      </c>
      <c r="R843" s="54" t="n">
        <f aca="true">RAND()</f>
        <v>0.11942587190994</v>
      </c>
      <c r="S843" s="54" t="n">
        <f aca="true">RAND()</f>
        <v>0.360725745883427</v>
      </c>
      <c r="T843" s="54" t="n">
        <f aca="true">RAND()</f>
        <v>0.3119838317937</v>
      </c>
      <c r="U843" s="54" t="n">
        <f aca="true">RAND()</f>
        <v>0.605581690453949</v>
      </c>
    </row>
    <row r="844" customFormat="false" ht="15" hidden="false" customHeight="false" outlineLevel="0" collapsed="false">
      <c r="A844" s="50" t="n">
        <v>764</v>
      </c>
      <c r="B844" s="51" t="n">
        <f aca="false">1+IF($G$6=$E$6,$F$6,IF(P844&lt;($F$6-$E$6)/($G$6-$E$6),$E$6+SQRT(P844*($G$6-$E$6)*($F$6-$E$6)),$G$6-SQRT((1-P844)*($G$6-$E$6)*($G$6-$F$6))))</f>
        <v>0.93950073031734</v>
      </c>
      <c r="C844" s="51" t="n">
        <f aca="false">1+IF($G$7=$E$7,$F$7,IF(Q844&lt;($F$7-$E$7)/($G$7-$E$7),$E$7+SQRT(Q844*($G$7-$E$7)*($F$7-$E$7)),$G$7-SQRT((1-Q844)*($G$7-$E$7)*($G$7-$F$7))))</f>
        <v>0.785813428866712</v>
      </c>
      <c r="D844" s="51" t="n">
        <f aca="false">1+IF($G$8=$E$8,$F$8,IF(R844&lt;($F$8-$E$8)/($G$8-$E$8),$E$8+SQRT(R844*($G$8-$E$8)*($F$8-$E$8)),$G$8-SQRT((1-R844)*($G$8-$E$8)*($G$8-$F$8))))</f>
        <v>1.01264137101486</v>
      </c>
      <c r="E844" s="51" t="n">
        <f aca="false">1+IF($G$9=$E$9,$F$9,IF(S844&lt;($F$9-$E$9)/($G$9-$E$9),$E$9+SQRT(S844*($G$9-$E$9)*($F$9-$E$9)),$G$9-SQRT((1-S844)*($G$9-$E$9)*($G$9-$F$9))))</f>
        <v>0.989453704656863</v>
      </c>
      <c r="F844" s="51" t="n">
        <f aca="false">1+IF($G$10=$E$10,$F$10,IF(T844&lt;($F$10-$E$10)/($G$10-$E$10),$E$10+SQRT(T844*($G$10-$E$10)*($F$10-$E$10)),$G$10-SQRT((1-T844)*($G$10-$E$10)*($G$10-$F$10))))</f>
        <v>1.05967744634127</v>
      </c>
      <c r="G844" s="52" t="n">
        <f aca="false">IF($G$11=$E$11,$F$11,IF(U844&lt;($F$11-$E$11)/($G$11-$E$11),$E$11+SQRT(U844*($G$11-$E$11)*($F$11-$E$11)),$G$11-SQRT((1-U844)*($G$11-$E$11)*($G$11-$F$11))))</f>
        <v>0.103801740750086</v>
      </c>
      <c r="H844" s="53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-2119354892.68255</v>
      </c>
      <c r="I844" s="53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-87600836.0599001</v>
      </c>
      <c r="J844" s="53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109738424.846382</v>
      </c>
      <c r="K844" s="53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360061558.069728</v>
      </c>
      <c r="L844" s="53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451356002.058389</v>
      </c>
      <c r="M844" s="53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591686799.001169</v>
      </c>
      <c r="N844" s="53" t="n">
        <f aca="false">IF(COUNT('Business Case'!B11:G11)=0,"",H844+NPV(G844,I844:M844))</f>
        <v>-1175750028.44827</v>
      </c>
      <c r="P844" s="54" t="n">
        <f aca="true">RAND()</f>
        <v>0.104020513040212</v>
      </c>
      <c r="Q844" s="54" t="n">
        <f aca="true">RAND()</f>
        <v>0.0545477375841652</v>
      </c>
      <c r="R844" s="54" t="n">
        <f aca="true">RAND()</f>
        <v>0.4912313294558</v>
      </c>
      <c r="S844" s="54" t="n">
        <f aca="true">RAND()</f>
        <v>0.320078611073488</v>
      </c>
      <c r="T844" s="54" t="n">
        <f aca="true">RAND()</f>
        <v>0.517031007584287</v>
      </c>
      <c r="U844" s="54" t="n">
        <f aca="true">RAND()</f>
        <v>0.542434141516196</v>
      </c>
    </row>
    <row r="845" customFormat="false" ht="15" hidden="false" customHeight="false" outlineLevel="0" collapsed="false">
      <c r="A845" s="50" t="n">
        <v>765</v>
      </c>
      <c r="B845" s="51" t="n">
        <f aca="false">1+IF($G$6=$E$6,$F$6,IF(P845&lt;($F$6-$E$6)/($G$6-$E$6),$E$6+SQRT(P845*($G$6-$E$6)*($F$6-$E$6)),$G$6-SQRT((1-P845)*($G$6-$E$6)*($G$6-$F$6))))</f>
        <v>0.945353879985088</v>
      </c>
      <c r="C845" s="51" t="n">
        <f aca="false">1+IF($G$7=$E$7,$F$7,IF(Q845&lt;($F$7-$E$7)/($G$7-$E$7),$E$7+SQRT(Q845*($G$7-$E$7)*($F$7-$E$7)),$G$7-SQRT((1-Q845)*($G$7-$E$7)*($G$7-$F$7))))</f>
        <v>0.880719088367063</v>
      </c>
      <c r="D845" s="51" t="n">
        <f aca="false">1+IF($G$8=$E$8,$F$8,IF(R845&lt;($F$8-$E$8)/($G$8-$E$8),$E$8+SQRT(R845*($G$8-$E$8)*($F$8-$E$8)),$G$8-SQRT((1-R845)*($G$8-$E$8)*($G$8-$F$8))))</f>
        <v>1.0202163460911</v>
      </c>
      <c r="E845" s="51" t="n">
        <f aca="false">1+IF($G$9=$E$9,$F$9,IF(S845&lt;($F$9-$E$9)/($G$9-$E$9),$E$9+SQRT(S845*($G$9-$E$9)*($F$9-$E$9)),$G$9-SQRT((1-S845)*($G$9-$E$9)*($G$9-$F$9))))</f>
        <v>1.01416591924665</v>
      </c>
      <c r="F845" s="51" t="n">
        <f aca="false">1+IF($G$10=$E$10,$F$10,IF(T845&lt;($F$10-$E$10)/($G$10-$E$10),$E$10+SQRT(T845*($G$10-$E$10)*($F$10-$E$10)),$G$10-SQRT((1-T845)*($G$10-$E$10)*($G$10-$F$10))))</f>
        <v>1.06016759685699</v>
      </c>
      <c r="G845" s="52" t="n">
        <f aca="false">IF($G$11=$E$11,$F$11,IF(U845&lt;($F$11-$E$11)/($G$11-$E$11),$E$11+SQRT(U845*($G$11-$E$11)*($F$11-$E$11)),$G$11-SQRT((1-U845)*($G$11-$E$11)*($G$11-$F$11))))</f>
        <v>0.093805542064523</v>
      </c>
      <c r="H845" s="53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-2120335193.71398</v>
      </c>
      <c r="I845" s="53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-71412947.5293582</v>
      </c>
      <c r="J845" s="53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150566786.533644</v>
      </c>
      <c r="K845" s="53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425554900.439496</v>
      </c>
      <c r="L845" s="53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528322497.253688</v>
      </c>
      <c r="M845" s="53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686581433.949577</v>
      </c>
      <c r="N845" s="53" t="n">
        <f aca="false">IF(COUNT('Business Case'!B11:G11)=0,"",H845+NPV(G845,I845:M845))</f>
        <v>-926968944.637004</v>
      </c>
      <c r="P845" s="54" t="n">
        <f aca="true">RAND()</f>
        <v>0.137131628646784</v>
      </c>
      <c r="Q845" s="54" t="n">
        <f aca="true">RAND()</f>
        <v>0.241921399260907</v>
      </c>
      <c r="R845" s="54" t="n">
        <f aca="true">RAND()</f>
        <v>0.575637904596372</v>
      </c>
      <c r="S845" s="54" t="n">
        <f aca="true">RAND()</f>
        <v>0.507976066823808</v>
      </c>
      <c r="T845" s="54" t="n">
        <f aca="true">RAND()</f>
        <v>0.519515449559333</v>
      </c>
      <c r="U845" s="54" t="n">
        <f aca="true">RAND()</f>
        <v>0.190592991695314</v>
      </c>
    </row>
    <row r="846" customFormat="false" ht="15" hidden="false" customHeight="false" outlineLevel="0" collapsed="false">
      <c r="A846" s="50" t="n">
        <v>766</v>
      </c>
      <c r="B846" s="51" t="n">
        <f aca="false">1+IF($G$6=$E$6,$F$6,IF(P846&lt;($F$6-$E$6)/($G$6-$E$6),$E$6+SQRT(P846*($G$6-$E$6)*($F$6-$E$6)),$G$6-SQRT((1-P846)*($G$6-$E$6)*($G$6-$F$6))))</f>
        <v>0.989882823073116</v>
      </c>
      <c r="C846" s="51" t="n">
        <f aca="false">1+IF($G$7=$E$7,$F$7,IF(Q846&lt;($F$7-$E$7)/($G$7-$E$7),$E$7+SQRT(Q846*($G$7-$E$7)*($F$7-$E$7)),$G$7-SQRT((1-Q846)*($G$7-$E$7)*($G$7-$F$7))))</f>
        <v>0.916289581943711</v>
      </c>
      <c r="D846" s="51" t="n">
        <f aca="false">1+IF($G$8=$E$8,$F$8,IF(R846&lt;($F$8-$E$8)/($G$8-$E$8),$E$8+SQRT(R846*($G$8-$E$8)*($F$8-$E$8)),$G$8-SQRT((1-R846)*($G$8-$E$8)*($G$8-$F$8))))</f>
        <v>1.0600565497813</v>
      </c>
      <c r="E846" s="51" t="n">
        <f aca="false">1+IF($G$9=$E$9,$F$9,IF(S846&lt;($F$9-$E$9)/($G$9-$E$9),$E$9+SQRT(S846*($G$9-$E$9)*($F$9-$E$9)),$G$9-SQRT((1-S846)*($G$9-$E$9)*($G$9-$F$9))))</f>
        <v>0.963093672439643</v>
      </c>
      <c r="F846" s="51" t="n">
        <f aca="false">1+IF($G$10=$E$10,$F$10,IF(T846&lt;($F$10-$E$10)/($G$10-$E$10),$E$10+SQRT(T846*($G$10-$E$10)*($F$10-$E$10)),$G$10-SQRT((1-T846)*($G$10-$E$10)*($G$10-$F$10))))</f>
        <v>1.0862881067257</v>
      </c>
      <c r="G846" s="52" t="n">
        <f aca="false">IF($G$11=$E$11,$F$11,IF(U846&lt;($F$11-$E$11)/($G$11-$E$11),$E$11+SQRT(U846*($G$11-$E$11)*($F$11-$E$11)),$G$11-SQRT((1-U846)*($G$11-$E$11)*($G$11-$F$11))))</f>
        <v>0.1133081078852</v>
      </c>
      <c r="H846" s="53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-2172576213.4514</v>
      </c>
      <c r="I846" s="53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-46923991.598435</v>
      </c>
      <c r="J846" s="53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198752629.148317</v>
      </c>
      <c r="K846" s="53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498743655.231355</v>
      </c>
      <c r="L846" s="53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611982449.781405</v>
      </c>
      <c r="M846" s="53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784388681.770971</v>
      </c>
      <c r="N846" s="53" t="n">
        <f aca="false">IF(COUNT('Business Case'!B11:G11)=0,"",H846+NPV(G846,I846:M846))</f>
        <v>-835950555.59167</v>
      </c>
      <c r="P846" s="54" t="n">
        <f aca="true">RAND()</f>
        <v>0.538594792239532</v>
      </c>
      <c r="Q846" s="54" t="n">
        <f aca="true">RAND()</f>
        <v>0.346527283388038</v>
      </c>
      <c r="R846" s="54" t="n">
        <f aca="true">RAND()</f>
        <v>0.893634718975105</v>
      </c>
      <c r="S846" s="54" t="n">
        <f aca="true">RAND()</f>
        <v>0.159232460076839</v>
      </c>
      <c r="T846" s="54" t="n">
        <f aca="true">RAND()</f>
        <v>0.64264554667393</v>
      </c>
      <c r="U846" s="54" t="n">
        <f aca="true">RAND()</f>
        <v>0.814253825085262</v>
      </c>
    </row>
    <row r="847" customFormat="false" ht="15" hidden="false" customHeight="false" outlineLevel="0" collapsed="false">
      <c r="A847" s="50" t="n">
        <v>767</v>
      </c>
      <c r="B847" s="51" t="n">
        <f aca="false">1+IF($G$6=$E$6,$F$6,IF(P847&lt;($F$6-$E$6)/($G$6-$E$6),$E$6+SQRT(P847*($G$6-$E$6)*($F$6-$E$6)),$G$6-SQRT((1-P847)*($G$6-$E$6)*($G$6-$F$6))))</f>
        <v>0.990910903754878</v>
      </c>
      <c r="C847" s="51" t="n">
        <f aca="false">1+IF($G$7=$E$7,$F$7,IF(Q847&lt;($F$7-$E$7)/($G$7-$E$7),$E$7+SQRT(Q847*($G$7-$E$7)*($F$7-$E$7)),$G$7-SQRT((1-Q847)*($G$7-$E$7)*($G$7-$F$7))))</f>
        <v>1.08958634347843</v>
      </c>
      <c r="D847" s="51" t="n">
        <f aca="false">1+IF($G$8=$E$8,$F$8,IF(R847&lt;($F$8-$E$8)/($G$8-$E$8),$E$8+SQRT(R847*($G$8-$E$8)*($F$8-$E$8)),$G$8-SQRT((1-R847)*($G$8-$E$8)*($G$8-$F$8))))</f>
        <v>1.03322980385103</v>
      </c>
      <c r="E847" s="51" t="n">
        <f aca="false">1+IF($G$9=$E$9,$F$9,IF(S847&lt;($F$9-$E$9)/($G$9-$E$9),$E$9+SQRT(S847*($G$9-$E$9)*($F$9-$E$9)),$G$9-SQRT((1-S847)*($G$9-$E$9)*($G$9-$F$9))))</f>
        <v>0.980834416755588</v>
      </c>
      <c r="F847" s="51" t="n">
        <f aca="false">1+IF($G$10=$E$10,$F$10,IF(T847&lt;($F$10-$E$10)/($G$10-$E$10),$E$10+SQRT(T847*($G$10-$E$10)*($F$10-$E$10)),$G$10-SQRT((1-T847)*($G$10-$E$10)*($G$10-$F$10))))</f>
        <v>1.11157571978914</v>
      </c>
      <c r="G847" s="52" t="n">
        <f aca="false">IF($G$11=$E$11,$F$11,IF(U847&lt;($F$11-$E$11)/($G$11-$E$11),$E$11+SQRT(U847*($G$11-$E$11)*($F$11-$E$11)),$G$11-SQRT((1-U847)*($G$11-$E$11)*($G$11-$F$11))))</f>
        <v>0.100784677077486</v>
      </c>
      <c r="H847" s="53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-2223151439.57828</v>
      </c>
      <c r="I847" s="53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1419116.92863894</v>
      </c>
      <c r="J847" s="53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309441226.014133</v>
      </c>
      <c r="K847" s="53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673042121.089084</v>
      </c>
      <c r="L847" s="53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813030001.527779</v>
      </c>
      <c r="M847" s="53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1018256143.95053</v>
      </c>
      <c r="N847" s="53" t="n">
        <f aca="false">IF(COUNT('Business Case'!B11:G11)=0,"",H847+NPV(G847,I847:M847))</f>
        <v>-278168823.645279</v>
      </c>
      <c r="P847" s="54" t="n">
        <f aca="true">RAND()</f>
        <v>0.550986161435243</v>
      </c>
      <c r="Q847" s="54" t="n">
        <f aca="true">RAND()</f>
        <v>0.94592874230658</v>
      </c>
      <c r="R847" s="54" t="n">
        <f aca="true">RAND()</f>
        <v>0.702782727081833</v>
      </c>
      <c r="S847" s="54" t="n">
        <f aca="true">RAND()</f>
        <v>0.261368117288642</v>
      </c>
      <c r="T847" s="54" t="n">
        <f aca="true">RAND()</f>
        <v>0.744516248641402</v>
      </c>
      <c r="U847" s="54" t="n">
        <f aca="true">RAND()</f>
        <v>0.430976604355499</v>
      </c>
    </row>
    <row r="848" customFormat="false" ht="15" hidden="false" customHeight="false" outlineLevel="0" collapsed="false">
      <c r="A848" s="50" t="n">
        <v>768</v>
      </c>
      <c r="B848" s="51" t="n">
        <f aca="false">1+IF($G$6=$E$6,$F$6,IF(P848&lt;($F$6-$E$6)/($G$6-$E$6),$E$6+SQRT(P848*($G$6-$E$6)*($F$6-$E$6)),$G$6-SQRT((1-P848)*($G$6-$E$6)*($G$6-$F$6))))</f>
        <v>0.957924983454742</v>
      </c>
      <c r="C848" s="51" t="n">
        <f aca="false">1+IF($G$7=$E$7,$F$7,IF(Q848&lt;($F$7-$E$7)/($G$7-$E$7),$E$7+SQRT(Q848*($G$7-$E$7)*($F$7-$E$7)),$G$7-SQRT((1-Q848)*($G$7-$E$7)*($G$7-$F$7))))</f>
        <v>0.795070254830756</v>
      </c>
      <c r="D848" s="51" t="n">
        <f aca="false">1+IF($G$8=$E$8,$F$8,IF(R848&lt;($F$8-$E$8)/($G$8-$E$8),$E$8+SQRT(R848*($G$8-$E$8)*($F$8-$E$8)),$G$8-SQRT((1-R848)*($G$8-$E$8)*($G$8-$F$8))))</f>
        <v>0.980132823152158</v>
      </c>
      <c r="E848" s="51" t="n">
        <f aca="false">1+IF($G$9=$E$9,$F$9,IF(S848&lt;($F$9-$E$9)/($G$9-$E$9),$E$9+SQRT(S848*($G$9-$E$9)*($F$9-$E$9)),$G$9-SQRT((1-S848)*($G$9-$E$9)*($G$9-$F$9))))</f>
        <v>1.04218469664753</v>
      </c>
      <c r="F848" s="51" t="n">
        <f aca="false">1+IF($G$10=$E$10,$F$10,IF(T848&lt;($F$10-$E$10)/($G$10-$E$10),$E$10+SQRT(T848*($G$10-$E$10)*($F$10-$E$10)),$G$10-SQRT((1-T848)*($G$10-$E$10)*($G$10-$F$10))))</f>
        <v>1.10460089146607</v>
      </c>
      <c r="G848" s="52" t="n">
        <f aca="false">IF($G$11=$E$11,$F$11,IF(U848&lt;($F$11-$E$11)/($G$11-$E$11),$E$11+SQRT(U848*($G$11-$E$11)*($F$11-$E$11)),$G$11-SQRT((1-U848)*($G$11-$E$11)*($G$11-$F$11))))</f>
        <v>0.0993689453802888</v>
      </c>
      <c r="H848" s="53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-2209201782.93214</v>
      </c>
      <c r="I848" s="53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-73247490.1737187</v>
      </c>
      <c r="J848" s="53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151646032.193349</v>
      </c>
      <c r="K848" s="53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431769599.133721</v>
      </c>
      <c r="L848" s="53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533055612.943344</v>
      </c>
      <c r="M848" s="53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677823897.889981</v>
      </c>
      <c r="N848" s="53" t="n">
        <f aca="false">IF(COUNT('Business Case'!B11:G11)=0,"",H848+NPV(G848,I848:M848))</f>
        <v>-1038398099.89447</v>
      </c>
      <c r="P848" s="54" t="n">
        <f aca="true">RAND()</f>
        <v>0.223686913882143</v>
      </c>
      <c r="Q848" s="54" t="n">
        <f aca="true">RAND()</f>
        <v>0.0669507655821098</v>
      </c>
      <c r="R848" s="54" t="n">
        <f aca="true">RAND()</f>
        <v>0.12106493748256</v>
      </c>
      <c r="S848" s="54" t="n">
        <f aca="true">RAND()</f>
        <v>0.690022943013737</v>
      </c>
      <c r="T848" s="54" t="n">
        <f aca="true">RAND()</f>
        <v>0.718121323167173</v>
      </c>
      <c r="U848" s="54" t="n">
        <f aca="true">RAND()</f>
        <v>0.37515604514461</v>
      </c>
    </row>
    <row r="849" customFormat="false" ht="15" hidden="false" customHeight="false" outlineLevel="0" collapsed="false">
      <c r="A849" s="50" t="n">
        <v>769</v>
      </c>
      <c r="B849" s="51" t="n">
        <f aca="false">1+IF($G$6=$E$6,$F$6,IF(P849&lt;($F$6-$E$6)/($G$6-$E$6),$E$6+SQRT(P849*($G$6-$E$6)*($F$6-$E$6)),$G$6-SQRT((1-P849)*($G$6-$E$6)*($G$6-$F$6))))</f>
        <v>0.992669957964749</v>
      </c>
      <c r="C849" s="51" t="n">
        <f aca="false">1+IF($G$7=$E$7,$F$7,IF(Q849&lt;($F$7-$E$7)/($G$7-$E$7),$E$7+SQRT(Q849*($G$7-$E$7)*($F$7-$E$7)),$G$7-SQRT((1-Q849)*($G$7-$E$7)*($G$7-$F$7))))</f>
        <v>0.844374419762585</v>
      </c>
      <c r="D849" s="51" t="n">
        <f aca="false">1+IF($G$8=$E$8,$F$8,IF(R849&lt;($F$8-$E$8)/($G$8-$E$8),$E$8+SQRT(R849*($G$8-$E$8)*($F$8-$E$8)),$G$8-SQRT((1-R849)*($G$8-$E$8)*($G$8-$F$8))))</f>
        <v>0.954984310818712</v>
      </c>
      <c r="E849" s="51" t="n">
        <f aca="false">1+IF($G$9=$E$9,$F$9,IF(S849&lt;($F$9-$E$9)/($G$9-$E$9),$E$9+SQRT(S849*($G$9-$E$9)*($F$9-$E$9)),$G$9-SQRT((1-S849)*($G$9-$E$9)*($G$9-$F$9))))</f>
        <v>0.921965102573039</v>
      </c>
      <c r="F849" s="51" t="n">
        <f aca="false">1+IF($G$10=$E$10,$F$10,IF(T849&lt;($F$10-$E$10)/($G$10-$E$10),$E$10+SQRT(T849*($G$10-$E$10)*($F$10-$E$10)),$G$10-SQRT((1-T849)*($G$10-$E$10)*($G$10-$F$10))))</f>
        <v>1.02914137527632</v>
      </c>
      <c r="G849" s="52" t="n">
        <f aca="false">IF($G$11=$E$11,$F$11,IF(U849&lt;($F$11-$E$11)/($G$11-$E$11),$E$11+SQRT(U849*($G$11-$E$11)*($F$11-$E$11)),$G$11-SQRT((1-U849)*($G$11-$E$11)*($G$11-$F$11))))</f>
        <v>0.0974361149914838</v>
      </c>
      <c r="H849" s="53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-2058282750.55264</v>
      </c>
      <c r="I849" s="53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-3729153.69948079</v>
      </c>
      <c r="J849" s="53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270010784.323549</v>
      </c>
      <c r="K849" s="53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595207791.110395</v>
      </c>
      <c r="L849" s="53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715422114.857401</v>
      </c>
      <c r="M849" s="53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874744342.423707</v>
      </c>
      <c r="N849" s="53" t="n">
        <f aca="false">IF(COUNT('Business Case'!B11:G11)=0,"",H849+NPV(G849,I849:M849))</f>
        <v>-344410440.133324</v>
      </c>
      <c r="P849" s="54" t="n">
        <f aca="true">RAND()</f>
        <v>0.572514740612558</v>
      </c>
      <c r="Q849" s="54" t="n">
        <f aca="true">RAND()</f>
        <v>0.1543998006058</v>
      </c>
      <c r="R849" s="54" t="n">
        <f aca="true">RAND()</f>
        <v>0.00331244724500331</v>
      </c>
      <c r="S849" s="54" t="n">
        <f aca="true">RAND()</f>
        <v>0.0192986292417648</v>
      </c>
      <c r="T849" s="54" t="n">
        <f aca="true">RAND()</f>
        <v>0.349619571802204</v>
      </c>
      <c r="U849" s="54" t="n">
        <f aca="true">RAND()</f>
        <v>0.304018105996247</v>
      </c>
    </row>
    <row r="850" customFormat="false" ht="15" hidden="false" customHeight="false" outlineLevel="0" collapsed="false">
      <c r="A850" s="50" t="n">
        <v>770</v>
      </c>
      <c r="B850" s="51" t="n">
        <f aca="false">1+IF($G$6=$E$6,$F$6,IF(P850&lt;($F$6-$E$6)/($G$6-$E$6),$E$6+SQRT(P850*($G$6-$E$6)*($F$6-$E$6)),$G$6-SQRT((1-P850)*($G$6-$E$6)*($G$6-$F$6))))</f>
        <v>0.975824836984322</v>
      </c>
      <c r="C850" s="51" t="n">
        <f aca="false">1+IF($G$7=$E$7,$F$7,IF(Q850&lt;($F$7-$E$7)/($G$7-$E$7),$E$7+SQRT(Q850*($G$7-$E$7)*($F$7-$E$7)),$G$7-SQRT((1-Q850)*($G$7-$E$7)*($G$7-$F$7))))</f>
        <v>0.952194184800678</v>
      </c>
      <c r="D850" s="51" t="n">
        <f aca="false">1+IF($G$8=$E$8,$F$8,IF(R850&lt;($F$8-$E$8)/($G$8-$E$8),$E$8+SQRT(R850*($G$8-$E$8)*($F$8-$E$8)),$G$8-SQRT((1-R850)*($G$8-$E$8)*($G$8-$F$8))))</f>
        <v>0.996288569650219</v>
      </c>
      <c r="E850" s="51" t="n">
        <f aca="false">1+IF($G$9=$E$9,$F$9,IF(S850&lt;($F$9-$E$9)/($G$9-$E$9),$E$9+SQRT(S850*($G$9-$E$9)*($F$9-$E$9)),$G$9-SQRT((1-S850)*($G$9-$E$9)*($G$9-$F$9))))</f>
        <v>0.952379616199329</v>
      </c>
      <c r="F850" s="51" t="n">
        <f aca="false">1+IF($G$10=$E$10,$F$10,IF(T850&lt;($F$10-$E$10)/($G$10-$E$10),$E$10+SQRT(T850*($G$10-$E$10)*($F$10-$E$10)),$G$10-SQRT((1-T850)*($G$10-$E$10)*($G$10-$F$10))))</f>
        <v>1.15019566009692</v>
      </c>
      <c r="G850" s="52" t="n">
        <f aca="false">IF($G$11=$E$11,$F$11,IF(U850&lt;($F$11-$E$11)/($G$11-$E$11),$E$11+SQRT(U850*($G$11-$E$11)*($F$11-$E$11)),$G$11-SQRT((1-U850)*($G$11-$E$11)*($G$11-$F$11))))</f>
        <v>0.110804701449316</v>
      </c>
      <c r="H850" s="53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-2300391320.19383</v>
      </c>
      <c r="I850" s="53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-23193477.6029658</v>
      </c>
      <c r="J850" s="53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252229410.498027</v>
      </c>
      <c r="K850" s="53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585162081.603866</v>
      </c>
      <c r="L850" s="53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709081989.818012</v>
      </c>
      <c r="M850" s="53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885699523.477327</v>
      </c>
      <c r="N850" s="53" t="n">
        <f aca="false">IF(COUNT('Business Case'!B11:G11)=0,"",H850+NPV(G850,I850:M850))</f>
        <v>-700455720.800063</v>
      </c>
      <c r="P850" s="54" t="n">
        <f aca="true">RAND()</f>
        <v>0.383293726913264</v>
      </c>
      <c r="Q850" s="54" t="n">
        <f aca="true">RAND()</f>
        <v>0.471125235905768</v>
      </c>
      <c r="R850" s="54" t="n">
        <f aca="true">RAND()</f>
        <v>0.285684224035094</v>
      </c>
      <c r="S850" s="54" t="n">
        <f aca="true">RAND()</f>
        <v>0.109744967727561</v>
      </c>
      <c r="T850" s="54" t="n">
        <f aca="true">RAND()</f>
        <v>0.867187916486798</v>
      </c>
      <c r="U850" s="54" t="n">
        <f aca="true">RAND()</f>
        <v>0.754360342366728</v>
      </c>
    </row>
    <row r="851" customFormat="false" ht="15" hidden="false" customHeight="false" outlineLevel="0" collapsed="false">
      <c r="A851" s="50" t="n">
        <v>771</v>
      </c>
      <c r="B851" s="51" t="n">
        <f aca="false">1+IF($G$6=$E$6,$F$6,IF(P851&lt;($F$6-$E$6)/($G$6-$E$6),$E$6+SQRT(P851*($G$6-$E$6)*($F$6-$E$6)),$G$6-SQRT((1-P851)*($G$6-$E$6)*($G$6-$F$6))))</f>
        <v>0.950802631046217</v>
      </c>
      <c r="C851" s="51" t="n">
        <f aca="false">1+IF($G$7=$E$7,$F$7,IF(Q851&lt;($F$7-$E$7)/($G$7-$E$7),$E$7+SQRT(Q851*($G$7-$E$7)*($F$7-$E$7)),$G$7-SQRT((1-Q851)*($G$7-$E$7)*($G$7-$F$7))))</f>
        <v>0.920366176574683</v>
      </c>
      <c r="D851" s="51" t="n">
        <f aca="false">1+IF($G$8=$E$8,$F$8,IF(R851&lt;($F$8-$E$8)/($G$8-$E$8),$E$8+SQRT(R851*($G$8-$E$8)*($F$8-$E$8)),$G$8-SQRT((1-R851)*($G$8-$E$8)*($G$8-$F$8))))</f>
        <v>1.00134816192591</v>
      </c>
      <c r="E851" s="51" t="n">
        <f aca="false">1+IF($G$9=$E$9,$F$9,IF(S851&lt;($F$9-$E$9)/($G$9-$E$9),$E$9+SQRT(S851*($G$9-$E$9)*($F$9-$E$9)),$G$9-SQRT((1-S851)*($G$9-$E$9)*($G$9-$F$9))))</f>
        <v>0.911497296003058</v>
      </c>
      <c r="F851" s="51" t="n">
        <f aca="false">1+IF($G$10=$E$10,$F$10,IF(T851&lt;($F$10-$E$10)/($G$10-$E$10),$E$10+SQRT(T851*($G$10-$E$10)*($F$10-$E$10)),$G$10-SQRT((1-T851)*($G$10-$E$10)*($G$10-$F$10))))</f>
        <v>1.02057835428705</v>
      </c>
      <c r="G851" s="52" t="n">
        <f aca="false">IF($G$11=$E$11,$F$11,IF(U851&lt;($F$11-$E$11)/($G$11-$E$11),$E$11+SQRT(U851*($G$11-$E$11)*($F$11-$E$11)),$G$11-SQRT((1-U851)*($G$11-$E$11)*($G$11-$F$11))))</f>
        <v>0.0972452336081508</v>
      </c>
      <c r="H851" s="53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-2041156708.57411</v>
      </c>
      <c r="I851" s="53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-32067367.0738994</v>
      </c>
      <c r="J851" s="53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212902505.194471</v>
      </c>
      <c r="K851" s="53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508901295.177195</v>
      </c>
      <c r="L851" s="53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620800911.547939</v>
      </c>
      <c r="M851" s="53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787137369.095015</v>
      </c>
      <c r="N851" s="53" t="n">
        <f aca="false">IF(COUNT('Business Case'!B11:G11)=0,"",H851+NPV(G851,I851:M851))</f>
        <v>-585106676.433411</v>
      </c>
      <c r="P851" s="54" t="n">
        <f aca="true">RAND()</f>
        <v>0.172060488081207</v>
      </c>
      <c r="Q851" s="54" t="n">
        <f aca="true">RAND()</f>
        <v>0.359712976134403</v>
      </c>
      <c r="R851" s="54" t="n">
        <f aca="true">RAND()</f>
        <v>0.351187656306907</v>
      </c>
      <c r="S851" s="54" t="n">
        <f aca="true">RAND()</f>
        <v>0.0052875126152772</v>
      </c>
      <c r="T851" s="54" t="n">
        <f aca="true">RAND()</f>
        <v>0.298209446378177</v>
      </c>
      <c r="U851" s="54" t="n">
        <f aca="true">RAND()</f>
        <v>0.297398082199693</v>
      </c>
    </row>
    <row r="852" customFormat="false" ht="15" hidden="false" customHeight="false" outlineLevel="0" collapsed="false">
      <c r="A852" s="50" t="n">
        <v>772</v>
      </c>
      <c r="B852" s="51" t="n">
        <f aca="false">1+IF($G$6=$E$6,$F$6,IF(P852&lt;($F$6-$E$6)/($G$6-$E$6),$E$6+SQRT(P852*($G$6-$E$6)*($F$6-$E$6)),$G$6-SQRT((1-P852)*($G$6-$E$6)*($G$6-$F$6))))</f>
        <v>0.962330229429453</v>
      </c>
      <c r="C852" s="51" t="n">
        <f aca="false">1+IF($G$7=$E$7,$F$7,IF(Q852&lt;($F$7-$E$7)/($G$7-$E$7),$E$7+SQRT(Q852*($G$7-$E$7)*($F$7-$E$7)),$G$7-SQRT((1-Q852)*($G$7-$E$7)*($G$7-$F$7))))</f>
        <v>0.941018249958748</v>
      </c>
      <c r="D852" s="51" t="n">
        <f aca="false">1+IF($G$8=$E$8,$F$8,IF(R852&lt;($F$8-$E$8)/($G$8-$E$8),$E$8+SQRT(R852*($G$8-$E$8)*($F$8-$E$8)),$G$8-SQRT((1-R852)*($G$8-$E$8)*($G$8-$F$8))))</f>
        <v>0.985675514198054</v>
      </c>
      <c r="E852" s="51" t="n">
        <f aca="false">1+IF($G$9=$E$9,$F$9,IF(S852&lt;($F$9-$E$9)/($G$9-$E$9),$E$9+SQRT(S852*($G$9-$E$9)*($F$9-$E$9)),$G$9-SQRT((1-S852)*($G$9-$E$9)*($G$9-$F$9))))</f>
        <v>1.09241208805271</v>
      </c>
      <c r="F852" s="51" t="n">
        <f aca="false">1+IF($G$10=$E$10,$F$10,IF(T852&lt;($F$10-$E$10)/($G$10-$E$10),$E$10+SQRT(T852*($G$10-$E$10)*($F$10-$E$10)),$G$10-SQRT((1-T852)*($G$10-$E$10)*($G$10-$F$10))))</f>
        <v>1.06768602373193</v>
      </c>
      <c r="G852" s="52" t="n">
        <f aca="false">IF($G$11=$E$11,$F$11,IF(U852&lt;($F$11-$E$11)/($G$11-$E$11),$E$11+SQRT(U852*($G$11-$E$11)*($F$11-$E$11)),$G$11-SQRT((1-U852)*($G$11-$E$11)*($G$11-$F$11))))</f>
        <v>0.104454134597295</v>
      </c>
      <c r="H852" s="53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-2135372047.46386</v>
      </c>
      <c r="I852" s="53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-42152666.831107</v>
      </c>
      <c r="J852" s="53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224749032.418499</v>
      </c>
      <c r="K852" s="53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545035032.854701</v>
      </c>
      <c r="L852" s="53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665298775.79552</v>
      </c>
      <c r="M852" s="53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837429580.01241</v>
      </c>
      <c r="N852" s="53" t="n">
        <f aca="false">IF(COUNT('Business Case'!B11:G11)=0,"",H852+NPV(G852,I852:M852))</f>
        <v>-628032714.520284</v>
      </c>
      <c r="P852" s="54" t="n">
        <f aca="true">RAND()</f>
        <v>0.259003833381885</v>
      </c>
      <c r="Q852" s="54" t="n">
        <f aca="true">RAND()</f>
        <v>0.430294791208723</v>
      </c>
      <c r="R852" s="54" t="n">
        <f aca="true">RAND()</f>
        <v>0.169698975106074</v>
      </c>
      <c r="S852" s="54" t="n">
        <f aca="true">RAND()</f>
        <v>0.911563530601364</v>
      </c>
      <c r="T852" s="54" t="n">
        <f aca="true">RAND()</f>
        <v>0.556821520764332</v>
      </c>
      <c r="U852" s="54" t="n">
        <f aca="true">RAND()</f>
        <v>0.564939173884574</v>
      </c>
    </row>
    <row r="853" customFormat="false" ht="15" hidden="false" customHeight="false" outlineLevel="0" collapsed="false">
      <c r="A853" s="50" t="n">
        <v>773</v>
      </c>
      <c r="B853" s="51" t="n">
        <f aca="false">1+IF($G$6=$E$6,$F$6,IF(P853&lt;($F$6-$E$6)/($G$6-$E$6),$E$6+SQRT(P853*($G$6-$E$6)*($F$6-$E$6)),$G$6-SQRT((1-P853)*($G$6-$E$6)*($G$6-$F$6))))</f>
        <v>1.02722471107483</v>
      </c>
      <c r="C853" s="51" t="n">
        <f aca="false">1+IF($G$7=$E$7,$F$7,IF(Q853&lt;($F$7-$E$7)/($G$7-$E$7),$E$7+SQRT(Q853*($G$7-$E$7)*($F$7-$E$7)),$G$7-SQRT((1-Q853)*($G$7-$E$7)*($G$7-$F$7))))</f>
        <v>0.916038376813262</v>
      </c>
      <c r="D853" s="51" t="n">
        <f aca="false">1+IF($G$8=$E$8,$F$8,IF(R853&lt;($F$8-$E$8)/($G$8-$E$8),$E$8+SQRT(R853*($G$8-$E$8)*($F$8-$E$8)),$G$8-SQRT((1-R853)*($G$8-$E$8)*($G$8-$F$8))))</f>
        <v>1.03633387366124</v>
      </c>
      <c r="E853" s="51" t="n">
        <f aca="false">1+IF($G$9=$E$9,$F$9,IF(S853&lt;($F$9-$E$9)/($G$9-$E$9),$E$9+SQRT(S853*($G$9-$E$9)*($F$9-$E$9)),$G$9-SQRT((1-S853)*($G$9-$E$9)*($G$9-$F$9))))</f>
        <v>1.10708234720302</v>
      </c>
      <c r="F853" s="51" t="n">
        <f aca="false">1+IF($G$10=$E$10,$F$10,IF(T853&lt;($F$10-$E$10)/($G$10-$E$10),$E$10+SQRT(T853*($G$10-$E$10)*($F$10-$E$10)),$G$10-SQRT((1-T853)*($G$10-$E$10)*($G$10-$F$10))))</f>
        <v>1.03957974380831</v>
      </c>
      <c r="G853" s="52" t="n">
        <f aca="false">IF($G$11=$E$11,$F$11,IF(U853&lt;($F$11-$E$11)/($G$11-$E$11),$E$11+SQRT(U853*($G$11-$E$11)*($F$11-$E$11)),$G$11-SQRT((1-U853)*($G$11-$E$11)*($G$11-$F$11))))</f>
        <v>0.10198099756662</v>
      </c>
      <c r="H853" s="53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-2079159487.61661</v>
      </c>
      <c r="I853" s="53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-25413934.5428975</v>
      </c>
      <c r="J853" s="53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259337476.067876</v>
      </c>
      <c r="K853" s="53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596067873.869065</v>
      </c>
      <c r="L853" s="53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723505184.739704</v>
      </c>
      <c r="M853" s="53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902366141.741797</v>
      </c>
      <c r="N853" s="53" t="n">
        <f aca="false">IF(COUNT('Business Case'!B11:G11)=0,"",H853+NPV(G853,I853:M853))</f>
        <v>-397338880.610002</v>
      </c>
      <c r="P853" s="54" t="n">
        <f aca="true">RAND()</f>
        <v>0.930838161916664</v>
      </c>
      <c r="Q853" s="54" t="n">
        <f aca="true">RAND()</f>
        <v>0.345722816711918</v>
      </c>
      <c r="R853" s="54" t="n">
        <f aca="true">RAND()</f>
        <v>0.72977495713448</v>
      </c>
      <c r="S853" s="54" t="n">
        <f aca="true">RAND()</f>
        <v>0.95088200209061</v>
      </c>
      <c r="T853" s="54" t="n">
        <f aca="true">RAND()</f>
        <v>0.409644210456294</v>
      </c>
      <c r="U853" s="54" t="n">
        <f aca="true">RAND()</f>
        <v>0.476623668425498</v>
      </c>
    </row>
    <row r="854" customFormat="false" ht="15" hidden="false" customHeight="false" outlineLevel="0" collapsed="false">
      <c r="A854" s="50" t="n">
        <v>774</v>
      </c>
      <c r="B854" s="51" t="n">
        <f aca="false">1+IF($G$6=$E$6,$F$6,IF(P854&lt;($F$6-$E$6)/($G$6-$E$6),$E$6+SQRT(P854*($G$6-$E$6)*($F$6-$E$6)),$G$6-SQRT((1-P854)*($G$6-$E$6)*($G$6-$F$6))))</f>
        <v>0.998059781123513</v>
      </c>
      <c r="C854" s="51" t="n">
        <f aca="false">1+IF($G$7=$E$7,$F$7,IF(Q854&lt;($F$7-$E$7)/($G$7-$E$7),$E$7+SQRT(Q854*($G$7-$E$7)*($F$7-$E$7)),$G$7-SQRT((1-Q854)*($G$7-$E$7)*($G$7-$F$7))))</f>
        <v>0.747407199915476</v>
      </c>
      <c r="D854" s="51" t="n">
        <f aca="false">1+IF($G$8=$E$8,$F$8,IF(R854&lt;($F$8-$E$8)/($G$8-$E$8),$E$8+SQRT(R854*($G$8-$E$8)*($F$8-$E$8)),$G$8-SQRT((1-R854)*($G$8-$E$8)*($G$8-$F$8))))</f>
        <v>0.996460598707978</v>
      </c>
      <c r="E854" s="51" t="n">
        <f aca="false">1+IF($G$9=$E$9,$F$9,IF(S854&lt;($F$9-$E$9)/($G$9-$E$9),$E$9+SQRT(S854*($G$9-$E$9)*($F$9-$E$9)),$G$9-SQRT((1-S854)*($G$9-$E$9)*($G$9-$F$9))))</f>
        <v>0.961541684655212</v>
      </c>
      <c r="F854" s="51" t="n">
        <f aca="false">1+IF($G$10=$E$10,$F$10,IF(T854&lt;($F$10-$E$10)/($G$10-$E$10),$E$10+SQRT(T854*($G$10-$E$10)*($F$10-$E$10)),$G$10-SQRT((1-T854)*($G$10-$E$10)*($G$10-$F$10))))</f>
        <v>1.09395204447255</v>
      </c>
      <c r="G854" s="52" t="n">
        <f aca="false">IF($G$11=$E$11,$F$11,IF(U854&lt;($F$11-$E$11)/($G$11-$E$11),$E$11+SQRT(U854*($G$11-$E$11)*($F$11-$E$11)),$G$11-SQRT((1-U854)*($G$11-$E$11)*($G$11-$F$11))))</f>
        <v>0.110778813809944</v>
      </c>
      <c r="H854" s="53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-2187904088.9451</v>
      </c>
      <c r="I854" s="53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-55062773.9874347</v>
      </c>
      <c r="J854" s="53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174671298.350344</v>
      </c>
      <c r="K854" s="53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459102972.91175</v>
      </c>
      <c r="L854" s="53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561461273.237668</v>
      </c>
      <c r="M854" s="53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703252792.410954</v>
      </c>
      <c r="N854" s="53" t="n">
        <f aca="false">IF(COUNT('Business Case'!B11:G11)=0,"",H854+NPV(G854,I854:M854))</f>
        <v>-976219461.160313</v>
      </c>
      <c r="P854" s="54" t="n">
        <f aca="true">RAND()</f>
        <v>0.641048044932751</v>
      </c>
      <c r="Q854" s="54" t="n">
        <f aca="true">RAND()</f>
        <v>0.0166477229913032</v>
      </c>
      <c r="R854" s="54" t="n">
        <f aca="true">RAND()</f>
        <v>0.287811630973841</v>
      </c>
      <c r="S854" s="54" t="n">
        <f aca="true">RAND()</f>
        <v>0.151495158008062</v>
      </c>
      <c r="T854" s="54" t="n">
        <f aca="true">RAND()</f>
        <v>0.675320474342707</v>
      </c>
      <c r="U854" s="54" t="n">
        <f aca="true">RAND()</f>
        <v>0.75369733429814</v>
      </c>
    </row>
    <row r="855" customFormat="false" ht="15" hidden="false" customHeight="false" outlineLevel="0" collapsed="false">
      <c r="A855" s="50" t="n">
        <v>775</v>
      </c>
      <c r="B855" s="51" t="n">
        <f aca="false">1+IF($G$6=$E$6,$F$6,IF(P855&lt;($F$6-$E$6)/($G$6-$E$6),$E$6+SQRT(P855*($G$6-$E$6)*($F$6-$E$6)),$G$6-SQRT((1-P855)*($G$6-$E$6)*($G$6-$F$6))))</f>
        <v>0.996840169655765</v>
      </c>
      <c r="C855" s="51" t="n">
        <f aca="false">1+IF($G$7=$E$7,$F$7,IF(Q855&lt;($F$7-$E$7)/($G$7-$E$7),$E$7+SQRT(Q855*($G$7-$E$7)*($F$7-$E$7)),$G$7-SQRT((1-Q855)*($G$7-$E$7)*($G$7-$F$7))))</f>
        <v>1.00413889137913</v>
      </c>
      <c r="D855" s="51" t="n">
        <f aca="false">1+IF($G$8=$E$8,$F$8,IF(R855&lt;($F$8-$E$8)/($G$8-$E$8),$E$8+SQRT(R855*($G$8-$E$8)*($F$8-$E$8)),$G$8-SQRT((1-R855)*($G$8-$E$8)*($G$8-$F$8))))</f>
        <v>1.04516992318742</v>
      </c>
      <c r="E855" s="51" t="n">
        <f aca="false">1+IF($G$9=$E$9,$F$9,IF(S855&lt;($F$9-$E$9)/($G$9-$E$9),$E$9+SQRT(S855*($G$9-$E$9)*($F$9-$E$9)),$G$9-SQRT((1-S855)*($G$9-$E$9)*($G$9-$F$9))))</f>
        <v>1.08551790424067</v>
      </c>
      <c r="F855" s="51" t="n">
        <f aca="false">1+IF($G$10=$E$10,$F$10,IF(T855&lt;($F$10-$E$10)/($G$10-$E$10),$E$10+SQRT(T855*($G$10-$E$10)*($F$10-$E$10)),$G$10-SQRT((1-T855)*($G$10-$E$10)*($G$10-$F$10))))</f>
        <v>1.08109082239104</v>
      </c>
      <c r="G855" s="52" t="n">
        <f aca="false">IF($G$11=$E$11,$F$11,IF(U855&lt;($F$11-$E$11)/($G$11-$E$11),$E$11+SQRT(U855*($G$11-$E$11)*($F$11-$E$11)),$G$11-SQRT((1-U855)*($G$11-$E$11)*($G$11-$F$11))))</f>
        <v>0.0995254190345671</v>
      </c>
      <c r="H855" s="53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-2162181644.78208</v>
      </c>
      <c r="I855" s="53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-31754468.81592</v>
      </c>
      <c r="J855" s="53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250850867.140729</v>
      </c>
      <c r="K855" s="53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587510744.21693</v>
      </c>
      <c r="L855" s="53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716305907.236108</v>
      </c>
      <c r="M855" s="53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906569521.254397</v>
      </c>
      <c r="N855" s="53" t="n">
        <f aca="false">IF(COUNT('Business Case'!B11:G11)=0,"",H855+NPV(G855,I855:M855))</f>
        <v>-487374688.515191</v>
      </c>
      <c r="P855" s="54" t="n">
        <f aca="true">RAND()</f>
        <v>0.625201230597159</v>
      </c>
      <c r="Q855" s="54" t="n">
        <f aca="true">RAND()</f>
        <v>0.684807955435417</v>
      </c>
      <c r="R855" s="54" t="n">
        <f aca="true">RAND()</f>
        <v>0.799577511781751</v>
      </c>
      <c r="S855" s="54" t="n">
        <f aca="true">RAND()</f>
        <v>0.889121582039573</v>
      </c>
      <c r="T855" s="54" t="n">
        <f aca="true">RAND()</f>
        <v>0.619595862926196</v>
      </c>
      <c r="U855" s="54" t="n">
        <f aca="true">RAND()</f>
        <v>0.381241988475435</v>
      </c>
    </row>
    <row r="856" customFormat="false" ht="15" hidden="false" customHeight="false" outlineLevel="0" collapsed="false">
      <c r="A856" s="50" t="n">
        <v>776</v>
      </c>
      <c r="B856" s="51" t="n">
        <f aca="false">1+IF($G$6=$E$6,$F$6,IF(P856&lt;($F$6-$E$6)/($G$6-$E$6),$E$6+SQRT(P856*($G$6-$E$6)*($F$6-$E$6)),$G$6-SQRT((1-P856)*($G$6-$E$6)*($G$6-$F$6))))</f>
        <v>0.930356552106301</v>
      </c>
      <c r="C856" s="51" t="n">
        <f aca="false">1+IF($G$7=$E$7,$F$7,IF(Q856&lt;($F$7-$E$7)/($G$7-$E$7),$E$7+SQRT(Q856*($G$7-$E$7)*($F$7-$E$7)),$G$7-SQRT((1-Q856)*($G$7-$E$7)*($G$7-$F$7))))</f>
        <v>0.962947831152409</v>
      </c>
      <c r="D856" s="51" t="n">
        <f aca="false">1+IF($G$8=$E$8,$F$8,IF(R856&lt;($F$8-$E$8)/($G$8-$E$8),$E$8+SQRT(R856*($G$8-$E$8)*($F$8-$E$8)),$G$8-SQRT((1-R856)*($G$8-$E$8)*($G$8-$F$8))))</f>
        <v>1.04190927862685</v>
      </c>
      <c r="E856" s="51" t="n">
        <f aca="false">1+IF($G$9=$E$9,$F$9,IF(S856&lt;($F$9-$E$9)/($G$9-$E$9),$E$9+SQRT(S856*($G$9-$E$9)*($F$9-$E$9)),$G$9-SQRT((1-S856)*($G$9-$E$9)*($G$9-$F$9))))</f>
        <v>1.11275882499152</v>
      </c>
      <c r="F856" s="51" t="n">
        <f aca="false">1+IF($G$10=$E$10,$F$10,IF(T856&lt;($F$10-$E$10)/($G$10-$E$10),$E$10+SQRT(T856*($G$10-$E$10)*($F$10-$E$10)),$G$10-SQRT((1-T856)*($G$10-$E$10)*($G$10-$F$10))))</f>
        <v>1.11157570744104</v>
      </c>
      <c r="G856" s="52" t="n">
        <f aca="false">IF($G$11=$E$11,$F$11,IF(U856&lt;($F$11-$E$11)/($G$11-$E$11),$E$11+SQRT(U856*($G$11-$E$11)*($F$11-$E$11)),$G$11-SQRT((1-U856)*($G$11-$E$11)*($G$11-$F$11))))</f>
        <v>0.126796363851387</v>
      </c>
      <c r="H856" s="53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-2223151414.88208</v>
      </c>
      <c r="I856" s="53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-95651897.4075594</v>
      </c>
      <c r="J856" s="53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124530750.12149</v>
      </c>
      <c r="K856" s="53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400292183.022591</v>
      </c>
      <c r="L856" s="53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504648178.384748</v>
      </c>
      <c r="M856" s="53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674937965.740019</v>
      </c>
      <c r="N856" s="53" t="n">
        <f aca="false">IF(COUNT('Business Case'!B11:G11)=0,"",H856+NPV(G856,I856:M856))</f>
        <v>-1245551296.30262</v>
      </c>
      <c r="P856" s="54" t="n">
        <f aca="true">RAND()</f>
        <v>0.0614346837188362</v>
      </c>
      <c r="Q856" s="54" t="n">
        <f aca="true">RAND()</f>
        <v>0.512159717835228</v>
      </c>
      <c r="R856" s="54" t="n">
        <f aca="true">RAND()</f>
        <v>0.775031206023113</v>
      </c>
      <c r="S856" s="54" t="n">
        <f aca="true">RAND()</f>
        <v>0.963015863573009</v>
      </c>
      <c r="T856" s="54" t="n">
        <f aca="true">RAND()</f>
        <v>0.744516203060692</v>
      </c>
      <c r="U856" s="54" t="n">
        <f aca="true">RAND()</f>
        <v>0.993157810284868</v>
      </c>
    </row>
    <row r="857" customFormat="false" ht="15" hidden="false" customHeight="false" outlineLevel="0" collapsed="false">
      <c r="A857" s="50" t="n">
        <v>777</v>
      </c>
      <c r="B857" s="51" t="n">
        <f aca="false">1+IF($G$6=$E$6,$F$6,IF(P857&lt;($F$6-$E$6)/($G$6-$E$6),$E$6+SQRT(P857*($G$6-$E$6)*($F$6-$E$6)),$G$6-SQRT((1-P857)*($G$6-$E$6)*($G$6-$F$6))))</f>
        <v>1.00798998886192</v>
      </c>
      <c r="C857" s="51" t="n">
        <f aca="false">1+IF($G$7=$E$7,$F$7,IF(Q857&lt;($F$7-$E$7)/($G$7-$E$7),$E$7+SQRT(Q857*($G$7-$E$7)*($F$7-$E$7)),$G$7-SQRT((1-Q857)*($G$7-$E$7)*($G$7-$F$7))))</f>
        <v>1.06495458643169</v>
      </c>
      <c r="D857" s="51" t="n">
        <f aca="false">1+IF($G$8=$E$8,$F$8,IF(R857&lt;($F$8-$E$8)/($G$8-$E$8),$E$8+SQRT(R857*($G$8-$E$8)*($F$8-$E$8)),$G$8-SQRT((1-R857)*($G$8-$E$8)*($G$8-$F$8))))</f>
        <v>1.07301897358105</v>
      </c>
      <c r="E857" s="51" t="n">
        <f aca="false">1+IF($G$9=$E$9,$F$9,IF(S857&lt;($F$9-$E$9)/($G$9-$E$9),$E$9+SQRT(S857*($G$9-$E$9)*($F$9-$E$9)),$G$9-SQRT((1-S857)*($G$9-$E$9)*($G$9-$F$9))))</f>
        <v>1.01259609135598</v>
      </c>
      <c r="F857" s="51" t="n">
        <f aca="false">1+IF($G$10=$E$10,$F$10,IF(T857&lt;($F$10-$E$10)/($G$10-$E$10),$E$10+SQRT(T857*($G$10-$E$10)*($F$10-$E$10)),$G$10-SQRT((1-T857)*($G$10-$E$10)*($G$10-$F$10))))</f>
        <v>1.16012282200893</v>
      </c>
      <c r="G857" s="52" t="n">
        <f aca="false">IF($G$11=$E$11,$F$11,IF(U857&lt;($F$11-$E$11)/($G$11-$E$11),$E$11+SQRT(U857*($G$11-$E$11)*($F$11-$E$11)),$G$11-SQRT((1-U857)*($G$11-$E$11)*($G$11-$F$11))))</f>
        <v>0.0848954296220265</v>
      </c>
      <c r="H857" s="53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-2320245644.01787</v>
      </c>
      <c r="I857" s="53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-21387270.0398555</v>
      </c>
      <c r="J857" s="53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272877257.351347</v>
      </c>
      <c r="K857" s="53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625147925.842995</v>
      </c>
      <c r="L857" s="53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760335002.332958</v>
      </c>
      <c r="M857" s="53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964378956.143884</v>
      </c>
      <c r="N857" s="53" t="n">
        <f aca="false">IF(COUNT('Business Case'!B11:G11)=0,"",H857+NPV(G857,I857:M857))</f>
        <v>-428027977.209837</v>
      </c>
      <c r="P857" s="54" t="n">
        <f aca="true">RAND()</f>
        <v>0.764687861890403</v>
      </c>
      <c r="Q857" s="54" t="n">
        <f aca="true">RAND()</f>
        <v>0.892848557496225</v>
      </c>
      <c r="R857" s="54" t="n">
        <f aca="true">RAND()</f>
        <v>0.951468280891981</v>
      </c>
      <c r="S857" s="54" t="n">
        <f aca="true">RAND()</f>
        <v>0.496537757049248</v>
      </c>
      <c r="T857" s="54" t="n">
        <f aca="true">RAND()</f>
        <v>0.89229457168483</v>
      </c>
      <c r="U857" s="54" t="n">
        <f aca="true">RAND()</f>
        <v>0.0239652311842145</v>
      </c>
    </row>
    <row r="858" customFormat="false" ht="15" hidden="false" customHeight="false" outlineLevel="0" collapsed="false">
      <c r="A858" s="50" t="n">
        <v>778</v>
      </c>
      <c r="B858" s="51" t="n">
        <f aca="false">1+IF($G$6=$E$6,$F$6,IF(P858&lt;($F$6-$E$6)/($G$6-$E$6),$E$6+SQRT(P858*($G$6-$E$6)*($F$6-$E$6)),$G$6-SQRT((1-P858)*($G$6-$E$6)*($G$6-$F$6))))</f>
        <v>0.979321044471799</v>
      </c>
      <c r="C858" s="51" t="n">
        <f aca="false">1+IF($G$7=$E$7,$F$7,IF(Q858&lt;($F$7-$E$7)/($G$7-$E$7),$E$7+SQRT(Q858*($G$7-$E$7)*($F$7-$E$7)),$G$7-SQRT((1-Q858)*($G$7-$E$7)*($G$7-$F$7))))</f>
        <v>0.872366682913533</v>
      </c>
      <c r="D858" s="51" t="n">
        <f aca="false">1+IF($G$8=$E$8,$F$8,IF(R858&lt;($F$8-$E$8)/($G$8-$E$8),$E$8+SQRT(R858*($G$8-$E$8)*($F$8-$E$8)),$G$8-SQRT((1-R858)*($G$8-$E$8)*($G$8-$F$8))))</f>
        <v>0.960045985750097</v>
      </c>
      <c r="E858" s="51" t="n">
        <f aca="false">1+IF($G$9=$E$9,$F$9,IF(S858&lt;($F$9-$E$9)/($G$9-$E$9),$E$9+SQRT(S858*($G$9-$E$9)*($F$9-$E$9)),$G$9-SQRT((1-S858)*($G$9-$E$9)*($G$9-$F$9))))</f>
        <v>0.988187703988707</v>
      </c>
      <c r="F858" s="51" t="n">
        <f aca="false">1+IF($G$10=$E$10,$F$10,IF(T858&lt;($F$10-$E$10)/($G$10-$E$10),$E$10+SQRT(T858*($G$10-$E$10)*($F$10-$E$10)),$G$10-SQRT((1-T858)*($G$10-$E$10)*($G$10-$F$10))))</f>
        <v>1.05220319344409</v>
      </c>
      <c r="G858" s="52" t="n">
        <f aca="false">IF($G$11=$E$11,$F$11,IF(U858&lt;($F$11-$E$11)/($G$11-$E$11),$E$11+SQRT(U858*($G$11-$E$11)*($F$11-$E$11)),$G$11-SQRT((1-U858)*($G$11-$E$11)*($G$11-$F$11))))</f>
        <v>0.113791761799212</v>
      </c>
      <c r="H858" s="53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-2104406386.88817</v>
      </c>
      <c r="I858" s="53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-19012769.4330173</v>
      </c>
      <c r="J858" s="53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252003386.313207</v>
      </c>
      <c r="K858" s="53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575629701.731636</v>
      </c>
      <c r="L858" s="53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695493963.198803</v>
      </c>
      <c r="M858" s="53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857884449.066813</v>
      </c>
      <c r="N858" s="53" t="n">
        <f aca="false">IF(COUNT('Business Case'!B11:G11)=0,"",H858+NPV(G858,I858:M858))</f>
        <v>-549282023.492676</v>
      </c>
      <c r="P858" s="54" t="n">
        <f aca="true">RAND()</f>
        <v>0.419455206406477</v>
      </c>
      <c r="Q858" s="54" t="n">
        <f aca="true">RAND()</f>
        <v>0.220076099100848</v>
      </c>
      <c r="R858" s="54" t="n">
        <f aca="true">RAND()</f>
        <v>0.013456243958821</v>
      </c>
      <c r="S858" s="54" t="n">
        <f aca="true">RAND()</f>
        <v>0.31108284539199</v>
      </c>
      <c r="T858" s="54" t="n">
        <f aca="true">RAND()</f>
        <v>0.47835231088377</v>
      </c>
      <c r="U858" s="54" t="n">
        <f aca="true">RAND()</f>
        <v>0.824862009617669</v>
      </c>
    </row>
    <row r="859" customFormat="false" ht="15" hidden="false" customHeight="false" outlineLevel="0" collapsed="false">
      <c r="A859" s="50" t="n">
        <v>779</v>
      </c>
      <c r="B859" s="51" t="n">
        <f aca="false">1+IF($G$6=$E$6,$F$6,IF(P859&lt;($F$6-$E$6)/($G$6-$E$6),$E$6+SQRT(P859*($G$6-$E$6)*($F$6-$E$6)),$G$6-SQRT((1-P859)*($G$6-$E$6)*($G$6-$F$6))))</f>
        <v>0.996254779010386</v>
      </c>
      <c r="C859" s="51" t="n">
        <f aca="false">1+IF($G$7=$E$7,$F$7,IF(Q859&lt;($F$7-$E$7)/($G$7-$E$7),$E$7+SQRT(Q859*($G$7-$E$7)*($F$7-$E$7)),$G$7-SQRT((1-Q859)*($G$7-$E$7)*($G$7-$F$7))))</f>
        <v>0.797184119919443</v>
      </c>
      <c r="D859" s="51" t="n">
        <f aca="false">1+IF($G$8=$E$8,$F$8,IF(R859&lt;($F$8-$E$8)/($G$8-$E$8),$E$8+SQRT(R859*($G$8-$E$8)*($F$8-$E$8)),$G$8-SQRT((1-R859)*($G$8-$E$8)*($G$8-$F$8))))</f>
        <v>1.02178578083393</v>
      </c>
      <c r="E859" s="51" t="n">
        <f aca="false">1+IF($G$9=$E$9,$F$9,IF(S859&lt;($F$9-$E$9)/($G$9-$E$9),$E$9+SQRT(S859*($G$9-$E$9)*($F$9-$E$9)),$G$9-SQRT((1-S859)*($G$9-$E$9)*($G$9-$F$9))))</f>
        <v>1.00652367471816</v>
      </c>
      <c r="F859" s="51" t="n">
        <f aca="false">1+IF($G$10=$E$10,$F$10,IF(T859&lt;($F$10-$E$10)/($G$10-$E$10),$E$10+SQRT(T859*($G$10-$E$10)*($F$10-$E$10)),$G$10-SQRT((1-T859)*($G$10-$E$10)*($G$10-$F$10))))</f>
        <v>1.00557586856562</v>
      </c>
      <c r="G859" s="52" t="n">
        <f aca="false">IF($G$11=$E$11,$F$11,IF(U859&lt;($F$11-$E$11)/($G$11-$E$11),$E$11+SQRT(U859*($G$11-$E$11)*($F$11-$E$11)),$G$11-SQRT((1-U859)*($G$11-$E$11)*($G$11-$F$11))))</f>
        <v>0.0933134462191114</v>
      </c>
      <c r="H859" s="53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-2011151737.13125</v>
      </c>
      <c r="I859" s="53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-51335910.0090875</v>
      </c>
      <c r="J859" s="53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182184683.064523</v>
      </c>
      <c r="K859" s="53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465984069.566414</v>
      </c>
      <c r="L859" s="53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571271767.045093</v>
      </c>
      <c r="M859" s="53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722233015.876208</v>
      </c>
      <c r="N859" s="53" t="n">
        <f aca="false">IF(COUNT('Business Case'!B11:G11)=0,"",H859+NPV(G859,I859:M859))</f>
        <v>-686977942.831843</v>
      </c>
      <c r="P859" s="54" t="n">
        <f aca="true">RAND()</f>
        <v>0.617665498822552</v>
      </c>
      <c r="Q859" s="54" t="n">
        <f aca="true">RAND()</f>
        <v>0.069961134551976</v>
      </c>
      <c r="R859" s="54" t="n">
        <f aca="true">RAND()</f>
        <v>0.59216906134951</v>
      </c>
      <c r="S859" s="54" t="n">
        <f aca="true">RAND()</f>
        <v>0.451054508896503</v>
      </c>
      <c r="T859" s="54" t="n">
        <f aca="true">RAND()</f>
        <v>0.20342458630068</v>
      </c>
      <c r="U859" s="54" t="n">
        <f aca="true">RAND()</f>
        <v>0.177247850229171</v>
      </c>
    </row>
    <row r="860" customFormat="false" ht="15" hidden="false" customHeight="false" outlineLevel="0" collapsed="false">
      <c r="A860" s="50" t="n">
        <v>780</v>
      </c>
      <c r="B860" s="51" t="n">
        <f aca="false">1+IF($G$6=$E$6,$F$6,IF(P860&lt;($F$6-$E$6)/($G$6-$E$6),$E$6+SQRT(P860*($G$6-$E$6)*($F$6-$E$6)),$G$6-SQRT((1-P860)*($G$6-$E$6)*($G$6-$F$6))))</f>
        <v>0.936045722205922</v>
      </c>
      <c r="C860" s="51" t="n">
        <f aca="false">1+IF($G$7=$E$7,$F$7,IF(Q860&lt;($F$7-$E$7)/($G$7-$E$7),$E$7+SQRT(Q860*($G$7-$E$7)*($F$7-$E$7)),$G$7-SQRT((1-Q860)*($G$7-$E$7)*($G$7-$F$7))))</f>
        <v>1.04758147072151</v>
      </c>
      <c r="D860" s="51" t="n">
        <f aca="false">1+IF($G$8=$E$8,$F$8,IF(R860&lt;($F$8-$E$8)/($G$8-$E$8),$E$8+SQRT(R860*($G$8-$E$8)*($F$8-$E$8)),$G$8-SQRT((1-R860)*($G$8-$E$8)*($G$8-$F$8))))</f>
        <v>1.07669526781806</v>
      </c>
      <c r="E860" s="51" t="n">
        <f aca="false">1+IF($G$9=$E$9,$F$9,IF(S860&lt;($F$9-$E$9)/($G$9-$E$9),$E$9+SQRT(S860*($G$9-$E$9)*($F$9-$E$9)),$G$9-SQRT((1-S860)*($G$9-$E$9)*($G$9-$F$9))))</f>
        <v>0.928654129728386</v>
      </c>
      <c r="F860" s="51" t="n">
        <f aca="false">1+IF($G$10=$E$10,$F$10,IF(T860&lt;($F$10-$E$10)/($G$10-$E$10),$E$10+SQRT(T860*($G$10-$E$10)*($F$10-$E$10)),$G$10-SQRT((1-T860)*($G$10-$E$10)*($G$10-$F$10))))</f>
        <v>1.09826606260257</v>
      </c>
      <c r="G860" s="52" t="n">
        <f aca="false">IF($G$11=$E$11,$F$11,IF(U860&lt;($F$11-$E$11)/($G$11-$E$11),$E$11+SQRT(U860*($G$11-$E$11)*($F$11-$E$11)),$G$11-SQRT((1-U860)*($G$11-$E$11)*($G$11-$F$11))))</f>
        <v>0.101781891725929</v>
      </c>
      <c r="H860" s="53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-2196532125.20513</v>
      </c>
      <c r="I860" s="53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-66953565.7669574</v>
      </c>
      <c r="J860" s="53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158807574.534241</v>
      </c>
      <c r="K860" s="53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439482017.965567</v>
      </c>
      <c r="L860" s="53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548624719.772981</v>
      </c>
      <c r="M860" s="53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735014155.82823</v>
      </c>
      <c r="N860" s="53" t="n">
        <f aca="false">IF(COUNT('Business Case'!B11:G11)=0,"",H860+NPV(G860,I860:M860))</f>
        <v>-972881710.333658</v>
      </c>
      <c r="P860" s="54" t="n">
        <f aca="true">RAND()</f>
        <v>0.086619605956435</v>
      </c>
      <c r="Q860" s="54" t="n">
        <f aca="true">RAND()</f>
        <v>0.84459918311751</v>
      </c>
      <c r="R860" s="54" t="n">
        <f aca="true">RAND()</f>
        <v>0.96379263052855</v>
      </c>
      <c r="S860" s="54" t="n">
        <f aca="true">RAND()</f>
        <v>0.0328423660196472</v>
      </c>
      <c r="T860" s="54" t="n">
        <f aca="true">RAND()</f>
        <v>0.693024163224959</v>
      </c>
      <c r="U860" s="54" t="n">
        <f aca="true">RAND()</f>
        <v>0.46915891028852</v>
      </c>
    </row>
    <row r="861" customFormat="false" ht="15" hidden="false" customHeight="false" outlineLevel="0" collapsed="false">
      <c r="A861" s="50" t="n">
        <v>781</v>
      </c>
      <c r="B861" s="51" t="n">
        <f aca="false">1+IF($G$6=$E$6,$F$6,IF(P861&lt;($F$6-$E$6)/($G$6-$E$6),$E$6+SQRT(P861*($G$6-$E$6)*($F$6-$E$6)),$G$6-SQRT((1-P861)*($G$6-$E$6)*($G$6-$F$6))))</f>
        <v>0.961401709741462</v>
      </c>
      <c r="C861" s="51" t="n">
        <f aca="false">1+IF($G$7=$E$7,$F$7,IF(Q861&lt;($F$7-$E$7)/($G$7-$E$7),$E$7+SQRT(Q861*($G$7-$E$7)*($F$7-$E$7)),$G$7-SQRT((1-Q861)*($G$7-$E$7)*($G$7-$F$7))))</f>
        <v>0.989174706185839</v>
      </c>
      <c r="D861" s="51" t="n">
        <f aca="false">1+IF($G$8=$E$8,$F$8,IF(R861&lt;($F$8-$E$8)/($G$8-$E$8),$E$8+SQRT(R861*($G$8-$E$8)*($F$8-$E$8)),$G$8-SQRT((1-R861)*($G$8-$E$8)*($G$8-$F$8))))</f>
        <v>1.05838283776819</v>
      </c>
      <c r="E861" s="51" t="n">
        <f aca="false">1+IF($G$9=$E$9,$F$9,IF(S861&lt;($F$9-$E$9)/($G$9-$E$9),$E$9+SQRT(S861*($G$9-$E$9)*($F$9-$E$9)),$G$9-SQRT((1-S861)*($G$9-$E$9)*($G$9-$F$9))))</f>
        <v>0.995023118429762</v>
      </c>
      <c r="F861" s="51" t="n">
        <f aca="false">1+IF($G$10=$E$10,$F$10,IF(T861&lt;($F$10-$E$10)/($G$10-$E$10),$E$10+SQRT(T861*($G$10-$E$10)*($F$10-$E$10)),$G$10-SQRT((1-T861)*($G$10-$E$10)*($G$10-$F$10))))</f>
        <v>1.01808214869229</v>
      </c>
      <c r="G861" s="52" t="n">
        <f aca="false">IF($G$11=$E$11,$F$11,IF(U861&lt;($F$11-$E$11)/($G$11-$E$11),$E$11+SQRT(U861*($G$11-$E$11)*($F$11-$E$11)),$G$11-SQRT((1-U861)*($G$11-$E$11)*($G$11-$F$11))))</f>
        <v>0.111709773426333</v>
      </c>
      <c r="H861" s="53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-2036164297.38457</v>
      </c>
      <c r="I861" s="53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-49609397.6482075</v>
      </c>
      <c r="J861" s="53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193381249.128448</v>
      </c>
      <c r="K861" s="53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487276003.339718</v>
      </c>
      <c r="L861" s="53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601139247.008551</v>
      </c>
      <c r="M861" s="53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781904234.763266</v>
      </c>
      <c r="N861" s="53" t="n">
        <f aca="false">IF(COUNT('Business Case'!B11:G11)=0,"",H861+NPV(G861,I861:M861))</f>
        <v>-715644518.207716</v>
      </c>
      <c r="P861" s="54" t="n">
        <f aca="true">RAND()</f>
        <v>0.251344663944982</v>
      </c>
      <c r="Q861" s="54" t="n">
        <f aca="true">RAND()</f>
        <v>0.619422301464194</v>
      </c>
      <c r="R861" s="54" t="n">
        <f aca="true">RAND()</f>
        <v>0.884534120518107</v>
      </c>
      <c r="S861" s="54" t="n">
        <f aca="true">RAND()</f>
        <v>0.361175721444662</v>
      </c>
      <c r="T861" s="54" t="n">
        <f aca="true">RAND()</f>
        <v>0.282854803264171</v>
      </c>
      <c r="U861" s="54" t="n">
        <f aca="true">RAND()</f>
        <v>0.776978407922622</v>
      </c>
    </row>
    <row r="862" customFormat="false" ht="15" hidden="false" customHeight="false" outlineLevel="0" collapsed="false">
      <c r="A862" s="50" t="n">
        <v>782</v>
      </c>
      <c r="B862" s="51" t="n">
        <f aca="false">1+IF($G$6=$E$6,$F$6,IF(P862&lt;($F$6-$E$6)/($G$6-$E$6),$E$6+SQRT(P862*($G$6-$E$6)*($F$6-$E$6)),$G$6-SQRT((1-P862)*($G$6-$E$6)*($G$6-$F$6))))</f>
        <v>0.934112962943468</v>
      </c>
      <c r="C862" s="51" t="n">
        <f aca="false">1+IF($G$7=$E$7,$F$7,IF(Q862&lt;($F$7-$E$7)/($G$7-$E$7),$E$7+SQRT(Q862*($G$7-$E$7)*($F$7-$E$7)),$G$7-SQRT((1-Q862)*($G$7-$E$7)*($G$7-$F$7))))</f>
        <v>0.713333859370713</v>
      </c>
      <c r="D862" s="51" t="n">
        <f aca="false">1+IF($G$8=$E$8,$F$8,IF(R862&lt;($F$8-$E$8)/($G$8-$E$8),$E$8+SQRT(R862*($G$8-$E$8)*($F$8-$E$8)),$G$8-SQRT((1-R862)*($G$8-$E$8)*($G$8-$F$8))))</f>
        <v>1.03667979660945</v>
      </c>
      <c r="E862" s="51" t="n">
        <f aca="false">1+IF($G$9=$E$9,$F$9,IF(S862&lt;($F$9-$E$9)/($G$9-$E$9),$E$9+SQRT(S862*($G$9-$E$9)*($F$9-$E$9)),$G$9-SQRT((1-S862)*($G$9-$E$9)*($G$9-$F$9))))</f>
        <v>0.97670329231083</v>
      </c>
      <c r="F862" s="51" t="n">
        <f aca="false">1+IF($G$10=$E$10,$F$10,IF(T862&lt;($F$10-$E$10)/($G$10-$E$10),$E$10+SQRT(T862*($G$10-$E$10)*($F$10-$E$10)),$G$10-SQRT((1-T862)*($G$10-$E$10)*($G$10-$F$10))))</f>
        <v>1.01151500117278</v>
      </c>
      <c r="G862" s="52" t="n">
        <f aca="false">IF($G$11=$E$11,$F$11,IF(U862&lt;($F$11-$E$11)/($G$11-$E$11),$E$11+SQRT(U862*($G$11-$E$11)*($F$11-$E$11)),$G$11-SQRT((1-U862)*($G$11-$E$11)*($G$11-$F$11))))</f>
        <v>0.114165004850828</v>
      </c>
      <c r="H862" s="53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-2023030002.34557</v>
      </c>
      <c r="I862" s="53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-107369855.931843</v>
      </c>
      <c r="J862" s="53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59841771.9725248</v>
      </c>
      <c r="K862" s="53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277629149.935532</v>
      </c>
      <c r="L862" s="53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356394876.271876</v>
      </c>
      <c r="M862" s="53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483051719.96376</v>
      </c>
      <c r="N862" s="53" t="n">
        <f aca="false">IF(COUNT('Business Case'!B11:G11)=0,"",H862+NPV(G862,I862:M862))</f>
        <v>-1357832611.99424</v>
      </c>
      <c r="P862" s="54" t="n">
        <f aca="true">RAND()</f>
        <v>0.0775796160521612</v>
      </c>
      <c r="Q862" s="54" t="n">
        <f aca="true">RAND()</f>
        <v>0.00131697633865152</v>
      </c>
      <c r="R862" s="54" t="n">
        <f aca="true">RAND()</f>
        <v>0.732703456171971</v>
      </c>
      <c r="S862" s="54" t="n">
        <f aca="true">RAND()</f>
        <v>0.235335802052824</v>
      </c>
      <c r="T862" s="54" t="n">
        <f aca="true">RAND()</f>
        <v>0.241665404458442</v>
      </c>
      <c r="U862" s="54" t="n">
        <f aca="true">RAND()</f>
        <v>0.832835285750459</v>
      </c>
    </row>
    <row r="863" customFormat="false" ht="15" hidden="false" customHeight="false" outlineLevel="0" collapsed="false">
      <c r="A863" s="50" t="n">
        <v>783</v>
      </c>
      <c r="B863" s="51" t="n">
        <f aca="false">1+IF($G$6=$E$6,$F$6,IF(P863&lt;($F$6-$E$6)/($G$6-$E$6),$E$6+SQRT(P863*($G$6-$E$6)*($F$6-$E$6)),$G$6-SQRT((1-P863)*($G$6-$E$6)*($G$6-$F$6))))</f>
        <v>0.944001781484426</v>
      </c>
      <c r="C863" s="51" t="n">
        <f aca="false">1+IF($G$7=$E$7,$F$7,IF(Q863&lt;($F$7-$E$7)/($G$7-$E$7),$E$7+SQRT(Q863*($G$7-$E$7)*($F$7-$E$7)),$G$7-SQRT((1-Q863)*($G$7-$E$7)*($G$7-$F$7))))</f>
        <v>0.914955569716731</v>
      </c>
      <c r="D863" s="51" t="n">
        <f aca="false">1+IF($G$8=$E$8,$F$8,IF(R863&lt;($F$8-$E$8)/($G$8-$E$8),$E$8+SQRT(R863*($G$8-$E$8)*($F$8-$E$8)),$G$8-SQRT((1-R863)*($G$8-$E$8)*($G$8-$F$8))))</f>
        <v>1.05463671254505</v>
      </c>
      <c r="E863" s="51" t="n">
        <f aca="false">1+IF($G$9=$E$9,$F$9,IF(S863&lt;($F$9-$E$9)/($G$9-$E$9),$E$9+SQRT(S863*($G$9-$E$9)*($F$9-$E$9)),$G$9-SQRT((1-S863)*($G$9-$E$9)*($G$9-$F$9))))</f>
        <v>1.02418423517504</v>
      </c>
      <c r="F863" s="51" t="n">
        <f aca="false">1+IF($G$10=$E$10,$F$10,IF(T863&lt;($F$10-$E$10)/($G$10-$E$10),$E$10+SQRT(T863*($G$10-$E$10)*($F$10-$E$10)),$G$10-SQRT((1-T863)*($G$10-$E$10)*($G$10-$F$10))))</f>
        <v>1.01924702496407</v>
      </c>
      <c r="G863" s="52" t="n">
        <f aca="false">IF($G$11=$E$11,$F$11,IF(U863&lt;($F$11-$E$11)/($G$11-$E$11),$E$11+SQRT(U863*($G$11-$E$11)*($F$11-$E$11)),$G$11-SQRT((1-U863)*($G$11-$E$11)*($G$11-$F$11))))</f>
        <v>0.0885814688702001</v>
      </c>
      <c r="H863" s="53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-2038494049.92815</v>
      </c>
      <c r="I863" s="53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-78865337.4712347</v>
      </c>
      <c r="J863" s="53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134608254.41095</v>
      </c>
      <c r="K863" s="53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399044197.541338</v>
      </c>
      <c r="L863" s="53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500052213.912147</v>
      </c>
      <c r="M863" s="53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664228052.167592</v>
      </c>
      <c r="N863" s="53" t="n">
        <f aca="false">IF(COUNT('Business Case'!B11:G11)=0,"",H863+NPV(G863,I863:M863))</f>
        <v>-897385353.098579</v>
      </c>
      <c r="P863" s="54" t="n">
        <f aca="true">RAND()</f>
        <v>0.129077118253544</v>
      </c>
      <c r="Q863" s="54" t="n">
        <f aca="true">RAND()</f>
        <v>0.342265903349957</v>
      </c>
      <c r="R863" s="54" t="n">
        <f aca="true">RAND()</f>
        <v>0.862811476751942</v>
      </c>
      <c r="S863" s="54" t="n">
        <f aca="true">RAND()</f>
        <v>0.577877155240256</v>
      </c>
      <c r="T863" s="54" t="n">
        <f aca="true">RAND()</f>
        <v>0.290040860160927</v>
      </c>
      <c r="U863" s="54" t="n">
        <f aca="true">RAND()</f>
        <v>0.0736416079702127</v>
      </c>
    </row>
    <row r="864" customFormat="false" ht="15" hidden="false" customHeight="false" outlineLevel="0" collapsed="false">
      <c r="A864" s="50" t="n">
        <v>784</v>
      </c>
      <c r="B864" s="51" t="n">
        <f aca="false">1+IF($G$6=$E$6,$F$6,IF(P864&lt;($F$6-$E$6)/($G$6-$E$6),$E$6+SQRT(P864*($G$6-$E$6)*($F$6-$E$6)),$G$6-SQRT((1-P864)*($G$6-$E$6)*($G$6-$F$6))))</f>
        <v>0.99971501248177</v>
      </c>
      <c r="C864" s="51" t="n">
        <f aca="false">1+IF($G$7=$E$7,$F$7,IF(Q864&lt;($F$7-$E$7)/($G$7-$E$7),$E$7+SQRT(Q864*($G$7-$E$7)*($F$7-$E$7)),$G$7-SQRT((1-Q864)*($G$7-$E$7)*($G$7-$F$7))))</f>
        <v>0.999056808543731</v>
      </c>
      <c r="D864" s="51" t="n">
        <f aca="false">1+IF($G$8=$E$8,$F$8,IF(R864&lt;($F$8-$E$8)/($G$8-$E$8),$E$8+SQRT(R864*($G$8-$E$8)*($F$8-$E$8)),$G$8-SQRT((1-R864)*($G$8-$E$8)*($G$8-$F$8))))</f>
        <v>0.963006807073922</v>
      </c>
      <c r="E864" s="51" t="n">
        <f aca="false">1+IF($G$9=$E$9,$F$9,IF(S864&lt;($F$9-$E$9)/($G$9-$E$9),$E$9+SQRT(S864*($G$9-$E$9)*($F$9-$E$9)),$G$9-SQRT((1-S864)*($G$9-$E$9)*($G$9-$F$9))))</f>
        <v>0.99745557480766</v>
      </c>
      <c r="F864" s="51" t="n">
        <f aca="false">1+IF($G$10=$E$10,$F$10,IF(T864&lt;($F$10-$E$10)/($G$10-$E$10),$E$10+SQRT(T864*($G$10-$E$10)*($F$10-$E$10)),$G$10-SQRT((1-T864)*($G$10-$E$10)*($G$10-$F$10))))</f>
        <v>1.03813750031281</v>
      </c>
      <c r="G864" s="52" t="n">
        <f aca="false">IF($G$11=$E$11,$F$11,IF(U864&lt;($F$11-$E$11)/($G$11-$E$11),$E$11+SQRT(U864*($G$11-$E$11)*($F$11-$E$11)),$G$11-SQRT((1-U864)*($G$11-$E$11)*($G$11-$F$11))))</f>
        <v>0.0928544592809931</v>
      </c>
      <c r="H864" s="53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-2076275000.62562</v>
      </c>
      <c r="I864" s="53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28120507.4030023</v>
      </c>
      <c r="J864" s="53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353669292.711374</v>
      </c>
      <c r="K864" s="53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731124953.035387</v>
      </c>
      <c r="L864" s="53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874158778.229137</v>
      </c>
      <c r="M864" s="53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1064005377.06275</v>
      </c>
      <c r="N864" s="53" t="n">
        <f aca="false">IF(COUNT('Business Case'!B11:G11)=0,"",H864+NPV(G864,I864:M864))</f>
        <v>101107782.679938</v>
      </c>
      <c r="P864" s="54" t="n">
        <f aca="true">RAND()</f>
        <v>0.662872247615964</v>
      </c>
      <c r="Q864" s="54" t="n">
        <f aca="true">RAND()</f>
        <v>0.662481294343421</v>
      </c>
      <c r="R864" s="54" t="n">
        <f aca="true">RAND()</f>
        <v>0.0225569373677648</v>
      </c>
      <c r="S864" s="54" t="n">
        <f aca="true">RAND()</f>
        <v>0.379903562443658</v>
      </c>
      <c r="T864" s="54" t="n">
        <f aca="true">RAND()</f>
        <v>0.401523749683931</v>
      </c>
      <c r="U864" s="54" t="n">
        <f aca="true">RAND()</f>
        <v>0.165237123406708</v>
      </c>
    </row>
    <row r="865" customFormat="false" ht="15" hidden="false" customHeight="false" outlineLevel="0" collapsed="false">
      <c r="A865" s="50" t="n">
        <v>785</v>
      </c>
      <c r="B865" s="51" t="n">
        <f aca="false">1+IF($G$6=$E$6,$F$6,IF(P865&lt;($F$6-$E$6)/($G$6-$E$6),$E$6+SQRT(P865*($G$6-$E$6)*($F$6-$E$6)),$G$6-SQRT((1-P865)*($G$6-$E$6)*($G$6-$F$6))))</f>
        <v>0.988763115099019</v>
      </c>
      <c r="C865" s="51" t="n">
        <f aca="false">1+IF($G$7=$E$7,$F$7,IF(Q865&lt;($F$7-$E$7)/($G$7-$E$7),$E$7+SQRT(Q865*($G$7-$E$7)*($F$7-$E$7)),$G$7-SQRT((1-Q865)*($G$7-$E$7)*($G$7-$F$7))))</f>
        <v>0.945399615428429</v>
      </c>
      <c r="D865" s="51" t="n">
        <f aca="false">1+IF($G$8=$E$8,$F$8,IF(R865&lt;($F$8-$E$8)/($G$8-$E$8),$E$8+SQRT(R865*($G$8-$E$8)*($F$8-$E$8)),$G$8-SQRT((1-R865)*($G$8-$E$8)*($G$8-$F$8))))</f>
        <v>0.986393640392499</v>
      </c>
      <c r="E865" s="51" t="n">
        <f aca="false">1+IF($G$9=$E$9,$F$9,IF(S865&lt;($F$9-$E$9)/($G$9-$E$9),$E$9+SQRT(S865*($G$9-$E$9)*($F$9-$E$9)),$G$9-SQRT((1-S865)*($G$9-$E$9)*($G$9-$F$9))))</f>
        <v>1.05088677720642</v>
      </c>
      <c r="F865" s="51" t="n">
        <f aca="false">1+IF($G$10=$E$10,$F$10,IF(T865&lt;($F$10-$E$10)/($G$10-$E$10),$E$10+SQRT(T865*($G$10-$E$10)*($F$10-$E$10)),$G$10-SQRT((1-T865)*($G$10-$E$10)*($G$10-$F$10))))</f>
        <v>0.980786752492764</v>
      </c>
      <c r="G865" s="52" t="n">
        <f aca="false">IF($G$11=$E$11,$F$11,IF(U865&lt;($F$11-$E$11)/($G$11-$E$11),$E$11+SQRT(U865*($G$11-$E$11)*($F$11-$E$11)),$G$11-SQRT((1-U865)*($G$11-$E$11)*($G$11-$F$11))))</f>
        <v>0.0889308741385998</v>
      </c>
      <c r="H865" s="53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-1961573504.98553</v>
      </c>
      <c r="I865" s="53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-7708424.00141312</v>
      </c>
      <c r="J865" s="53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280556728.737951</v>
      </c>
      <c r="K865" s="53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617861219.101954</v>
      </c>
      <c r="L865" s="53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746255471.196907</v>
      </c>
      <c r="M865" s="53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923937744.36365</v>
      </c>
      <c r="N865" s="53" t="n">
        <f aca="false">IF(COUNT('Business Case'!B11:G11)=0,"",H865+NPV(G865,I865:M865))</f>
        <v>-119345354.575157</v>
      </c>
      <c r="P865" s="54" t="n">
        <f aca="true">RAND()</f>
        <v>0.525259373472106</v>
      </c>
      <c r="Q865" s="54" t="n">
        <f aca="true">RAND()</f>
        <v>0.446081268536449</v>
      </c>
      <c r="R865" s="54" t="n">
        <f aca="true">RAND()</f>
        <v>0.176599608135805</v>
      </c>
      <c r="S865" s="54" t="n">
        <f aca="true">RAND()</f>
        <v>0.738041841799215</v>
      </c>
      <c r="T865" s="54" t="n">
        <f aca="true">RAND()</f>
        <v>0.0631882752700479</v>
      </c>
      <c r="U865" s="54" t="n">
        <f aca="true">RAND()</f>
        <v>0.0797605128795104</v>
      </c>
    </row>
    <row r="866" customFormat="false" ht="15" hidden="false" customHeight="false" outlineLevel="0" collapsed="false">
      <c r="A866" s="50" t="n">
        <v>786</v>
      </c>
      <c r="B866" s="51" t="n">
        <f aca="false">1+IF($G$6=$E$6,$F$6,IF(P866&lt;($F$6-$E$6)/($G$6-$E$6),$E$6+SQRT(P866*($G$6-$E$6)*($F$6-$E$6)),$G$6-SQRT((1-P866)*($G$6-$E$6)*($G$6-$F$6))))</f>
        <v>0.968727676585724</v>
      </c>
      <c r="C866" s="51" t="n">
        <f aca="false">1+IF($G$7=$E$7,$F$7,IF(Q866&lt;($F$7-$E$7)/($G$7-$E$7),$E$7+SQRT(Q866*($G$7-$E$7)*($F$7-$E$7)),$G$7-SQRT((1-Q866)*($G$7-$E$7)*($G$7-$F$7))))</f>
        <v>1.09087028572394</v>
      </c>
      <c r="D866" s="51" t="n">
        <f aca="false">1+IF($G$8=$E$8,$F$8,IF(R866&lt;($F$8-$E$8)/($G$8-$E$8),$E$8+SQRT(R866*($G$8-$E$8)*($F$8-$E$8)),$G$8-SQRT((1-R866)*($G$8-$E$8)*($G$8-$F$8))))</f>
        <v>0.995336465899385</v>
      </c>
      <c r="E866" s="51" t="n">
        <f aca="false">1+IF($G$9=$E$9,$F$9,IF(S866&lt;($F$9-$E$9)/($G$9-$E$9),$E$9+SQRT(S866*($G$9-$E$9)*($F$9-$E$9)),$G$9-SQRT((1-S866)*($G$9-$E$9)*($G$9-$F$9))))</f>
        <v>0.962329063090495</v>
      </c>
      <c r="F866" s="51" t="n">
        <f aca="false">1+IF($G$10=$E$10,$F$10,IF(T866&lt;($F$10-$E$10)/($G$10-$E$10),$E$10+SQRT(T866*($G$10-$E$10)*($F$10-$E$10)),$G$10-SQRT((1-T866)*($G$10-$E$10)*($G$10-$F$10))))</f>
        <v>1.18674106328827</v>
      </c>
      <c r="G866" s="52" t="n">
        <f aca="false">IF($G$11=$E$11,$F$11,IF(U866&lt;($F$11-$E$11)/($G$11-$E$11),$E$11+SQRT(U866*($G$11-$E$11)*($F$11-$E$11)),$G$11-SQRT((1-U866)*($G$11-$E$11)*($G$11-$F$11))))</f>
        <v>0.0918409626845463</v>
      </c>
      <c r="H866" s="53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-2373482126.57654</v>
      </c>
      <c r="I866" s="53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-574118.143965572</v>
      </c>
      <c r="J866" s="53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309151306.156368</v>
      </c>
      <c r="K866" s="53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678213783.621115</v>
      </c>
      <c r="L866" s="53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817977087.283896</v>
      </c>
      <c r="M866" s="53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1018845312.87858</v>
      </c>
      <c r="N866" s="53" t="n">
        <f aca="false">IF(COUNT('Business Case'!B11:G11)=0,"",H866+NPV(G866,I866:M866))</f>
        <v>-361424310.632549</v>
      </c>
      <c r="P866" s="54" t="n">
        <f aca="true">RAND()</f>
        <v>0.314899568591454</v>
      </c>
      <c r="Q866" s="54" t="n">
        <f aca="true">RAND()</f>
        <v>0.948202620587129</v>
      </c>
      <c r="R866" s="54" t="n">
        <f aca="true">RAND()</f>
        <v>0.274052685366148</v>
      </c>
      <c r="S866" s="54" t="n">
        <f aca="true">RAND()</f>
        <v>0.155396484229556</v>
      </c>
      <c r="T866" s="54" t="n">
        <f aca="true">RAND()</f>
        <v>0.946644092348021</v>
      </c>
      <c r="U866" s="54" t="n">
        <f aca="true">RAND()</f>
        <v>0.140208397296818</v>
      </c>
    </row>
    <row r="867" customFormat="false" ht="15" hidden="false" customHeight="false" outlineLevel="0" collapsed="false">
      <c r="A867" s="50" t="n">
        <v>787</v>
      </c>
      <c r="B867" s="51" t="n">
        <f aca="false">1+IF($G$6=$E$6,$F$6,IF(P867&lt;($F$6-$E$6)/($G$6-$E$6),$E$6+SQRT(P867*($G$6-$E$6)*($F$6-$E$6)),$G$6-SQRT((1-P867)*($G$6-$E$6)*($G$6-$F$6))))</f>
        <v>0.981234169330226</v>
      </c>
      <c r="C867" s="51" t="n">
        <f aca="false">1+IF($G$7=$E$7,$F$7,IF(Q867&lt;($F$7-$E$7)/($G$7-$E$7),$E$7+SQRT(Q867*($G$7-$E$7)*($F$7-$E$7)),$G$7-SQRT((1-Q867)*($G$7-$E$7)*($G$7-$F$7))))</f>
        <v>1.11960324196764</v>
      </c>
      <c r="D867" s="51" t="n">
        <f aca="false">1+IF($G$8=$E$8,$F$8,IF(R867&lt;($F$8-$E$8)/($G$8-$E$8),$E$8+SQRT(R867*($G$8-$E$8)*($F$8-$E$8)),$G$8-SQRT((1-R867)*($G$8-$E$8)*($G$8-$F$8))))</f>
        <v>1.02373194732436</v>
      </c>
      <c r="E867" s="51" t="n">
        <f aca="false">1+IF($G$9=$E$9,$F$9,IF(S867&lt;($F$9-$E$9)/($G$9-$E$9),$E$9+SQRT(S867*($G$9-$E$9)*($F$9-$E$9)),$G$9-SQRT((1-S867)*($G$9-$E$9)*($G$9-$F$9))))</f>
        <v>1.04726749365765</v>
      </c>
      <c r="F867" s="51" t="n">
        <f aca="false">1+IF($G$10=$E$10,$F$10,IF(T867&lt;($F$10-$E$10)/($G$10-$E$10),$E$10+SQRT(T867*($G$10-$E$10)*($F$10-$E$10)),$G$10-SQRT((1-T867)*($G$10-$E$10)*($G$10-$F$10))))</f>
        <v>1.06251229895938</v>
      </c>
      <c r="G867" s="52" t="n">
        <f aca="false">IF($G$11=$E$11,$F$11,IF(U867&lt;($F$11-$E$11)/($G$11-$E$11),$E$11+SQRT(U867*($G$11-$E$11)*($F$11-$E$11)),$G$11-SQRT((1-U867)*($G$11-$E$11)*($G$11-$F$11))))</f>
        <v>0.111843593797498</v>
      </c>
      <c r="H867" s="53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-2125024597.91876</v>
      </c>
      <c r="I867" s="53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953811.214455858</v>
      </c>
      <c r="J867" s="53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314031348.81963</v>
      </c>
      <c r="K867" s="53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680234501.372773</v>
      </c>
      <c r="L867" s="53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822561053.172272</v>
      </c>
      <c r="M867" s="53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1031381602.46003</v>
      </c>
      <c r="N867" s="53" t="n">
        <f aca="false">IF(COUNT('Business Case'!B11:G11)=0,"",H867+NPV(G867,I867:M867))</f>
        <v>-229946273.625745</v>
      </c>
      <c r="P867" s="54" t="n">
        <f aca="true">RAND()</f>
        <v>0.439932684451452</v>
      </c>
      <c r="Q867" s="54" t="n">
        <f aca="true">RAND()</f>
        <v>0.986311660757365</v>
      </c>
      <c r="R867" s="54" t="n">
        <f aca="true">RAND()</f>
        <v>0.612212276071089</v>
      </c>
      <c r="S867" s="54" t="n">
        <f aca="true">RAND()</f>
        <v>0.718560857083179</v>
      </c>
      <c r="T867" s="54" t="n">
        <f aca="true">RAND()</f>
        <v>0.53131149278003</v>
      </c>
      <c r="U867" s="54" t="n">
        <f aca="true">RAND()</f>
        <v>0.780229942539842</v>
      </c>
    </row>
    <row r="868" customFormat="false" ht="15" hidden="false" customHeight="false" outlineLevel="0" collapsed="false">
      <c r="A868" s="50" t="n">
        <v>788</v>
      </c>
      <c r="B868" s="51" t="n">
        <f aca="false">1+IF($G$6=$E$6,$F$6,IF(P868&lt;($F$6-$E$6)/($G$6-$E$6),$E$6+SQRT(P868*($G$6-$E$6)*($F$6-$E$6)),$G$6-SQRT((1-P868)*($G$6-$E$6)*($G$6-$F$6))))</f>
        <v>1.01787610171434</v>
      </c>
      <c r="C868" s="51" t="n">
        <f aca="false">1+IF($G$7=$E$7,$F$7,IF(Q868&lt;($F$7-$E$7)/($G$7-$E$7),$E$7+SQRT(Q868*($G$7-$E$7)*($F$7-$E$7)),$G$7-SQRT((1-Q868)*($G$7-$E$7)*($G$7-$F$7))))</f>
        <v>0.98452731345652</v>
      </c>
      <c r="D868" s="51" t="n">
        <f aca="false">1+IF($G$8=$E$8,$F$8,IF(R868&lt;($F$8-$E$8)/($G$8-$E$8),$E$8+SQRT(R868*($G$8-$E$8)*($F$8-$E$8)),$G$8-SQRT((1-R868)*($G$8-$E$8)*($G$8-$F$8))))</f>
        <v>0.980729471114965</v>
      </c>
      <c r="E868" s="51" t="n">
        <f aca="false">1+IF($G$9=$E$9,$F$9,IF(S868&lt;($F$9-$E$9)/($G$9-$E$9),$E$9+SQRT(S868*($G$9-$E$9)*($F$9-$E$9)),$G$9-SQRT((1-S868)*($G$9-$E$9)*($G$9-$F$9))))</f>
        <v>1.00339869983574</v>
      </c>
      <c r="F868" s="51" t="n">
        <f aca="false">1+IF($G$10=$E$10,$F$10,IF(T868&lt;($F$10-$E$10)/($G$10-$E$10),$E$10+SQRT(T868*($G$10-$E$10)*($F$10-$E$10)),$G$10-SQRT((1-T868)*($G$10-$E$10)*($G$10-$F$10))))</f>
        <v>1.03366640413505</v>
      </c>
      <c r="G868" s="52" t="n">
        <f aca="false">IF($G$11=$E$11,$F$11,IF(U868&lt;($F$11-$E$11)/($G$11-$E$11),$E$11+SQRT(U868*($G$11-$E$11)*($F$11-$E$11)),$G$11-SQRT((1-U868)*($G$11-$E$11)*($G$11-$F$11))))</f>
        <v>0.0904076879639019</v>
      </c>
      <c r="H868" s="53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-2067332808.27009</v>
      </c>
      <c r="I868" s="53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28526941.0545846</v>
      </c>
      <c r="J868" s="53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355054072.187825</v>
      </c>
      <c r="K868" s="53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733264523.527818</v>
      </c>
      <c r="L868" s="53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876740403.604571</v>
      </c>
      <c r="M868" s="53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1067224670.28244</v>
      </c>
      <c r="N868" s="53" t="n">
        <f aca="false">IF(COUNT('Business Case'!B11:G11)=0,"",H868+NPV(G868,I868:M868))</f>
        <v>135531024.477323</v>
      </c>
      <c r="P868" s="54" t="n">
        <f aca="true">RAND()</f>
        <v>0.862407354524346</v>
      </c>
      <c r="Q868" s="54" t="n">
        <f aca="true">RAND()</f>
        <v>0.599672534094703</v>
      </c>
      <c r="R868" s="54" t="n">
        <f aca="true">RAND()</f>
        <v>0.125906719334062</v>
      </c>
      <c r="S868" s="54" t="n">
        <f aca="true">RAND()</f>
        <v>0.426881567737304</v>
      </c>
      <c r="T868" s="54" t="n">
        <f aca="true">RAND()</f>
        <v>0.375997004001848</v>
      </c>
      <c r="U868" s="54" t="n">
        <f aca="true">RAND()</f>
        <v>0.108319968753948</v>
      </c>
    </row>
    <row r="869" customFormat="false" ht="15" hidden="false" customHeight="false" outlineLevel="0" collapsed="false">
      <c r="A869" s="50" t="n">
        <v>789</v>
      </c>
      <c r="B869" s="51" t="n">
        <f aca="false">1+IF($G$6=$E$6,$F$6,IF(P869&lt;($F$6-$E$6)/($G$6-$E$6),$E$6+SQRT(P869*($G$6-$E$6)*($F$6-$E$6)),$G$6-SQRT((1-P869)*($G$6-$E$6)*($G$6-$F$6))))</f>
        <v>0.965733495862118</v>
      </c>
      <c r="C869" s="51" t="n">
        <f aca="false">1+IF($G$7=$E$7,$F$7,IF(Q869&lt;($F$7-$E$7)/($G$7-$E$7),$E$7+SQRT(Q869*($G$7-$E$7)*($F$7-$E$7)),$G$7-SQRT((1-Q869)*($G$7-$E$7)*($G$7-$F$7))))</f>
        <v>0.937339177016241</v>
      </c>
      <c r="D869" s="51" t="n">
        <f aca="false">1+IF($G$8=$E$8,$F$8,IF(R869&lt;($F$8-$E$8)/($G$8-$E$8),$E$8+SQRT(R869*($G$8-$E$8)*($F$8-$E$8)),$G$8-SQRT((1-R869)*($G$8-$E$8)*($G$8-$F$8))))</f>
        <v>1.04787476189869</v>
      </c>
      <c r="E869" s="51" t="n">
        <f aca="false">1+IF($G$9=$E$9,$F$9,IF(S869&lt;($F$9-$E$9)/($G$9-$E$9),$E$9+SQRT(S869*($G$9-$E$9)*($F$9-$E$9)),$G$9-SQRT((1-S869)*($G$9-$E$9)*($G$9-$F$9))))</f>
        <v>0.961499700995424</v>
      </c>
      <c r="F869" s="51" t="n">
        <f aca="false">1+IF($G$10=$E$10,$F$10,IF(T869&lt;($F$10-$E$10)/($G$10-$E$10),$E$10+SQRT(T869*($G$10-$E$10)*($F$10-$E$10)),$G$10-SQRT((1-T869)*($G$10-$E$10)*($G$10-$F$10))))</f>
        <v>1.12598529231961</v>
      </c>
      <c r="G869" s="52" t="n">
        <f aca="false">IF($G$11=$E$11,$F$11,IF(U869&lt;($F$11-$E$11)/($G$11-$E$11),$E$11+SQRT(U869*($G$11-$E$11)*($F$11-$E$11)),$G$11-SQRT((1-U869)*($G$11-$E$11)*($G$11-$F$11))))</f>
        <v>0.117505544839187</v>
      </c>
      <c r="H869" s="53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-2251970584.63923</v>
      </c>
      <c r="I869" s="53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-57625183.4003443</v>
      </c>
      <c r="J869" s="53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181000016.430263</v>
      </c>
      <c r="K869" s="53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475924480.876851</v>
      </c>
      <c r="L869" s="53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586750611.832014</v>
      </c>
      <c r="M869" s="53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758814799.062631</v>
      </c>
      <c r="N869" s="53" t="n">
        <f aca="false">IF(COUNT('Business Case'!B11:G11)=0,"",H869+NPV(G869,I869:M869))</f>
        <v>-1005942196.00727</v>
      </c>
      <c r="P869" s="54" t="n">
        <f aca="true">RAND()</f>
        <v>0.288059498550336</v>
      </c>
      <c r="Q869" s="54" t="n">
        <f aca="true">RAND()</f>
        <v>0.417258407012938</v>
      </c>
      <c r="R869" s="54" t="n">
        <f aca="true">RAND()</f>
        <v>0.818863970192136</v>
      </c>
      <c r="S869" s="54" t="n">
        <f aca="true">RAND()</f>
        <v>0.15128852890106</v>
      </c>
      <c r="T869" s="54" t="n">
        <f aca="true">RAND()</f>
        <v>0.794938030385978</v>
      </c>
      <c r="U869" s="54" t="n">
        <f aca="true">RAND()</f>
        <v>0.895925726822948</v>
      </c>
    </row>
    <row r="870" customFormat="false" ht="15" hidden="false" customHeight="false" outlineLevel="0" collapsed="false">
      <c r="A870" s="50" t="n">
        <v>790</v>
      </c>
      <c r="B870" s="51" t="n">
        <f aca="false">1+IF($G$6=$E$6,$F$6,IF(P870&lt;($F$6-$E$6)/($G$6-$E$6),$E$6+SQRT(P870*($G$6-$E$6)*($F$6-$E$6)),$G$6-SQRT((1-P870)*($G$6-$E$6)*($G$6-$F$6))))</f>
        <v>0.944673050110929</v>
      </c>
      <c r="C870" s="51" t="n">
        <f aca="false">1+IF($G$7=$E$7,$F$7,IF(Q870&lt;($F$7-$E$7)/($G$7-$E$7),$E$7+SQRT(Q870*($G$7-$E$7)*($F$7-$E$7)),$G$7-SQRT((1-Q870)*($G$7-$E$7)*($G$7-$F$7))))</f>
        <v>0.75037940980788</v>
      </c>
      <c r="D870" s="51" t="n">
        <f aca="false">1+IF($G$8=$E$8,$F$8,IF(R870&lt;($F$8-$E$8)/($G$8-$E$8),$E$8+SQRT(R870*($G$8-$E$8)*($F$8-$E$8)),$G$8-SQRT((1-R870)*($G$8-$E$8)*($G$8-$F$8))))</f>
        <v>1.05996559511432</v>
      </c>
      <c r="E870" s="51" t="n">
        <f aca="false">1+IF($G$9=$E$9,$F$9,IF(S870&lt;($F$9-$E$9)/($G$9-$E$9),$E$9+SQRT(S870*($G$9-$E$9)*($F$9-$E$9)),$G$9-SQRT((1-S870)*($G$9-$E$9)*($G$9-$F$9))))</f>
        <v>1.04918611400689</v>
      </c>
      <c r="F870" s="51" t="n">
        <f aca="false">1+IF($G$10=$E$10,$F$10,IF(T870&lt;($F$10-$E$10)/($G$10-$E$10),$E$10+SQRT(T870*($G$10-$E$10)*($F$10-$E$10)),$G$10-SQRT((1-T870)*($G$10-$E$10)*($G$10-$F$10))))</f>
        <v>1.19236263083775</v>
      </c>
      <c r="G870" s="52" t="n">
        <f aca="false">IF($G$11=$E$11,$F$11,IF(U870&lt;($F$11-$E$11)/($G$11-$E$11),$E$11+SQRT(U870*($G$11-$E$11)*($F$11-$E$11)),$G$11-SQRT((1-U870)*($G$11-$E$11)*($G$11-$F$11))))</f>
        <v>0.0949359363917623</v>
      </c>
      <c r="H870" s="53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-2384725261.6755</v>
      </c>
      <c r="I870" s="53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-131737058.40321</v>
      </c>
      <c r="J870" s="53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41703880.2779954</v>
      </c>
      <c r="K870" s="53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274762950.501088</v>
      </c>
      <c r="L870" s="53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357074909.120731</v>
      </c>
      <c r="M870" s="53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491815627.279889</v>
      </c>
      <c r="N870" s="53" t="n">
        <f aca="false">IF(COUNT('Business Case'!B11:G11)=0,"",H870+NPV(G870,I870:M870))</f>
        <v>-1700006998.52261</v>
      </c>
      <c r="P870" s="54" t="n">
        <f aca="true">RAND()</f>
        <v>0.133045427080903</v>
      </c>
      <c r="Q870" s="54" t="n">
        <f aca="true">RAND()</f>
        <v>0.0188006291302987</v>
      </c>
      <c r="R870" s="54" t="n">
        <f aca="true">RAND()</f>
        <v>0.893149761696651</v>
      </c>
      <c r="S870" s="54" t="n">
        <f aca="true">RAND()</f>
        <v>0.728974943759137</v>
      </c>
      <c r="T870" s="54" t="n">
        <f aca="true">RAND()</f>
        <v>0.955705782347391</v>
      </c>
      <c r="U870" s="54" t="n">
        <f aca="true">RAND()</f>
        <v>0.223082195898769</v>
      </c>
    </row>
    <row r="871" customFormat="false" ht="15" hidden="false" customHeight="false" outlineLevel="0" collapsed="false">
      <c r="A871" s="50" t="n">
        <v>791</v>
      </c>
      <c r="B871" s="51" t="n">
        <f aca="false">1+IF($G$6=$E$6,$F$6,IF(P871&lt;($F$6-$E$6)/($G$6-$E$6),$E$6+SQRT(P871*($G$6-$E$6)*($F$6-$E$6)),$G$6-SQRT((1-P871)*($G$6-$E$6)*($G$6-$F$6))))</f>
        <v>0.950594116700144</v>
      </c>
      <c r="C871" s="51" t="n">
        <f aca="false">1+IF($G$7=$E$7,$F$7,IF(Q871&lt;($F$7-$E$7)/($G$7-$E$7),$E$7+SQRT(Q871*($G$7-$E$7)*($F$7-$E$7)),$G$7-SQRT((1-Q871)*($G$7-$E$7)*($G$7-$F$7))))</f>
        <v>0.832963993884465</v>
      </c>
      <c r="D871" s="51" t="n">
        <f aca="false">1+IF($G$8=$E$8,$F$8,IF(R871&lt;($F$8-$E$8)/($G$8-$E$8),$E$8+SQRT(R871*($G$8-$E$8)*($F$8-$E$8)),$G$8-SQRT((1-R871)*($G$8-$E$8)*($G$8-$F$8))))</f>
        <v>1.00942705887163</v>
      </c>
      <c r="E871" s="51" t="n">
        <f aca="false">1+IF($G$9=$E$9,$F$9,IF(S871&lt;($F$9-$E$9)/($G$9-$E$9),$E$9+SQRT(S871*($G$9-$E$9)*($F$9-$E$9)),$G$9-SQRT((1-S871)*($G$9-$E$9)*($G$9-$F$9))))</f>
        <v>1.09444173786556</v>
      </c>
      <c r="F871" s="51" t="n">
        <f aca="false">1+IF($G$10=$E$10,$F$10,IF(T871&lt;($F$10-$E$10)/($G$10-$E$10),$E$10+SQRT(T871*($G$10-$E$10)*($F$10-$E$10)),$G$10-SQRT((1-T871)*($G$10-$E$10)*($G$10-$F$10))))</f>
        <v>1.07174231454564</v>
      </c>
      <c r="G871" s="52" t="n">
        <f aca="false">IF($G$11=$E$11,$F$11,IF(U871&lt;($F$11-$E$11)/($G$11-$E$11),$E$11+SQRT(U871*($G$11-$E$11)*($F$11-$E$11)),$G$11-SQRT((1-U871)*($G$11-$E$11)*($G$11-$F$11))))</f>
        <v>0.0986904939056842</v>
      </c>
      <c r="H871" s="53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-2143484629.09128</v>
      </c>
      <c r="I871" s="53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-85732089.7404885</v>
      </c>
      <c r="J871" s="53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132387132.335048</v>
      </c>
      <c r="K871" s="53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404093470.137866</v>
      </c>
      <c r="L871" s="53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504164854.321031</v>
      </c>
      <c r="M871" s="53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654672226.856621</v>
      </c>
      <c r="N871" s="53" t="n">
        <f aca="false">IF(COUNT('Business Case'!B11:G11)=0,"",H871+NPV(G871,I871:M871))</f>
        <v>-1052231462.28698</v>
      </c>
      <c r="P871" s="54" t="n">
        <f aca="true">RAND()</f>
        <v>0.170650976311184</v>
      </c>
      <c r="Q871" s="54" t="n">
        <f aca="true">RAND()</f>
        <v>0.13095869384969</v>
      </c>
      <c r="R871" s="54" t="n">
        <f aca="true">RAND()</f>
        <v>0.45310282235707</v>
      </c>
      <c r="S871" s="54" t="n">
        <f aca="true">RAND()</f>
        <v>0.917687453562678</v>
      </c>
      <c r="T871" s="54" t="n">
        <f aca="true">RAND()</f>
        <v>0.576322634352718</v>
      </c>
      <c r="U871" s="54" t="n">
        <f aca="true">RAND()</f>
        <v>0.349334562438419</v>
      </c>
    </row>
    <row r="872" customFormat="false" ht="15" hidden="false" customHeight="false" outlineLevel="0" collapsed="false">
      <c r="A872" s="50" t="n">
        <v>792</v>
      </c>
      <c r="B872" s="51" t="n">
        <f aca="false">1+IF($G$6=$E$6,$F$6,IF(P872&lt;($F$6-$E$6)/($G$6-$E$6),$E$6+SQRT(P872*($G$6-$E$6)*($F$6-$E$6)),$G$6-SQRT((1-P872)*($G$6-$E$6)*($G$6-$F$6))))</f>
        <v>0.923455707682141</v>
      </c>
      <c r="C872" s="51" t="n">
        <f aca="false">1+IF($G$7=$E$7,$F$7,IF(Q872&lt;($F$7-$E$7)/($G$7-$E$7),$E$7+SQRT(Q872*($G$7-$E$7)*($F$7-$E$7)),$G$7-SQRT((1-Q872)*($G$7-$E$7)*($G$7-$F$7))))</f>
        <v>1.08197768744311</v>
      </c>
      <c r="D872" s="51" t="n">
        <f aca="false">1+IF($G$8=$E$8,$F$8,IF(R872&lt;($F$8-$E$8)/($G$8-$E$8),$E$8+SQRT(R872*($G$8-$E$8)*($F$8-$E$8)),$G$8-SQRT((1-R872)*($G$8-$E$8)*($G$8-$F$8))))</f>
        <v>0.988474779769843</v>
      </c>
      <c r="E872" s="51" t="n">
        <f aca="false">1+IF($G$9=$E$9,$F$9,IF(S872&lt;($F$9-$E$9)/($G$9-$E$9),$E$9+SQRT(S872*($G$9-$E$9)*($F$9-$E$9)),$G$9-SQRT((1-S872)*($G$9-$E$9)*($G$9-$F$9))))</f>
        <v>1.06827978208968</v>
      </c>
      <c r="F872" s="51" t="n">
        <f aca="false">1+IF($G$10=$E$10,$F$10,IF(T872&lt;($F$10-$E$10)/($G$10-$E$10),$E$10+SQRT(T872*($G$10-$E$10)*($F$10-$E$10)),$G$10-SQRT((1-T872)*($G$10-$E$10)*($G$10-$F$10))))</f>
        <v>1.02453919839787</v>
      </c>
      <c r="G872" s="52" t="n">
        <f aca="false">IF($G$11=$E$11,$F$11,IF(U872&lt;($F$11-$E$11)/($G$11-$E$11),$E$11+SQRT(U872*($G$11-$E$11)*($F$11-$E$11)),$G$11-SQRT((1-U872)*($G$11-$E$11)*($G$11-$F$11))))</f>
        <v>0.118147558290397</v>
      </c>
      <c r="H872" s="53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-2049078396.79574</v>
      </c>
      <c r="I872" s="53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-35279312.2080252</v>
      </c>
      <c r="J872" s="53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235601055.576332</v>
      </c>
      <c r="K872" s="53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557708383.280583</v>
      </c>
      <c r="L872" s="53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682532755.968331</v>
      </c>
      <c r="M872" s="53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872452798.146287</v>
      </c>
      <c r="N872" s="53" t="n">
        <f aca="false">IF(COUNT('Business Case'!B11:G11)=0,"",H872+NPV(G872,I872:M872))</f>
        <v>-557434294.765046</v>
      </c>
      <c r="P872" s="54" t="n">
        <f aca="true">RAND()</f>
        <v>0.0366780148580022</v>
      </c>
      <c r="Q872" s="54" t="n">
        <f aca="true">RAND()</f>
        <v>0.931451333250557</v>
      </c>
      <c r="R872" s="54" t="n">
        <f aca="true">RAND()</f>
        <v>0.197374490445059</v>
      </c>
      <c r="S872" s="54" t="n">
        <f aca="true">RAND()</f>
        <v>0.821914826258406</v>
      </c>
      <c r="T872" s="54" t="n">
        <f aca="true">RAND()</f>
        <v>0.322232359212341</v>
      </c>
      <c r="U872" s="54" t="n">
        <f aca="true">RAND()</f>
        <v>0.906346417013641</v>
      </c>
    </row>
    <row r="873" customFormat="false" ht="15" hidden="false" customHeight="false" outlineLevel="0" collapsed="false">
      <c r="A873" s="50" t="n">
        <v>793</v>
      </c>
      <c r="B873" s="51" t="n">
        <f aca="false">1+IF($G$6=$E$6,$F$6,IF(P873&lt;($F$6-$E$6)/($G$6-$E$6),$E$6+SQRT(P873*($G$6-$E$6)*($F$6-$E$6)),$G$6-SQRT((1-P873)*($G$6-$E$6)*($G$6-$F$6))))</f>
        <v>1.0273944207775</v>
      </c>
      <c r="C873" s="51" t="n">
        <f aca="false">1+IF($G$7=$E$7,$F$7,IF(Q873&lt;($F$7-$E$7)/($G$7-$E$7),$E$7+SQRT(Q873*($G$7-$E$7)*($F$7-$E$7)),$G$7-SQRT((1-Q873)*($G$7-$E$7)*($G$7-$F$7))))</f>
        <v>0.940942678819642</v>
      </c>
      <c r="D873" s="51" t="n">
        <f aca="false">1+IF($G$8=$E$8,$F$8,IF(R873&lt;($F$8-$E$8)/($G$8-$E$8),$E$8+SQRT(R873*($G$8-$E$8)*($F$8-$E$8)),$G$8-SQRT((1-R873)*($G$8-$E$8)*($G$8-$F$8))))</f>
        <v>0.991573078868964</v>
      </c>
      <c r="E873" s="51" t="n">
        <f aca="false">1+IF($G$9=$E$9,$F$9,IF(S873&lt;($F$9-$E$9)/($G$9-$E$9),$E$9+SQRT(S873*($G$9-$E$9)*($F$9-$E$9)),$G$9-SQRT((1-S873)*($G$9-$E$9)*($G$9-$F$9))))</f>
        <v>0.979699936453224</v>
      </c>
      <c r="F873" s="51" t="n">
        <f aca="false">1+IF($G$10=$E$10,$F$10,IF(T873&lt;($F$10-$E$10)/($G$10-$E$10),$E$10+SQRT(T873*($G$10-$E$10)*($F$10-$E$10)),$G$10-SQRT((1-T873)*($G$10-$E$10)*($G$10-$F$10))))</f>
        <v>0.975017640626566</v>
      </c>
      <c r="G873" s="52" t="n">
        <f aca="false">IF($G$11=$E$11,$F$11,IF(U873&lt;($F$11-$E$11)/($G$11-$E$11),$E$11+SQRT(U873*($G$11-$E$11)*($F$11-$E$11)),$G$11-SQRT((1-U873)*($G$11-$E$11)*($G$11-$F$11))))</f>
        <v>0.105535004378992</v>
      </c>
      <c r="H873" s="53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-1950035281.25313</v>
      </c>
      <c r="I873" s="53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27254620.4912696</v>
      </c>
      <c r="J873" s="53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341439062.369004</v>
      </c>
      <c r="K873" s="53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704374386.278067</v>
      </c>
      <c r="L873" s="53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842512351.144086</v>
      </c>
      <c r="M873" s="53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1026266347.79801</v>
      </c>
      <c r="N873" s="53" t="n">
        <f aca="false">IF(COUNT('Business Case'!B11:G11)=0,"",H873+NPV(G873,I873:M873))</f>
        <v>60725190.0489121</v>
      </c>
      <c r="P873" s="54" t="n">
        <f aca="true">RAND()</f>
        <v>0.931865038402063</v>
      </c>
      <c r="Q873" s="54" t="n">
        <f aca="true">RAND()</f>
        <v>0.430024996124335</v>
      </c>
      <c r="R873" s="54" t="n">
        <f aca="true">RAND()</f>
        <v>0.230442784886017</v>
      </c>
      <c r="S873" s="54" t="n">
        <f aca="true">RAND()</f>
        <v>0.254083194825918</v>
      </c>
      <c r="T873" s="54" t="n">
        <f aca="true">RAND()</f>
        <v>0.0417254895013334</v>
      </c>
      <c r="U873" s="54" t="n">
        <f aca="true">RAND()</f>
        <v>0.600975992842715</v>
      </c>
    </row>
    <row r="874" customFormat="false" ht="15" hidden="false" customHeight="false" outlineLevel="0" collapsed="false">
      <c r="A874" s="50" t="n">
        <v>794</v>
      </c>
      <c r="B874" s="51" t="n">
        <f aca="false">1+IF($G$6=$E$6,$F$6,IF(P874&lt;($F$6-$E$6)/($G$6-$E$6),$E$6+SQRT(P874*($G$6-$E$6)*($F$6-$E$6)),$G$6-SQRT((1-P874)*($G$6-$E$6)*($G$6-$F$6))))</f>
        <v>0.97435781618949</v>
      </c>
      <c r="C874" s="51" t="n">
        <f aca="false">1+IF($G$7=$E$7,$F$7,IF(Q874&lt;($F$7-$E$7)/($G$7-$E$7),$E$7+SQRT(Q874*($G$7-$E$7)*($F$7-$E$7)),$G$7-SQRT((1-Q874)*($G$7-$E$7)*($G$7-$F$7))))</f>
        <v>0.936421615559154</v>
      </c>
      <c r="D874" s="51" t="n">
        <f aca="false">1+IF($G$8=$E$8,$F$8,IF(R874&lt;($F$8-$E$8)/($G$8-$E$8),$E$8+SQRT(R874*($G$8-$E$8)*($F$8-$E$8)),$G$8-SQRT((1-R874)*($G$8-$E$8)*($G$8-$F$8))))</f>
        <v>0.996386048121761</v>
      </c>
      <c r="E874" s="51" t="n">
        <f aca="false">1+IF($G$9=$E$9,$F$9,IF(S874&lt;($F$9-$E$9)/($G$9-$E$9),$E$9+SQRT(S874*($G$9-$E$9)*($F$9-$E$9)),$G$9-SQRT((1-S874)*($G$9-$E$9)*($G$9-$F$9))))</f>
        <v>1.0265808607494</v>
      </c>
      <c r="F874" s="51" t="n">
        <f aca="false">1+IF($G$10=$E$10,$F$10,IF(T874&lt;($F$10-$E$10)/($G$10-$E$10),$E$10+SQRT(T874*($G$10-$E$10)*($F$10-$E$10)),$G$10-SQRT((1-T874)*($G$10-$E$10)*($G$10-$F$10))))</f>
        <v>0.979778128450676</v>
      </c>
      <c r="G874" s="52" t="n">
        <f aca="false">IF($G$11=$E$11,$F$11,IF(U874&lt;($F$11-$E$11)/($G$11-$E$11),$E$11+SQRT(U874*($G$11-$E$11)*($F$11-$E$11)),$G$11-SQRT((1-U874)*($G$11-$E$11)*($G$11-$F$11))))</f>
        <v>0.098369564514495</v>
      </c>
      <c r="H874" s="53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-1959556256.90135</v>
      </c>
      <c r="I874" s="53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-21568199.3171885</v>
      </c>
      <c r="J874" s="53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248120532.513176</v>
      </c>
      <c r="K874" s="53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566798170.766075</v>
      </c>
      <c r="L874" s="53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688227294.645478</v>
      </c>
      <c r="M874" s="53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861658134.293189</v>
      </c>
      <c r="N874" s="53" t="n">
        <f aca="false">IF(COUNT('Business Case'!B11:G11)=0,"",H874+NPV(G874,I874:M874))</f>
        <v>-333911717.586267</v>
      </c>
      <c r="P874" s="54" t="n">
        <f aca="true">RAND()</f>
        <v>0.368605655231334</v>
      </c>
      <c r="Q874" s="54" t="n">
        <f aca="true">RAND()</f>
        <v>0.414038372619263</v>
      </c>
      <c r="R874" s="54" t="n">
        <f aca="true">RAND()</f>
        <v>0.286888728047239</v>
      </c>
      <c r="S874" s="54" t="n">
        <f aca="true">RAND()</f>
        <v>0.593805761777086</v>
      </c>
      <c r="T874" s="54" t="n">
        <f aca="true">RAND()</f>
        <v>0.059115795601665</v>
      </c>
      <c r="U874" s="54" t="n">
        <f aca="true">RAND()</f>
        <v>0.337440900452194</v>
      </c>
    </row>
    <row r="875" customFormat="false" ht="15" hidden="false" customHeight="false" outlineLevel="0" collapsed="false">
      <c r="A875" s="50" t="n">
        <v>795</v>
      </c>
      <c r="B875" s="51" t="n">
        <f aca="false">1+IF($G$6=$E$6,$F$6,IF(P875&lt;($F$6-$E$6)/($G$6-$E$6),$E$6+SQRT(P875*($G$6-$E$6)*($F$6-$E$6)),$G$6-SQRT((1-P875)*($G$6-$E$6)*($G$6-$F$6))))</f>
        <v>1.0046592574516</v>
      </c>
      <c r="C875" s="51" t="n">
        <f aca="false">1+IF($G$7=$E$7,$F$7,IF(Q875&lt;($F$7-$E$7)/($G$7-$E$7),$E$7+SQRT(Q875*($G$7-$E$7)*($F$7-$E$7)),$G$7-SQRT((1-Q875)*($G$7-$E$7)*($G$7-$F$7))))</f>
        <v>0.943480704406594</v>
      </c>
      <c r="D875" s="51" t="n">
        <f aca="false">1+IF($G$8=$E$8,$F$8,IF(R875&lt;($F$8-$E$8)/($G$8-$E$8),$E$8+SQRT(R875*($G$8-$E$8)*($F$8-$E$8)),$G$8-SQRT((1-R875)*($G$8-$E$8)*($G$8-$F$8))))</f>
        <v>0.95232523581297</v>
      </c>
      <c r="E875" s="51" t="n">
        <f aca="false">1+IF($G$9=$E$9,$F$9,IF(S875&lt;($F$9-$E$9)/($G$9-$E$9),$E$9+SQRT(S875*($G$9-$E$9)*($F$9-$E$9)),$G$9-SQRT((1-S875)*($G$9-$E$9)*($G$9-$F$9))))</f>
        <v>1.09297589306103</v>
      </c>
      <c r="F875" s="51" t="n">
        <f aca="false">1+IF($G$10=$E$10,$F$10,IF(T875&lt;($F$10-$E$10)/($G$10-$E$10),$E$10+SQRT(T875*($G$10-$E$10)*($F$10-$E$10)),$G$10-SQRT((1-T875)*($G$10-$E$10)*($G$10-$F$10))))</f>
        <v>1.07572608146349</v>
      </c>
      <c r="G875" s="52" t="n">
        <f aca="false">IF($G$11=$E$11,$F$11,IF(U875&lt;($F$11-$E$11)/($G$11-$E$11),$E$11+SQRT(U875*($G$11-$E$11)*($F$11-$E$11)),$G$11-SQRT((1-U875)*($G$11-$E$11)*($G$11-$F$11))))</f>
        <v>0.0878155541912309</v>
      </c>
      <c r="H875" s="53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-2151452162.92698</v>
      </c>
      <c r="I875" s="53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4287129.84789573</v>
      </c>
      <c r="J875" s="53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320705964.018864</v>
      </c>
      <c r="K875" s="53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690911102.263007</v>
      </c>
      <c r="L875" s="53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829142663.10896</v>
      </c>
      <c r="M875" s="53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1009315051.78159</v>
      </c>
      <c r="N875" s="53" t="n">
        <f aca="false">IF(COUNT('Business Case'!B11:G11)=0,"",H875+NPV(G875,I875:M875))</f>
        <v>-85047116.8804791</v>
      </c>
      <c r="P875" s="54" t="n">
        <f aca="true">RAND()</f>
        <v>0.725895608688018</v>
      </c>
      <c r="Q875" s="54" t="n">
        <f aca="true">RAND()</f>
        <v>0.439132247543196</v>
      </c>
      <c r="R875" s="54" t="n">
        <f aca="true">RAND()</f>
        <v>0.000720896211455873</v>
      </c>
      <c r="S875" s="54" t="n">
        <f aca="true">RAND()</f>
        <v>0.913286699408344</v>
      </c>
      <c r="T875" s="54" t="n">
        <f aca="true">RAND()</f>
        <v>0.595048017572405</v>
      </c>
      <c r="U875" s="54" t="n">
        <f aca="true">RAND()</f>
        <v>0.0610828873160676</v>
      </c>
    </row>
    <row r="876" customFormat="false" ht="15" hidden="false" customHeight="false" outlineLevel="0" collapsed="false">
      <c r="A876" s="50" t="n">
        <v>796</v>
      </c>
      <c r="B876" s="51" t="n">
        <f aca="false">1+IF($G$6=$E$6,$F$6,IF(P876&lt;($F$6-$E$6)/($G$6-$E$6),$E$6+SQRT(P876*($G$6-$E$6)*($F$6-$E$6)),$G$6-SQRT((1-P876)*($G$6-$E$6)*($G$6-$F$6))))</f>
        <v>0.998617751244372</v>
      </c>
      <c r="C876" s="51" t="n">
        <f aca="false">1+IF($G$7=$E$7,$F$7,IF(Q876&lt;($F$7-$E$7)/($G$7-$E$7),$E$7+SQRT(Q876*($G$7-$E$7)*($F$7-$E$7)),$G$7-SQRT((1-Q876)*($G$7-$E$7)*($G$7-$F$7))))</f>
        <v>0.739834750193007</v>
      </c>
      <c r="D876" s="51" t="n">
        <f aca="false">1+IF($G$8=$E$8,$F$8,IF(R876&lt;($F$8-$E$8)/($G$8-$E$8),$E$8+SQRT(R876*($G$8-$E$8)*($F$8-$E$8)),$G$8-SQRT((1-R876)*($G$8-$E$8)*($G$8-$F$8))))</f>
        <v>0.978046392332806</v>
      </c>
      <c r="E876" s="51" t="n">
        <f aca="false">1+IF($G$9=$E$9,$F$9,IF(S876&lt;($F$9-$E$9)/($G$9-$E$9),$E$9+SQRT(S876*($G$9-$E$9)*($F$9-$E$9)),$G$9-SQRT((1-S876)*($G$9-$E$9)*($G$9-$F$9))))</f>
        <v>0.976546092338493</v>
      </c>
      <c r="F876" s="51" t="n">
        <f aca="false">1+IF($G$10=$E$10,$F$10,IF(T876&lt;($F$10-$E$10)/($G$10-$E$10),$E$10+SQRT(T876*($G$10-$E$10)*($F$10-$E$10)),$G$10-SQRT((1-T876)*($G$10-$E$10)*($G$10-$F$10))))</f>
        <v>1.01021933693021</v>
      </c>
      <c r="G876" s="52" t="n">
        <f aca="false">IF($G$11=$E$11,$F$11,IF(U876&lt;($F$11-$E$11)/($G$11-$E$11),$E$11+SQRT(U876*($G$11-$E$11)*($F$11-$E$11)),$G$11-SQRT((1-U876)*($G$11-$E$11)*($G$11-$F$11))))</f>
        <v>0.10194901541733</v>
      </c>
      <c r="H876" s="53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-2020438673.86042</v>
      </c>
      <c r="I876" s="53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-43468071.0262071</v>
      </c>
      <c r="J876" s="53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191250665.988385</v>
      </c>
      <c r="K876" s="53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476480369.849488</v>
      </c>
      <c r="L876" s="53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580253295.532515</v>
      </c>
      <c r="M876" s="53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720686702.262412</v>
      </c>
      <c r="N876" s="53" t="n">
        <f aca="false">IF(COUNT('Business Case'!B11:G11)=0,"",H876+NPV(G876,I876:M876))</f>
        <v>-709224134.991723</v>
      </c>
      <c r="P876" s="54" t="n">
        <f aca="true">RAND()</f>
        <v>0.648364057366452</v>
      </c>
      <c r="Q876" s="54" t="n">
        <f aca="true">RAND()</f>
        <v>0.0117541283180687</v>
      </c>
      <c r="R876" s="54" t="n">
        <f aca="true">RAND()</f>
        <v>0.104880016384754</v>
      </c>
      <c r="S876" s="54" t="n">
        <f aca="true">RAND()</f>
        <v>0.234372170091726</v>
      </c>
      <c r="T876" s="54" t="n">
        <f aca="true">RAND()</f>
        <v>0.23340311490415</v>
      </c>
      <c r="U876" s="54" t="n">
        <f aca="true">RAND()</f>
        <v>0.475428175961856</v>
      </c>
    </row>
    <row r="877" customFormat="false" ht="15" hidden="false" customHeight="false" outlineLevel="0" collapsed="false">
      <c r="A877" s="50" t="n">
        <v>797</v>
      </c>
      <c r="B877" s="51" t="n">
        <f aca="false">1+IF($G$6=$E$6,$F$6,IF(P877&lt;($F$6-$E$6)/($G$6-$E$6),$E$6+SQRT(P877*($G$6-$E$6)*($F$6-$E$6)),$G$6-SQRT((1-P877)*($G$6-$E$6)*($G$6-$F$6))))</f>
        <v>1.01648798004642</v>
      </c>
      <c r="C877" s="51" t="n">
        <f aca="false">1+IF($G$7=$E$7,$F$7,IF(Q877&lt;($F$7-$E$7)/($G$7-$E$7),$E$7+SQRT(Q877*($G$7-$E$7)*($F$7-$E$7)),$G$7-SQRT((1-Q877)*($G$7-$E$7)*($G$7-$F$7))))</f>
        <v>0.940510651153798</v>
      </c>
      <c r="D877" s="51" t="n">
        <f aca="false">1+IF($G$8=$E$8,$F$8,IF(R877&lt;($F$8-$E$8)/($G$8-$E$8),$E$8+SQRT(R877*($G$8-$E$8)*($F$8-$E$8)),$G$8-SQRT((1-R877)*($G$8-$E$8)*($G$8-$F$8))))</f>
        <v>1.02578311271022</v>
      </c>
      <c r="E877" s="51" t="n">
        <f aca="false">1+IF($G$9=$E$9,$F$9,IF(S877&lt;($F$9-$E$9)/($G$9-$E$9),$E$9+SQRT(S877*($G$9-$E$9)*($F$9-$E$9)),$G$9-SQRT((1-S877)*($G$9-$E$9)*($G$9-$F$9))))</f>
        <v>1.10622439459785</v>
      </c>
      <c r="F877" s="51" t="n">
        <f aca="false">1+IF($G$10=$E$10,$F$10,IF(T877&lt;($F$10-$E$10)/($G$10-$E$10),$E$10+SQRT(T877*($G$10-$E$10)*($F$10-$E$10)),$G$10-SQRT((1-T877)*($G$10-$E$10)*($G$10-$F$10))))</f>
        <v>1.09849367628981</v>
      </c>
      <c r="G877" s="52" t="n">
        <f aca="false">IF($G$11=$E$11,$F$11,IF(U877&lt;($F$11-$E$11)/($G$11-$E$11),$E$11+SQRT(U877*($G$11-$E$11)*($F$11-$E$11)),$G$11-SQRT((1-U877)*($G$11-$E$11)*($G$11-$F$11))))</f>
        <v>0.101138968871331</v>
      </c>
      <c r="H877" s="53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-2196987352.57961</v>
      </c>
      <c r="I877" s="53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-27546959.4537328</v>
      </c>
      <c r="J877" s="53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261620518.933989</v>
      </c>
      <c r="K877" s="53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605712681.136201</v>
      </c>
      <c r="L877" s="53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735141814.799215</v>
      </c>
      <c r="M877" s="53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916861672.901633</v>
      </c>
      <c r="N877" s="53" t="n">
        <f aca="false">IF(COUNT('Business Case'!B11:G11)=0,"",H877+NPV(G877,I877:M877))</f>
        <v>-486167388.818367</v>
      </c>
      <c r="P877" s="54" t="n">
        <f aca="true">RAND()</f>
        <v>0.850259269150739</v>
      </c>
      <c r="Q877" s="54" t="n">
        <f aca="true">RAND()</f>
        <v>0.428484246803139</v>
      </c>
      <c r="R877" s="54" t="n">
        <f aca="true">RAND()</f>
        <v>0.632790242734394</v>
      </c>
      <c r="S877" s="54" t="n">
        <f aca="true">RAND()</f>
        <v>0.94889856991134</v>
      </c>
      <c r="T877" s="54" t="n">
        <f aca="true">RAND()</f>
        <v>0.693944451677631</v>
      </c>
      <c r="U877" s="54" t="n">
        <f aca="true">RAND()</f>
        <v>0.444693921460016</v>
      </c>
    </row>
    <row r="878" customFormat="false" ht="15" hidden="false" customHeight="false" outlineLevel="0" collapsed="false">
      <c r="A878" s="50" t="n">
        <v>798</v>
      </c>
      <c r="B878" s="51" t="n">
        <f aca="false">1+IF($G$6=$E$6,$F$6,IF(P878&lt;($F$6-$E$6)/($G$6-$E$6),$E$6+SQRT(P878*($G$6-$E$6)*($F$6-$E$6)),$G$6-SQRT((1-P878)*($G$6-$E$6)*($G$6-$F$6))))</f>
        <v>0.985533931692851</v>
      </c>
      <c r="C878" s="51" t="n">
        <f aca="false">1+IF($G$7=$E$7,$F$7,IF(Q878&lt;($F$7-$E$7)/($G$7-$E$7),$E$7+SQRT(Q878*($G$7-$E$7)*($F$7-$E$7)),$G$7-SQRT((1-Q878)*($G$7-$E$7)*($G$7-$F$7))))</f>
        <v>0.880503341077848</v>
      </c>
      <c r="D878" s="51" t="n">
        <f aca="false">1+IF($G$8=$E$8,$F$8,IF(R878&lt;($F$8-$E$8)/($G$8-$E$8),$E$8+SQRT(R878*($G$8-$E$8)*($F$8-$E$8)),$G$8-SQRT((1-R878)*($G$8-$E$8)*($G$8-$F$8))))</f>
        <v>0.998231355580236</v>
      </c>
      <c r="E878" s="51" t="n">
        <f aca="false">1+IF($G$9=$E$9,$F$9,IF(S878&lt;($F$9-$E$9)/($G$9-$E$9),$E$9+SQRT(S878*($G$9-$E$9)*($F$9-$E$9)),$G$9-SQRT((1-S878)*($G$9-$E$9)*($G$9-$F$9))))</f>
        <v>0.971536159447415</v>
      </c>
      <c r="F878" s="51" t="n">
        <f aca="false">1+IF($G$10=$E$10,$F$10,IF(T878&lt;($F$10-$E$10)/($G$10-$E$10),$E$10+SQRT(T878*($G$10-$E$10)*($F$10-$E$10)),$G$10-SQRT((1-T878)*($G$10-$E$10)*($G$10-$F$10))))</f>
        <v>0.963958392360822</v>
      </c>
      <c r="G878" s="52" t="n">
        <f aca="false">IF($G$11=$E$11,$F$11,IF(U878&lt;($F$11-$E$11)/($G$11-$E$11),$E$11+SQRT(U878*($G$11-$E$11)*($F$11-$E$11)),$G$11-SQRT((1-U878)*($G$11-$E$11)*($G$11-$F$11))))</f>
        <v>0.106790336030016</v>
      </c>
      <c r="H878" s="53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-1927916784.72164</v>
      </c>
      <c r="I878" s="53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-18720557.8021985</v>
      </c>
      <c r="J878" s="53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242092150.777231</v>
      </c>
      <c r="K878" s="53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551102778.974701</v>
      </c>
      <c r="L878" s="53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668030338.682593</v>
      </c>
      <c r="M878" s="53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832975284.680378</v>
      </c>
      <c r="N878" s="53" t="n">
        <f aca="false">IF(COUNT('Business Case'!B11:G11)=0,"",H878+NPV(G878,I878:M878))</f>
        <v>-394006063.320431</v>
      </c>
      <c r="P878" s="54" t="n">
        <f aca="true">RAND()</f>
        <v>0.487736898055817</v>
      </c>
      <c r="Q878" s="54" t="n">
        <f aca="true">RAND()</f>
        <v>0.241344119557526</v>
      </c>
      <c r="R878" s="54" t="n">
        <f aca="true">RAND()</f>
        <v>0.310168488147624</v>
      </c>
      <c r="S878" s="54" t="n">
        <f aca="true">RAND()</f>
        <v>0.204696884339441</v>
      </c>
      <c r="T878" s="54" t="n">
        <f aca="true">RAND()</f>
        <v>0.0129891144865772</v>
      </c>
      <c r="U878" s="54" t="n">
        <f aca="true">RAND()</f>
        <v>0.640874332266954</v>
      </c>
    </row>
    <row r="879" customFormat="false" ht="15" hidden="false" customHeight="false" outlineLevel="0" collapsed="false">
      <c r="A879" s="50" t="n">
        <v>799</v>
      </c>
      <c r="B879" s="51" t="n">
        <f aca="false">1+IF($G$6=$E$6,$F$6,IF(P879&lt;($F$6-$E$6)/($G$6-$E$6),$E$6+SQRT(P879*($G$6-$E$6)*($F$6-$E$6)),$G$6-SQRT((1-P879)*($G$6-$E$6)*($G$6-$F$6))))</f>
        <v>0.996782735779237</v>
      </c>
      <c r="C879" s="51" t="n">
        <f aca="false">1+IF($G$7=$E$7,$F$7,IF(Q879&lt;($F$7-$E$7)/($G$7-$E$7),$E$7+SQRT(Q879*($G$7-$E$7)*($F$7-$E$7)),$G$7-SQRT((1-Q879)*($G$7-$E$7)*($G$7-$F$7))))</f>
        <v>0.807330505418349</v>
      </c>
      <c r="D879" s="51" t="n">
        <f aca="false">1+IF($G$8=$E$8,$F$8,IF(R879&lt;($F$8-$E$8)/($G$8-$E$8),$E$8+SQRT(R879*($G$8-$E$8)*($F$8-$E$8)),$G$8-SQRT((1-R879)*($G$8-$E$8)*($G$8-$F$8))))</f>
        <v>1.04465673313482</v>
      </c>
      <c r="E879" s="51" t="n">
        <f aca="false">1+IF($G$9=$E$9,$F$9,IF(S879&lt;($F$9-$E$9)/($G$9-$E$9),$E$9+SQRT(S879*($G$9-$E$9)*($F$9-$E$9)),$G$9-SQRT((1-S879)*($G$9-$E$9)*($G$9-$F$9))))</f>
        <v>1.02355421951982</v>
      </c>
      <c r="F879" s="51" t="n">
        <f aca="false">1+IF($G$10=$E$10,$F$10,IF(T879&lt;($F$10-$E$10)/($G$10-$E$10),$E$10+SQRT(T879*($G$10-$E$10)*($F$10-$E$10)),$G$10-SQRT((1-T879)*($G$10-$E$10)*($G$10-$F$10))))</f>
        <v>0.994777721161209</v>
      </c>
      <c r="G879" s="52" t="n">
        <f aca="false">IF($G$11=$E$11,$F$11,IF(U879&lt;($F$11-$E$11)/($G$11-$E$11),$E$11+SQRT(U879*($G$11-$E$11)*($F$11-$E$11)),$G$11-SQRT((1-U879)*($G$11-$E$11)*($G$11-$F$11))))</f>
        <v>0.103888076027644</v>
      </c>
      <c r="H879" s="53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-1989555442.32242</v>
      </c>
      <c r="I879" s="53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-59354941.2764215</v>
      </c>
      <c r="J879" s="53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168034663.994602</v>
      </c>
      <c r="K879" s="53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445163155.323685</v>
      </c>
      <c r="L879" s="53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548771266.691096</v>
      </c>
      <c r="M879" s="53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701734936.214984</v>
      </c>
      <c r="N879" s="53" t="n">
        <f aca="false">IF(COUNT('Business Case'!B11:G11)=0,"",H879+NPV(G879,I879:M879))</f>
        <v>-776825355.008835</v>
      </c>
      <c r="P879" s="54" t="n">
        <f aca="true">RAND()</f>
        <v>0.624459862994245</v>
      </c>
      <c r="Q879" s="54" t="n">
        <f aca="true">RAND()</f>
        <v>0.0853321288396906</v>
      </c>
      <c r="R879" s="54" t="n">
        <f aca="true">RAND()</f>
        <v>0.795808187512661</v>
      </c>
      <c r="S879" s="54" t="n">
        <f aca="true">RAND()</f>
        <v>0.573639055966865</v>
      </c>
      <c r="T879" s="54" t="n">
        <f aca="true">RAND()</f>
        <v>0.133669620826066</v>
      </c>
      <c r="U879" s="54" t="n">
        <f aca="true">RAND()</f>
        <v>0.545444950974609</v>
      </c>
    </row>
    <row r="880" customFormat="false" ht="15" hidden="false" customHeight="false" outlineLevel="0" collapsed="false">
      <c r="A880" s="50" t="n">
        <v>800</v>
      </c>
      <c r="B880" s="51" t="n">
        <f aca="false">1+IF($G$6=$E$6,$F$6,IF(P880&lt;($F$6-$E$6)/($G$6-$E$6),$E$6+SQRT(P880*($G$6-$E$6)*($F$6-$E$6)),$G$6-SQRT((1-P880)*($G$6-$E$6)*($G$6-$F$6))))</f>
        <v>1.03466772168827</v>
      </c>
      <c r="C880" s="51" t="n">
        <f aca="false">1+IF($G$7=$E$7,$F$7,IF(Q880&lt;($F$7-$E$7)/($G$7-$E$7),$E$7+SQRT(Q880*($G$7-$E$7)*($F$7-$E$7)),$G$7-SQRT((1-Q880)*($G$7-$E$7)*($G$7-$F$7))))</f>
        <v>0.714104333510288</v>
      </c>
      <c r="D880" s="51" t="n">
        <f aca="false">1+IF($G$8=$E$8,$F$8,IF(R880&lt;($F$8-$E$8)/($G$8-$E$8),$E$8+SQRT(R880*($G$8-$E$8)*($F$8-$E$8)),$G$8-SQRT((1-R880)*($G$8-$E$8)*($G$8-$F$8))))</f>
        <v>1.03835251116322</v>
      </c>
      <c r="E880" s="51" t="n">
        <f aca="false">1+IF($G$9=$E$9,$F$9,IF(S880&lt;($F$9-$E$9)/($G$9-$E$9),$E$9+SQRT(S880*($G$9-$E$9)*($F$9-$E$9)),$G$9-SQRT((1-S880)*($G$9-$E$9)*($G$9-$F$9))))</f>
        <v>0.992733580785365</v>
      </c>
      <c r="F880" s="51" t="n">
        <f aca="false">1+IF($G$10=$E$10,$F$10,IF(T880&lt;($F$10-$E$10)/($G$10-$E$10),$E$10+SQRT(T880*($G$10-$E$10)*($F$10-$E$10)),$G$10-SQRT((1-T880)*($G$10-$E$10)*($G$10-$F$10))))</f>
        <v>1.04937613029833</v>
      </c>
      <c r="G880" s="52" t="n">
        <f aca="false">IF($G$11=$E$11,$F$11,IF(U880&lt;($F$11-$E$11)/($G$11-$E$11),$E$11+SQRT(U880*($G$11-$E$11)*($F$11-$E$11)),$G$11-SQRT((1-U880)*($G$11-$E$11)*($G$11-$F$11))))</f>
        <v>0.0870277285192228</v>
      </c>
      <c r="H880" s="53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-2098752260.59666</v>
      </c>
      <c r="I880" s="53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-58811351.6584447</v>
      </c>
      <c r="J880" s="53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166784163.785656</v>
      </c>
      <c r="K880" s="53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444848485.744673</v>
      </c>
      <c r="L880" s="53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545582016.816063</v>
      </c>
      <c r="M880" s="53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686024659.39452</v>
      </c>
      <c r="N880" s="53" t="n">
        <f aca="false">IF(COUNT('Business Case'!B11:G11)=0,"",H880+NPV(G880,I880:M880))</f>
        <v>-822630609.455655</v>
      </c>
      <c r="P880" s="54" t="n">
        <f aca="true">RAND()</f>
        <v>0.968656165569539</v>
      </c>
      <c r="Q880" s="54" t="n">
        <f aca="true">RAND()</f>
        <v>0.00147357202792166</v>
      </c>
      <c r="R880" s="54" t="n">
        <f aca="true">RAND()</f>
        <v>0.74663914134129</v>
      </c>
      <c r="S880" s="54" t="n">
        <f aca="true">RAND()</f>
        <v>0.343980680211032</v>
      </c>
      <c r="T880" s="54" t="n">
        <f aca="true">RAND()</f>
        <v>0.463334172079028</v>
      </c>
      <c r="U880" s="54" t="n">
        <f aca="true">RAND()</f>
        <v>0.0493889681398972</v>
      </c>
    </row>
    <row r="881" customFormat="false" ht="15" hidden="false" customHeight="false" outlineLevel="0" collapsed="false">
      <c r="A881" s="50" t="n">
        <v>801</v>
      </c>
      <c r="B881" s="51" t="n">
        <f aca="false">1+IF($G$6=$E$6,$F$6,IF(P881&lt;($F$6-$E$6)/($G$6-$E$6),$E$6+SQRT(P881*($G$6-$E$6)*($F$6-$E$6)),$G$6-SQRT((1-P881)*($G$6-$E$6)*($G$6-$F$6))))</f>
        <v>0.975099994599722</v>
      </c>
      <c r="C881" s="51" t="n">
        <f aca="false">1+IF($G$7=$E$7,$F$7,IF(Q881&lt;($F$7-$E$7)/($G$7-$E$7),$E$7+SQRT(Q881*($G$7-$E$7)*($F$7-$E$7)),$G$7-SQRT((1-Q881)*($G$7-$E$7)*($G$7-$F$7))))</f>
        <v>0.878209453040022</v>
      </c>
      <c r="D881" s="51" t="n">
        <f aca="false">1+IF($G$8=$E$8,$F$8,IF(R881&lt;($F$8-$E$8)/($G$8-$E$8),$E$8+SQRT(R881*($G$8-$E$8)*($F$8-$E$8)),$G$8-SQRT((1-R881)*($G$8-$E$8)*($G$8-$F$8))))</f>
        <v>1.02476124559878</v>
      </c>
      <c r="E881" s="51" t="n">
        <f aca="false">1+IF($G$9=$E$9,$F$9,IF(S881&lt;($F$9-$E$9)/($G$9-$E$9),$E$9+SQRT(S881*($G$9-$E$9)*($F$9-$E$9)),$G$9-SQRT((1-S881)*($G$9-$E$9)*($G$9-$F$9))))</f>
        <v>0.949852070773987</v>
      </c>
      <c r="F881" s="51" t="n">
        <f aca="false">1+IF($G$10=$E$10,$F$10,IF(T881&lt;($F$10-$E$10)/($G$10-$E$10),$E$10+SQRT(T881*($G$10-$E$10)*($F$10-$E$10)),$G$10-SQRT((1-T881)*($G$10-$E$10)*($G$10-$F$10))))</f>
        <v>1.01370611849212</v>
      </c>
      <c r="G881" s="52" t="n">
        <f aca="false">IF($G$11=$E$11,$F$11,IF(U881&lt;($F$11-$E$11)/($G$11-$E$11),$E$11+SQRT(U881*($G$11-$E$11)*($F$11-$E$11)),$G$11-SQRT((1-U881)*($G$11-$E$11)*($G$11-$F$11))))</f>
        <v>0.110205043701955</v>
      </c>
      <c r="H881" s="53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-2027412236.98423</v>
      </c>
      <c r="I881" s="53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-40131535.9663337</v>
      </c>
      <c r="J881" s="53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200569275.36701</v>
      </c>
      <c r="K881" s="53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491955392.624959</v>
      </c>
      <c r="L881" s="53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601784177.060343</v>
      </c>
      <c r="M881" s="53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764557670.677159</v>
      </c>
      <c r="N881" s="53" t="n">
        <f aca="false">IF(COUNT('Business Case'!B11:G11)=0,"",H881+NPV(G881,I881:M881))</f>
        <v>-691889395.559939</v>
      </c>
      <c r="P881" s="54" t="n">
        <f aca="true">RAND()</f>
        <v>0.376000612591889</v>
      </c>
      <c r="Q881" s="54" t="n">
        <f aca="true">RAND()</f>
        <v>0.235248956687584</v>
      </c>
      <c r="R881" s="54" t="n">
        <f aca="true">RAND()</f>
        <v>0.622608655743527</v>
      </c>
      <c r="S881" s="54" t="n">
        <f aca="true">RAND()</f>
        <v>0.0994091584181827</v>
      </c>
      <c r="T881" s="54" t="n">
        <f aca="true">RAND()</f>
        <v>0.255536020825837</v>
      </c>
      <c r="U881" s="54" t="n">
        <f aca="true">RAND()</f>
        <v>0.738773136772325</v>
      </c>
    </row>
    <row r="882" customFormat="false" ht="15" hidden="false" customHeight="false" outlineLevel="0" collapsed="false">
      <c r="A882" s="50" t="n">
        <v>802</v>
      </c>
      <c r="B882" s="51" t="n">
        <f aca="false">1+IF($G$6=$E$6,$F$6,IF(P882&lt;($F$6-$E$6)/($G$6-$E$6),$E$6+SQRT(P882*($G$6-$E$6)*($F$6-$E$6)),$G$6-SQRT((1-P882)*($G$6-$E$6)*($G$6-$F$6))))</f>
        <v>1.03662273633673</v>
      </c>
      <c r="C882" s="51" t="n">
        <f aca="false">1+IF($G$7=$E$7,$F$7,IF(Q882&lt;($F$7-$E$7)/($G$7-$E$7),$E$7+SQRT(Q882*($G$7-$E$7)*($F$7-$E$7)),$G$7-SQRT((1-Q882)*($G$7-$E$7)*($G$7-$F$7))))</f>
        <v>1.02973581180267</v>
      </c>
      <c r="D882" s="51" t="n">
        <f aca="false">1+IF($G$8=$E$8,$F$8,IF(R882&lt;($F$8-$E$8)/($G$8-$E$8),$E$8+SQRT(R882*($G$8-$E$8)*($F$8-$E$8)),$G$8-SQRT((1-R882)*($G$8-$E$8)*($G$8-$F$8))))</f>
        <v>1.01943952140378</v>
      </c>
      <c r="E882" s="51" t="n">
        <f aca="false">1+IF($G$9=$E$9,$F$9,IF(S882&lt;($F$9-$E$9)/($G$9-$E$9),$E$9+SQRT(S882*($G$9-$E$9)*($F$9-$E$9)),$G$9-SQRT((1-S882)*($G$9-$E$9)*($G$9-$F$9))))</f>
        <v>1.00306293269667</v>
      </c>
      <c r="F882" s="51" t="n">
        <f aca="false">1+IF($G$10=$E$10,$F$10,IF(T882&lt;($F$10-$E$10)/($G$10-$E$10),$E$10+SQRT(T882*($G$10-$E$10)*($F$10-$E$10)),$G$10-SQRT((1-T882)*($G$10-$E$10)*($G$10-$F$10))))</f>
        <v>1.08863214521932</v>
      </c>
      <c r="G882" s="52" t="n">
        <f aca="false">IF($G$11=$E$11,$F$11,IF(U882&lt;($F$11-$E$11)/($G$11-$E$11),$E$11+SQRT(U882*($G$11-$E$11)*($F$11-$E$11)),$G$11-SQRT((1-U882)*($G$11-$E$11)*($G$11-$F$11))))</f>
        <v>0.0967984573632618</v>
      </c>
      <c r="H882" s="53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-2177264290.43863</v>
      </c>
      <c r="I882" s="53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30091407.0109011</v>
      </c>
      <c r="J882" s="53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367018058.821021</v>
      </c>
      <c r="K882" s="53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758376317.892106</v>
      </c>
      <c r="L882" s="53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907576189.32736</v>
      </c>
      <c r="M882" s="53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1110476620.56937</v>
      </c>
      <c r="N882" s="53" t="n">
        <f aca="false">IF(COUNT('Business Case'!B11:G11)=0,"",H882+NPV(G882,I882:M882))</f>
        <v>56846221.704854</v>
      </c>
      <c r="P882" s="54" t="n">
        <f aca="true">RAND()</f>
        <v>0.976139842251119</v>
      </c>
      <c r="Q882" s="54" t="n">
        <f aca="true">RAND()</f>
        <v>0.785726296847974</v>
      </c>
      <c r="R882" s="54" t="n">
        <f aca="true">RAND()</f>
        <v>0.567333952556483</v>
      </c>
      <c r="S882" s="54" t="n">
        <f aca="true">RAND()</f>
        <v>0.424253286727903</v>
      </c>
      <c r="T882" s="54" t="n">
        <f aca="true">RAND()</f>
        <v>0.6528055392464</v>
      </c>
      <c r="U882" s="54" t="n">
        <f aca="true">RAND()</f>
        <v>0.282188169785325</v>
      </c>
    </row>
    <row r="883" customFormat="false" ht="15" hidden="false" customHeight="false" outlineLevel="0" collapsed="false">
      <c r="A883" s="50" t="n">
        <v>803</v>
      </c>
      <c r="B883" s="51" t="n">
        <f aca="false">1+IF($G$6=$E$6,$F$6,IF(P883&lt;($F$6-$E$6)/($G$6-$E$6),$E$6+SQRT(P883*($G$6-$E$6)*($F$6-$E$6)),$G$6-SQRT((1-P883)*($G$6-$E$6)*($G$6-$F$6))))</f>
        <v>1.02231411361611</v>
      </c>
      <c r="C883" s="51" t="n">
        <f aca="false">1+IF($G$7=$E$7,$F$7,IF(Q883&lt;($F$7-$E$7)/($G$7-$E$7),$E$7+SQRT(Q883*($G$7-$E$7)*($F$7-$E$7)),$G$7-SQRT((1-Q883)*($G$7-$E$7)*($G$7-$F$7))))</f>
        <v>0.801726368782205</v>
      </c>
      <c r="D883" s="51" t="n">
        <f aca="false">1+IF($G$8=$E$8,$F$8,IF(R883&lt;($F$8-$E$8)/($G$8-$E$8),$E$8+SQRT(R883*($G$8-$E$8)*($F$8-$E$8)),$G$8-SQRT((1-R883)*($G$8-$E$8)*($G$8-$F$8))))</f>
        <v>1.04018174882601</v>
      </c>
      <c r="E883" s="51" t="n">
        <f aca="false">1+IF($G$9=$E$9,$F$9,IF(S883&lt;($F$9-$E$9)/($G$9-$E$9),$E$9+SQRT(S883*($G$9-$E$9)*($F$9-$E$9)),$G$9-SQRT((1-S883)*($G$9-$E$9)*($G$9-$F$9))))</f>
        <v>1.05973077331889</v>
      </c>
      <c r="F883" s="51" t="n">
        <f aca="false">1+IF($G$10=$E$10,$F$10,IF(T883&lt;($F$10-$E$10)/($G$10-$E$10),$E$10+SQRT(T883*($G$10-$E$10)*($F$10-$E$10)),$G$10-SQRT((1-T883)*($G$10-$E$10)*($G$10-$F$10))))</f>
        <v>1.11038769013594</v>
      </c>
      <c r="G883" s="52" t="n">
        <f aca="false">IF($G$11=$E$11,$F$11,IF(U883&lt;($F$11-$E$11)/($G$11-$E$11),$E$11+SQRT(U883*($G$11-$E$11)*($F$11-$E$11)),$G$11-SQRT((1-U883)*($G$11-$E$11)*($G$11-$F$11))))</f>
        <v>0.108578455908061</v>
      </c>
      <c r="H883" s="53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-2220775380.27188</v>
      </c>
      <c r="I883" s="53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-59807868.9073379</v>
      </c>
      <c r="J883" s="53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184605650.043075</v>
      </c>
      <c r="K883" s="53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484538553.500286</v>
      </c>
      <c r="L883" s="53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594335661.735898</v>
      </c>
      <c r="M883" s="53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750128305.622669</v>
      </c>
      <c r="N883" s="53" t="n">
        <f aca="false">IF(COUNT('Business Case'!B11:G11)=0,"",H883+NPV(G883,I883:M883))</f>
        <v>-927310264.488287</v>
      </c>
      <c r="P883" s="54" t="n">
        <f aca="true">RAND()</f>
        <v>0.897798892685111</v>
      </c>
      <c r="Q883" s="54" t="n">
        <f aca="true">RAND()</f>
        <v>0.0766537341156523</v>
      </c>
      <c r="R883" s="54" t="n">
        <f aca="true">RAND()</f>
        <v>0.761451788432374</v>
      </c>
      <c r="S883" s="54" t="n">
        <f aca="true">RAND()</f>
        <v>0.782705779050535</v>
      </c>
      <c r="T883" s="54" t="n">
        <f aca="true">RAND()</f>
        <v>0.740112039125629</v>
      </c>
      <c r="U883" s="54" t="n">
        <f aca="true">RAND()</f>
        <v>0.69407829914474</v>
      </c>
    </row>
    <row r="884" customFormat="false" ht="15" hidden="false" customHeight="false" outlineLevel="0" collapsed="false">
      <c r="A884" s="50" t="n">
        <v>804</v>
      </c>
      <c r="B884" s="51" t="n">
        <f aca="false">1+IF($G$6=$E$6,$F$6,IF(P884&lt;($F$6-$E$6)/($G$6-$E$6),$E$6+SQRT(P884*($G$6-$E$6)*($F$6-$E$6)),$G$6-SQRT((1-P884)*($G$6-$E$6)*($G$6-$F$6))))</f>
        <v>0.957673912362726</v>
      </c>
      <c r="C884" s="51" t="n">
        <f aca="false">1+IF($G$7=$E$7,$F$7,IF(Q884&lt;($F$7-$E$7)/($G$7-$E$7),$E$7+SQRT(Q884*($G$7-$E$7)*($F$7-$E$7)),$G$7-SQRT((1-Q884)*($G$7-$E$7)*($G$7-$F$7))))</f>
        <v>1.02270472394817</v>
      </c>
      <c r="D884" s="51" t="n">
        <f aca="false">1+IF($G$8=$E$8,$F$8,IF(R884&lt;($F$8-$E$8)/($G$8-$E$8),$E$8+SQRT(R884*($G$8-$E$8)*($F$8-$E$8)),$G$8-SQRT((1-R884)*($G$8-$E$8)*($G$8-$F$8))))</f>
        <v>1.04634839182583</v>
      </c>
      <c r="E884" s="51" t="n">
        <f aca="false">1+IF($G$9=$E$9,$F$9,IF(S884&lt;($F$9-$E$9)/($G$9-$E$9),$E$9+SQRT(S884*($G$9-$E$9)*($F$9-$E$9)),$G$9-SQRT((1-S884)*($G$9-$E$9)*($G$9-$F$9))))</f>
        <v>0.961461192565072</v>
      </c>
      <c r="F884" s="51" t="n">
        <f aca="false">1+IF($G$10=$E$10,$F$10,IF(T884&lt;($F$10-$E$10)/($G$10-$E$10),$E$10+SQRT(T884*($G$10-$E$10)*($F$10-$E$10)),$G$10-SQRT((1-T884)*($G$10-$E$10)*($G$10-$F$10))))</f>
        <v>1.01897468724759</v>
      </c>
      <c r="G884" s="52" t="n">
        <f aca="false">IF($G$11=$E$11,$F$11,IF(U884&lt;($F$11-$E$11)/($G$11-$E$11),$E$11+SQRT(U884*($G$11-$E$11)*($F$11-$E$11)),$G$11-SQRT((1-U884)*($G$11-$E$11)*($G$11-$F$11))))</f>
        <v>0.0965889364880966</v>
      </c>
      <c r="H884" s="53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-2037949374.49518</v>
      </c>
      <c r="I884" s="53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-34985078.4949968</v>
      </c>
      <c r="J884" s="53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219420103.473165</v>
      </c>
      <c r="K884" s="53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524774019.803707</v>
      </c>
      <c r="L884" s="53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643424420.563526</v>
      </c>
      <c r="M884" s="53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829592124.467564</v>
      </c>
      <c r="N884" s="53" t="n">
        <f aca="false">IF(COUNT('Business Case'!B11:G11)=0,"",H884+NPV(G884,I884:M884))</f>
        <v>-521288722.406762</v>
      </c>
      <c r="P884" s="54" t="n">
        <f aca="true">RAND()</f>
        <v>0.221752011148226</v>
      </c>
      <c r="Q884" s="54" t="n">
        <f aca="true">RAND()</f>
        <v>0.759939447331673</v>
      </c>
      <c r="R884" s="54" t="n">
        <f aca="true">RAND()</f>
        <v>0.808100329355028</v>
      </c>
      <c r="S884" s="54" t="n">
        <f aca="true">RAND()</f>
        <v>0.151099127660835</v>
      </c>
      <c r="T884" s="54" t="n">
        <f aca="true">RAND()</f>
        <v>0.288364064902011</v>
      </c>
      <c r="U884" s="54" t="n">
        <f aca="true">RAND()</f>
        <v>0.275192813806102</v>
      </c>
    </row>
    <row r="885" customFormat="false" ht="15" hidden="false" customHeight="false" outlineLevel="0" collapsed="false">
      <c r="A885" s="50" t="n">
        <v>805</v>
      </c>
      <c r="B885" s="51" t="n">
        <f aca="false">1+IF($G$6=$E$6,$F$6,IF(P885&lt;($F$6-$E$6)/($G$6-$E$6),$E$6+SQRT(P885*($G$6-$E$6)*($F$6-$E$6)),$G$6-SQRT((1-P885)*($G$6-$E$6)*($G$6-$F$6))))</f>
        <v>0.966148557827992</v>
      </c>
      <c r="C885" s="51" t="n">
        <f aca="false">1+IF($G$7=$E$7,$F$7,IF(Q885&lt;($F$7-$E$7)/($G$7-$E$7),$E$7+SQRT(Q885*($G$7-$E$7)*($F$7-$E$7)),$G$7-SQRT((1-Q885)*($G$7-$E$7)*($G$7-$F$7))))</f>
        <v>0.858665800452367</v>
      </c>
      <c r="D885" s="51" t="n">
        <f aca="false">1+IF($G$8=$E$8,$F$8,IF(R885&lt;($F$8-$E$8)/($G$8-$E$8),$E$8+SQRT(R885*($G$8-$E$8)*($F$8-$E$8)),$G$8-SQRT((1-R885)*($G$8-$E$8)*($G$8-$F$8))))</f>
        <v>1.05423113353957</v>
      </c>
      <c r="E885" s="51" t="n">
        <f aca="false">1+IF($G$9=$E$9,$F$9,IF(S885&lt;($F$9-$E$9)/($G$9-$E$9),$E$9+SQRT(S885*($G$9-$E$9)*($F$9-$E$9)),$G$9-SQRT((1-S885)*($G$9-$E$9)*($G$9-$F$9))))</f>
        <v>0.993186124387626</v>
      </c>
      <c r="F885" s="51" t="n">
        <f aca="false">1+IF($G$10=$E$10,$F$10,IF(T885&lt;($F$10-$E$10)/($G$10-$E$10),$E$10+SQRT(T885*($G$10-$E$10)*($F$10-$E$10)),$G$10-SQRT((1-T885)*($G$10-$E$10)*($G$10-$F$10))))</f>
        <v>1.1954224237903</v>
      </c>
      <c r="G885" s="52" t="n">
        <f aca="false">IF($G$11=$E$11,$F$11,IF(U885&lt;($F$11-$E$11)/($G$11-$E$11),$E$11+SQRT(U885*($G$11-$E$11)*($F$11-$E$11)),$G$11-SQRT((1-U885)*($G$11-$E$11)*($G$11-$F$11))))</f>
        <v>0.0941635941389194</v>
      </c>
      <c r="H885" s="53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-2390844847.58059</v>
      </c>
      <c r="I885" s="53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-87685098.6047553</v>
      </c>
      <c r="J885" s="53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128409509.949168</v>
      </c>
      <c r="K885" s="53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404275239.692605</v>
      </c>
      <c r="L885" s="53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504977707.805065</v>
      </c>
      <c r="M885" s="53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662667833.408068</v>
      </c>
      <c r="N885" s="53" t="n">
        <f aca="false">IF(COUNT('Business Case'!B11:G11)=0,"",H885+NPV(G885,I885:M885))</f>
        <v>-1280219502.9005</v>
      </c>
      <c r="P885" s="54" t="n">
        <f aca="true">RAND()</f>
        <v>0.291708780181549</v>
      </c>
      <c r="Q885" s="54" t="n">
        <f aca="true">RAND()</f>
        <v>0.186480268394003</v>
      </c>
      <c r="R885" s="54" t="n">
        <f aca="true">RAND()</f>
        <v>0.860347390861832</v>
      </c>
      <c r="S885" s="54" t="n">
        <f aca="true">RAND()</f>
        <v>0.347346151135445</v>
      </c>
      <c r="T885" s="54" t="n">
        <f aca="true">RAND()</f>
        <v>0.96028384233432</v>
      </c>
      <c r="U885" s="54" t="n">
        <f aca="true">RAND()</f>
        <v>0.200607398932032</v>
      </c>
    </row>
    <row r="886" customFormat="false" ht="15" hidden="false" customHeight="false" outlineLevel="0" collapsed="false">
      <c r="A886" s="50" t="n">
        <v>806</v>
      </c>
      <c r="B886" s="51" t="n">
        <f aca="false">1+IF($G$6=$E$6,$F$6,IF(P886&lt;($F$6-$E$6)/($G$6-$E$6),$E$6+SQRT(P886*($G$6-$E$6)*($F$6-$E$6)),$G$6-SQRT((1-P886)*($G$6-$E$6)*($G$6-$F$6))))</f>
        <v>1.02131031305399</v>
      </c>
      <c r="C886" s="51" t="n">
        <f aca="false">1+IF($G$7=$E$7,$F$7,IF(Q886&lt;($F$7-$E$7)/($G$7-$E$7),$E$7+SQRT(Q886*($G$7-$E$7)*($F$7-$E$7)),$G$7-SQRT((1-Q886)*($G$7-$E$7)*($G$7-$F$7))))</f>
        <v>0.863849226509823</v>
      </c>
      <c r="D886" s="51" t="n">
        <f aca="false">1+IF($G$8=$E$8,$F$8,IF(R886&lt;($F$8-$E$8)/($G$8-$E$8),$E$8+SQRT(R886*($G$8-$E$8)*($F$8-$E$8)),$G$8-SQRT((1-R886)*($G$8-$E$8)*($G$8-$F$8))))</f>
        <v>1.05933012726544</v>
      </c>
      <c r="E886" s="51" t="n">
        <f aca="false">1+IF($G$9=$E$9,$F$9,IF(S886&lt;($F$9-$E$9)/($G$9-$E$9),$E$9+SQRT(S886*($G$9-$E$9)*($F$9-$E$9)),$G$9-SQRT((1-S886)*($G$9-$E$9)*($G$9-$F$9))))</f>
        <v>0.991397746575942</v>
      </c>
      <c r="F886" s="51" t="n">
        <f aca="false">1+IF($G$10=$E$10,$F$10,IF(T886&lt;($F$10-$E$10)/($G$10-$E$10),$E$10+SQRT(T886*($G$10-$E$10)*($F$10-$E$10)),$G$10-SQRT((1-T886)*($G$10-$E$10)*($G$10-$F$10))))</f>
        <v>0.962214413329897</v>
      </c>
      <c r="G886" s="52" t="n">
        <f aca="false">IF($G$11=$E$11,$F$11,IF(U886&lt;($F$11-$E$11)/($G$11-$E$11),$E$11+SQRT(U886*($G$11-$E$11)*($F$11-$E$11)),$G$11-SQRT((1-U886)*($G$11-$E$11)*($G$11-$F$11))))</f>
        <v>0.126578052335104</v>
      </c>
      <c r="H886" s="53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-1924428826.65979</v>
      </c>
      <c r="I886" s="53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-28760301.4755953</v>
      </c>
      <c r="J886" s="53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225413859.090891</v>
      </c>
      <c r="K886" s="53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527698740.323872</v>
      </c>
      <c r="L886" s="53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642914301.276695</v>
      </c>
      <c r="M886" s="53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810613925.478668</v>
      </c>
      <c r="N886" s="53" t="n">
        <f aca="false">IF(COUNT('Business Case'!B11:G11)=0,"",H886+NPV(G886,I886:M886))</f>
        <v>-557471595.548453</v>
      </c>
      <c r="P886" s="54" t="n">
        <f aca="true">RAND()</f>
        <v>0.890253581725291</v>
      </c>
      <c r="Q886" s="54" t="n">
        <f aca="true">RAND()</f>
        <v>0.198863474280499</v>
      </c>
      <c r="R886" s="54" t="n">
        <f aca="true">RAND()</f>
        <v>0.889730763450295</v>
      </c>
      <c r="S886" s="54" t="n">
        <f aca="true">RAND()</f>
        <v>0.334141923166407</v>
      </c>
      <c r="T886" s="54" t="n">
        <f aca="true">RAND()</f>
        <v>0.00994612619957119</v>
      </c>
      <c r="U886" s="54" t="n">
        <f aca="true">RAND()</f>
        <v>0.992193516119141</v>
      </c>
    </row>
    <row r="887" customFormat="false" ht="15" hidden="false" customHeight="false" outlineLevel="0" collapsed="false">
      <c r="A887" s="50" t="n">
        <v>807</v>
      </c>
      <c r="B887" s="51" t="n">
        <f aca="false">1+IF($G$6=$E$6,$F$6,IF(P887&lt;($F$6-$E$6)/($G$6-$E$6),$E$6+SQRT(P887*($G$6-$E$6)*($F$6-$E$6)),$G$6-SQRT((1-P887)*($G$6-$E$6)*($G$6-$F$6))))</f>
        <v>0.934273601578179</v>
      </c>
      <c r="C887" s="51" t="n">
        <f aca="false">1+IF($G$7=$E$7,$F$7,IF(Q887&lt;($F$7-$E$7)/($G$7-$E$7),$E$7+SQRT(Q887*($G$7-$E$7)*($F$7-$E$7)),$G$7-SQRT((1-Q887)*($G$7-$E$7)*($G$7-$F$7))))</f>
        <v>0.851453310270095</v>
      </c>
      <c r="D887" s="51" t="n">
        <f aca="false">1+IF($G$8=$E$8,$F$8,IF(R887&lt;($F$8-$E$8)/($G$8-$E$8),$E$8+SQRT(R887*($G$8-$E$8)*($F$8-$E$8)),$G$8-SQRT((1-R887)*($G$8-$E$8)*($G$8-$F$8))))</f>
        <v>0.977301905150525</v>
      </c>
      <c r="E887" s="51" t="n">
        <f aca="false">1+IF($G$9=$E$9,$F$9,IF(S887&lt;($F$9-$E$9)/($G$9-$E$9),$E$9+SQRT(S887*($G$9-$E$9)*($F$9-$E$9)),$G$9-SQRT((1-S887)*($G$9-$E$9)*($G$9-$F$9))))</f>
        <v>1.14268238693048</v>
      </c>
      <c r="F887" s="51" t="n">
        <f aca="false">1+IF($G$10=$E$10,$F$10,IF(T887&lt;($F$10-$E$10)/($G$10-$E$10),$E$10+SQRT(T887*($G$10-$E$10)*($F$10-$E$10)),$G$10-SQRT((1-T887)*($G$10-$E$10)*($G$10-$F$10))))</f>
        <v>1.07462347707706</v>
      </c>
      <c r="G887" s="52" t="n">
        <f aca="false">IF($G$11=$E$11,$F$11,IF(U887&lt;($F$11-$E$11)/($G$11-$E$11),$E$11+SQRT(U887*($G$11-$E$11)*($F$11-$E$11)),$G$11-SQRT((1-U887)*($G$11-$E$11)*($G$11-$F$11))))</f>
        <v>0.0926955786499217</v>
      </c>
      <c r="H887" s="53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-2149246954.15412</v>
      </c>
      <c r="I887" s="53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-85608554.6223608</v>
      </c>
      <c r="J887" s="53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139972893.667985</v>
      </c>
      <c r="K887" s="53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419285515.812184</v>
      </c>
      <c r="L887" s="53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521971478.43129</v>
      </c>
      <c r="M887" s="53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673178284.304075</v>
      </c>
      <c r="N887" s="53" t="n">
        <f aca="false">IF(COUNT('Business Case'!B11:G11)=0,"",H887+NPV(G887,I887:M887))</f>
        <v>-990694109.360466</v>
      </c>
      <c r="P887" s="54" t="n">
        <f aca="true">RAND()</f>
        <v>0.0783119843426495</v>
      </c>
      <c r="Q887" s="54" t="n">
        <f aca="true">RAND()</f>
        <v>0.169911890309404</v>
      </c>
      <c r="R887" s="54" t="n">
        <f aca="true">RAND()</f>
        <v>0.0993858699797697</v>
      </c>
      <c r="S887" s="54" t="n">
        <f aca="true">RAND()</f>
        <v>0.998572067705726</v>
      </c>
      <c r="T887" s="54" t="n">
        <f aca="true">RAND()</f>
        <v>0.589907669432793</v>
      </c>
      <c r="U887" s="54" t="n">
        <f aca="true">RAND()</f>
        <v>0.161177717256348</v>
      </c>
    </row>
    <row r="888" customFormat="false" ht="15" hidden="false" customHeight="false" outlineLevel="0" collapsed="false">
      <c r="A888" s="50" t="n">
        <v>808</v>
      </c>
      <c r="B888" s="51" t="n">
        <f aca="false">1+IF($G$6=$E$6,$F$6,IF(P888&lt;($F$6-$E$6)/($G$6-$E$6),$E$6+SQRT(P888*($G$6-$E$6)*($F$6-$E$6)),$G$6-SQRT((1-P888)*($G$6-$E$6)*($G$6-$F$6))))</f>
        <v>0.993994734716357</v>
      </c>
      <c r="C888" s="51" t="n">
        <f aca="false">1+IF($G$7=$E$7,$F$7,IF(Q888&lt;($F$7-$E$7)/($G$7-$E$7),$E$7+SQRT(Q888*($G$7-$E$7)*($F$7-$E$7)),$G$7-SQRT((1-Q888)*($G$7-$E$7)*($G$7-$F$7))))</f>
        <v>1.00837850553265</v>
      </c>
      <c r="D888" s="51" t="n">
        <f aca="false">1+IF($G$8=$E$8,$F$8,IF(R888&lt;($F$8-$E$8)/($G$8-$E$8),$E$8+SQRT(R888*($G$8-$E$8)*($F$8-$E$8)),$G$8-SQRT((1-R888)*($G$8-$E$8)*($G$8-$F$8))))</f>
        <v>1.05211654735938</v>
      </c>
      <c r="E888" s="51" t="n">
        <f aca="false">1+IF($G$9=$E$9,$F$9,IF(S888&lt;($F$9-$E$9)/($G$9-$E$9),$E$9+SQRT(S888*($G$9-$E$9)*($F$9-$E$9)),$G$9-SQRT((1-S888)*($G$9-$E$9)*($G$9-$F$9))))</f>
        <v>1.09076625080558</v>
      </c>
      <c r="F888" s="51" t="n">
        <f aca="false">1+IF($G$10=$E$10,$F$10,IF(T888&lt;($F$10-$E$10)/($G$10-$E$10),$E$10+SQRT(T888*($G$10-$E$10)*($F$10-$E$10)),$G$10-SQRT((1-T888)*($G$10-$E$10)*($G$10-$F$10))))</f>
        <v>0.964552944386393</v>
      </c>
      <c r="G888" s="52" t="n">
        <f aca="false">IF($G$11=$E$11,$F$11,IF(U888&lt;($F$11-$E$11)/($G$11-$E$11),$E$11+SQRT(U888*($G$11-$E$11)*($F$11-$E$11)),$G$11-SQRT((1-U888)*($G$11-$E$11)*($G$11-$F$11))))</f>
        <v>0.111201646298429</v>
      </c>
      <c r="H888" s="53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-1929105888.77279</v>
      </c>
      <c r="I888" s="53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-25660194.671754</v>
      </c>
      <c r="J888" s="53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252202286.3969</v>
      </c>
      <c r="K888" s="53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578292414.684872</v>
      </c>
      <c r="L888" s="53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705553521.999234</v>
      </c>
      <c r="M888" s="53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896075063.602357</v>
      </c>
      <c r="N888" s="53" t="n">
        <f aca="false">IF(COUNT('Business Case'!B11:G11)=0,"",H888+NPV(G888,I888:M888))</f>
        <v>-334804813.635862</v>
      </c>
      <c r="P888" s="54" t="n">
        <f aca="true">RAND()</f>
        <v>0.589000676959885</v>
      </c>
      <c r="Q888" s="54" t="n">
        <f aca="true">RAND()</f>
        <v>0.702864478590148</v>
      </c>
      <c r="R888" s="54" t="n">
        <f aca="true">RAND()</f>
        <v>0.84714499754758</v>
      </c>
      <c r="S888" s="54" t="n">
        <f aca="true">RAND()</f>
        <v>0.906436345503257</v>
      </c>
      <c r="T888" s="54" t="n">
        <f aca="true">RAND()</f>
        <v>0.0141192126875621</v>
      </c>
      <c r="U888" s="54" t="n">
        <f aca="true">RAND()</f>
        <v>0.76441459874041</v>
      </c>
    </row>
    <row r="889" customFormat="false" ht="15" hidden="false" customHeight="false" outlineLevel="0" collapsed="false">
      <c r="A889" s="50" t="n">
        <v>809</v>
      </c>
      <c r="B889" s="51" t="n">
        <f aca="false">1+IF($G$6=$E$6,$F$6,IF(P889&lt;($F$6-$E$6)/($G$6-$E$6),$E$6+SQRT(P889*($G$6-$E$6)*($F$6-$E$6)),$G$6-SQRT((1-P889)*($G$6-$E$6)*($G$6-$F$6))))</f>
        <v>0.961029090906457</v>
      </c>
      <c r="C889" s="51" t="n">
        <f aca="false">1+IF($G$7=$E$7,$F$7,IF(Q889&lt;($F$7-$E$7)/($G$7-$E$7),$E$7+SQRT(Q889*($G$7-$E$7)*($F$7-$E$7)),$G$7-SQRT((1-Q889)*($G$7-$E$7)*($G$7-$F$7))))</f>
        <v>1.05910072094206</v>
      </c>
      <c r="D889" s="51" t="n">
        <f aca="false">1+IF($G$8=$E$8,$F$8,IF(R889&lt;($F$8-$E$8)/($G$8-$E$8),$E$8+SQRT(R889*($G$8-$E$8)*($F$8-$E$8)),$G$8-SQRT((1-R889)*($G$8-$E$8)*($G$8-$F$8))))</f>
        <v>1.01131473386437</v>
      </c>
      <c r="E889" s="51" t="n">
        <f aca="false">1+IF($G$9=$E$9,$F$9,IF(S889&lt;($F$9-$E$9)/($G$9-$E$9),$E$9+SQRT(S889*($G$9-$E$9)*($F$9-$E$9)),$G$9-SQRT((1-S889)*($G$9-$E$9)*($G$9-$F$9))))</f>
        <v>0.904272702853034</v>
      </c>
      <c r="F889" s="51" t="n">
        <f aca="false">1+IF($G$10=$E$10,$F$10,IF(T889&lt;($F$10-$E$10)/($G$10-$E$10),$E$10+SQRT(T889*($G$10-$E$10)*($F$10-$E$10)),$G$10-SQRT((1-T889)*($G$10-$E$10)*($G$10-$F$10))))</f>
        <v>1.14818313408226</v>
      </c>
      <c r="G889" s="52" t="n">
        <f aca="false">IF($G$11=$E$11,$F$11,IF(U889&lt;($F$11-$E$11)/($G$11-$E$11),$E$11+SQRT(U889*($G$11-$E$11)*($F$11-$E$11)),$G$11-SQRT((1-U889)*($G$11-$E$11)*($G$11-$F$11))))</f>
        <v>0.104260113976038</v>
      </c>
      <c r="H889" s="53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-2296366268.16452</v>
      </c>
      <c r="I889" s="53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-10806156.5608656</v>
      </c>
      <c r="J889" s="53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274557709.733029</v>
      </c>
      <c r="K889" s="53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617330732.731038</v>
      </c>
      <c r="L889" s="53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747628108.896224</v>
      </c>
      <c r="M889" s="53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941096589.599278</v>
      </c>
      <c r="N889" s="53" t="n">
        <f aca="false">IF(COUNT('Business Case'!B11:G11)=0,"",H889+NPV(G889,I889:M889))</f>
        <v>-546562507.690783</v>
      </c>
      <c r="P889" s="54" t="n">
        <f aca="true">RAND()</f>
        <v>0.248303329124576</v>
      </c>
      <c r="Q889" s="54" t="n">
        <f aca="true">RAND()</f>
        <v>0.877589941729592</v>
      </c>
      <c r="R889" s="54" t="n">
        <f aca="true">RAND()</f>
        <v>0.475661571363483</v>
      </c>
      <c r="S889" s="54" t="n">
        <f aca="true">RAND()</f>
        <v>0.000730239586812909</v>
      </c>
      <c r="T889" s="54" t="n">
        <f aca="true">RAND()</f>
        <v>0.861777677529192</v>
      </c>
      <c r="U889" s="54" t="n">
        <f aca="true">RAND()</f>
        <v>0.558305511648972</v>
      </c>
    </row>
    <row r="890" customFormat="false" ht="15" hidden="false" customHeight="false" outlineLevel="0" collapsed="false">
      <c r="A890" s="50" t="n">
        <v>810</v>
      </c>
      <c r="B890" s="51" t="n">
        <f aca="false">1+IF($G$6=$E$6,$F$6,IF(P890&lt;($F$6-$E$6)/($G$6-$E$6),$E$6+SQRT(P890*($G$6-$E$6)*($F$6-$E$6)),$G$6-SQRT((1-P890)*($G$6-$E$6)*($G$6-$F$6))))</f>
        <v>0.997868428267236</v>
      </c>
      <c r="C890" s="51" t="n">
        <f aca="false">1+IF($G$7=$E$7,$F$7,IF(Q890&lt;($F$7-$E$7)/($G$7-$E$7),$E$7+SQRT(Q890*($G$7-$E$7)*($F$7-$E$7)),$G$7-SQRT((1-Q890)*($G$7-$E$7)*($G$7-$F$7))))</f>
        <v>0.888945636850754</v>
      </c>
      <c r="D890" s="51" t="n">
        <f aca="false">1+IF($G$8=$E$8,$F$8,IF(R890&lt;($F$8-$E$8)/($G$8-$E$8),$E$8+SQRT(R890*($G$8-$E$8)*($F$8-$E$8)),$G$8-SQRT((1-R890)*($G$8-$E$8)*($G$8-$F$8))))</f>
        <v>0.997079922950296</v>
      </c>
      <c r="E890" s="51" t="n">
        <f aca="false">1+IF($G$9=$E$9,$F$9,IF(S890&lt;($F$9-$E$9)/($G$9-$E$9),$E$9+SQRT(S890*($G$9-$E$9)*($F$9-$E$9)),$G$9-SQRT((1-S890)*($G$9-$E$9)*($G$9-$F$9))))</f>
        <v>1.03655537468127</v>
      </c>
      <c r="F890" s="51" t="n">
        <f aca="false">1+IF($G$10=$E$10,$F$10,IF(T890&lt;($F$10-$E$10)/($G$10-$E$10),$E$10+SQRT(T890*($G$10-$E$10)*($F$10-$E$10)),$G$10-SQRT((1-T890)*($G$10-$E$10)*($G$10-$F$10))))</f>
        <v>1.17392627624432</v>
      </c>
      <c r="G890" s="52" t="n">
        <f aca="false">IF($G$11=$E$11,$F$11,IF(U890&lt;($F$11-$E$11)/($G$11-$E$11),$E$11+SQRT(U890*($G$11-$E$11)*($F$11-$E$11)),$G$11-SQRT((1-U890)*($G$11-$E$11)*($G$11-$F$11))))</f>
        <v>0.103964420313993</v>
      </c>
      <c r="H890" s="53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-2347852552.48864</v>
      </c>
      <c r="I890" s="53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-37957267.4011005</v>
      </c>
      <c r="J890" s="53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234860979.820116</v>
      </c>
      <c r="K890" s="53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566375540.853549</v>
      </c>
      <c r="L890" s="53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687971431.739427</v>
      </c>
      <c r="M890" s="53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856582045.039527</v>
      </c>
      <c r="N890" s="53" t="n">
        <f aca="false">IF(COUNT('Business Case'!B11:G11)=0,"",H890+NPV(G890,I890:M890))</f>
        <v>-782999545.989189</v>
      </c>
      <c r="P890" s="54" t="n">
        <f aca="true">RAND()</f>
        <v>0.638548616766608</v>
      </c>
      <c r="Q890" s="54" t="n">
        <f aca="true">RAND()</f>
        <v>0.264447805073606</v>
      </c>
      <c r="R890" s="54" t="n">
        <f aca="true">RAND()</f>
        <v>0.295535886000776</v>
      </c>
      <c r="S890" s="54" t="n">
        <f aca="true">RAND()</f>
        <v>0.656808452967788</v>
      </c>
      <c r="T890" s="54" t="n">
        <f aca="true">RAND()</f>
        <v>0.92283718071926</v>
      </c>
      <c r="U890" s="54" t="n">
        <f aca="true">RAND()</f>
        <v>0.548099060275732</v>
      </c>
    </row>
    <row r="891" customFormat="false" ht="15" hidden="false" customHeight="false" outlineLevel="0" collapsed="false">
      <c r="A891" s="50" t="n">
        <v>811</v>
      </c>
      <c r="B891" s="51" t="n">
        <f aca="false">1+IF($G$6=$E$6,$F$6,IF(P891&lt;($F$6-$E$6)/($G$6-$E$6),$E$6+SQRT(P891*($G$6-$E$6)*($F$6-$E$6)),$G$6-SQRT((1-P891)*($G$6-$E$6)*($G$6-$F$6))))</f>
        <v>0.973349154322379</v>
      </c>
      <c r="C891" s="51" t="n">
        <f aca="false">1+IF($G$7=$E$7,$F$7,IF(Q891&lt;($F$7-$E$7)/($G$7-$E$7),$E$7+SQRT(Q891*($G$7-$E$7)*($F$7-$E$7)),$G$7-SQRT((1-Q891)*($G$7-$E$7)*($G$7-$F$7))))</f>
        <v>1.09952465373022</v>
      </c>
      <c r="D891" s="51" t="n">
        <f aca="false">1+IF($G$8=$E$8,$F$8,IF(R891&lt;($F$8-$E$8)/($G$8-$E$8),$E$8+SQRT(R891*($G$8-$E$8)*($F$8-$E$8)),$G$8-SQRT((1-R891)*($G$8-$E$8)*($G$8-$F$8))))</f>
        <v>1.07145864948306</v>
      </c>
      <c r="E891" s="51" t="n">
        <f aca="false">1+IF($G$9=$E$9,$F$9,IF(S891&lt;($F$9-$E$9)/($G$9-$E$9),$E$9+SQRT(S891*($G$9-$E$9)*($F$9-$E$9)),$G$9-SQRT((1-S891)*($G$9-$E$9)*($G$9-$F$9))))</f>
        <v>0.952524513723704</v>
      </c>
      <c r="F891" s="51" t="n">
        <f aca="false">1+IF($G$10=$E$10,$F$10,IF(T891&lt;($F$10-$E$10)/($G$10-$E$10),$E$10+SQRT(T891*($G$10-$E$10)*($F$10-$E$10)),$G$10-SQRT((1-T891)*($G$10-$E$10)*($G$10-$F$10))))</f>
        <v>0.997350134031763</v>
      </c>
      <c r="G891" s="52" t="n">
        <f aca="false">IF($G$11=$E$11,$F$11,IF(U891&lt;($F$11-$E$11)/($G$11-$E$11),$E$11+SQRT(U891*($G$11-$E$11)*($F$11-$E$11)),$G$11-SQRT((1-U891)*($G$11-$E$11)*($G$11-$F$11))))</f>
        <v>0.0906522789811209</v>
      </c>
      <c r="H891" s="53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-1994700268.06353</v>
      </c>
      <c r="I891" s="53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-17166395.4016046</v>
      </c>
      <c r="J891" s="53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256331485.405755</v>
      </c>
      <c r="K891" s="53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579696872.914703</v>
      </c>
      <c r="L891" s="53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707849684.486675</v>
      </c>
      <c r="M891" s="53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911277366.652358</v>
      </c>
      <c r="N891" s="53" t="n">
        <f aca="false">IF(COUNT('Business Case'!B11:G11)=0,"",H891+NPV(G891,I891:M891))</f>
        <v>-257360213.349233</v>
      </c>
      <c r="P891" s="54" t="n">
        <f aca="true">RAND()</f>
        <v>0.358673229320546</v>
      </c>
      <c r="Q891" s="54" t="n">
        <f aca="true">RAND()</f>
        <v>0.9622553987992</v>
      </c>
      <c r="R891" s="54" t="n">
        <f aca="true">RAND()</f>
        <v>0.945692754044621</v>
      </c>
      <c r="S891" s="54" t="n">
        <f aca="true">RAND()</f>
        <v>0.110352981676464</v>
      </c>
      <c r="T891" s="54" t="n">
        <f aca="true">RAND()</f>
        <v>0.149469012855064</v>
      </c>
      <c r="U891" s="54" t="n">
        <f aca="true">RAND()</f>
        <v>0.11347104749163</v>
      </c>
    </row>
    <row r="892" customFormat="false" ht="15" hidden="false" customHeight="false" outlineLevel="0" collapsed="false">
      <c r="A892" s="50" t="n">
        <v>812</v>
      </c>
      <c r="B892" s="51" t="n">
        <f aca="false">1+IF($G$6=$E$6,$F$6,IF(P892&lt;($F$6-$E$6)/($G$6-$E$6),$E$6+SQRT(P892*($G$6-$E$6)*($F$6-$E$6)),$G$6-SQRT((1-P892)*($G$6-$E$6)*($G$6-$F$6))))</f>
        <v>0.993030580248476</v>
      </c>
      <c r="C892" s="51" t="n">
        <f aca="false">1+IF($G$7=$E$7,$F$7,IF(Q892&lt;($F$7-$E$7)/($G$7-$E$7),$E$7+SQRT(Q892*($G$7-$E$7)*($F$7-$E$7)),$G$7-SQRT((1-Q892)*($G$7-$E$7)*($G$7-$F$7))))</f>
        <v>0.868288291234348</v>
      </c>
      <c r="D892" s="51" t="n">
        <f aca="false">1+IF($G$8=$E$8,$F$8,IF(R892&lt;($F$8-$E$8)/($G$8-$E$8),$E$8+SQRT(R892*($G$8-$E$8)*($F$8-$E$8)),$G$8-SQRT((1-R892)*($G$8-$E$8)*($G$8-$F$8))))</f>
        <v>0.970124711594013</v>
      </c>
      <c r="E892" s="51" t="n">
        <f aca="false">1+IF($G$9=$E$9,$F$9,IF(S892&lt;($F$9-$E$9)/($G$9-$E$9),$E$9+SQRT(S892*($G$9-$E$9)*($F$9-$E$9)),$G$9-SQRT((1-S892)*($G$9-$E$9)*($G$9-$F$9))))</f>
        <v>1.06145879655548</v>
      </c>
      <c r="F892" s="51" t="n">
        <f aca="false">1+IF($G$10=$E$10,$F$10,IF(T892&lt;($F$10-$E$10)/($G$10-$E$10),$E$10+SQRT(T892*($G$10-$E$10)*($F$10-$E$10)),$G$10-SQRT((1-T892)*($G$10-$E$10)*($G$10-$F$10))))</f>
        <v>0.984997631921045</v>
      </c>
      <c r="G892" s="52" t="n">
        <f aca="false">IF($G$11=$E$11,$F$11,IF(U892&lt;($F$11-$E$11)/($G$11-$E$11),$E$11+SQRT(U892*($G$11-$E$11)*($F$11-$E$11)),$G$11-SQRT((1-U892)*($G$11-$E$11)*($G$11-$F$11))))</f>
        <v>0.117087802439369</v>
      </c>
      <c r="H892" s="53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-1969995263.84209</v>
      </c>
      <c r="I892" s="53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-19118271.1920527</v>
      </c>
      <c r="J892" s="53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255901018.720787</v>
      </c>
      <c r="K892" s="53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580170190.229678</v>
      </c>
      <c r="L892" s="53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701642191.562357</v>
      </c>
      <c r="M892" s="53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865536167.385217</v>
      </c>
      <c r="N892" s="53" t="n">
        <f aca="false">IF(COUNT('Business Case'!B11:G11)=0,"",H892+NPV(G892,I892:M892))</f>
        <v>-417712099.624285</v>
      </c>
      <c r="P892" s="54" t="n">
        <f aca="true">RAND()</f>
        <v>0.576979257424541</v>
      </c>
      <c r="Q892" s="54" t="n">
        <f aca="true">RAND()</f>
        <v>0.209784807159828</v>
      </c>
      <c r="R892" s="54" t="n">
        <f aca="true">RAND()</f>
        <v>0.0540005355656273</v>
      </c>
      <c r="S892" s="54" t="n">
        <f aca="true">RAND()</f>
        <v>0.790945474469236</v>
      </c>
      <c r="T892" s="54" t="n">
        <f aca="true">RAND()</f>
        <v>0.081655616005398</v>
      </c>
      <c r="U892" s="54" t="n">
        <f aca="true">RAND()</f>
        <v>0.888850102770156</v>
      </c>
    </row>
    <row r="893" customFormat="false" ht="15" hidden="false" customHeight="false" outlineLevel="0" collapsed="false">
      <c r="A893" s="50" t="n">
        <v>813</v>
      </c>
      <c r="B893" s="51" t="n">
        <f aca="false">1+IF($G$6=$E$6,$F$6,IF(P893&lt;($F$6-$E$6)/($G$6-$E$6),$E$6+SQRT(P893*($G$6-$E$6)*($F$6-$E$6)),$G$6-SQRT((1-P893)*($G$6-$E$6)*($G$6-$F$6))))</f>
        <v>1.0242026690418</v>
      </c>
      <c r="C893" s="51" t="n">
        <f aca="false">1+IF($G$7=$E$7,$F$7,IF(Q893&lt;($F$7-$E$7)/($G$7-$E$7),$E$7+SQRT(Q893*($G$7-$E$7)*($F$7-$E$7)),$G$7-SQRT((1-Q893)*($G$7-$E$7)*($G$7-$F$7))))</f>
        <v>0.79402721428895</v>
      </c>
      <c r="D893" s="51" t="n">
        <f aca="false">1+IF($G$8=$E$8,$F$8,IF(R893&lt;($F$8-$E$8)/($G$8-$E$8),$E$8+SQRT(R893*($G$8-$E$8)*($F$8-$E$8)),$G$8-SQRT((1-R893)*($G$8-$E$8)*($G$8-$F$8))))</f>
        <v>1.03260991190461</v>
      </c>
      <c r="E893" s="51" t="n">
        <f aca="false">1+IF($G$9=$E$9,$F$9,IF(S893&lt;($F$9-$E$9)/($G$9-$E$9),$E$9+SQRT(S893*($G$9-$E$9)*($F$9-$E$9)),$G$9-SQRT((1-S893)*($G$9-$E$9)*($G$9-$F$9))))</f>
        <v>1.05493900670654</v>
      </c>
      <c r="F893" s="51" t="n">
        <f aca="false">1+IF($G$10=$E$10,$F$10,IF(T893&lt;($F$10-$E$10)/($G$10-$E$10),$E$10+SQRT(T893*($G$10-$E$10)*($F$10-$E$10)),$G$10-SQRT((1-T893)*($G$10-$E$10)*($G$10-$F$10))))</f>
        <v>1.07344201239024</v>
      </c>
      <c r="G893" s="52" t="n">
        <f aca="false">IF($G$11=$E$11,$F$11,IF(U893&lt;($F$11-$E$11)/($G$11-$E$11),$E$11+SQRT(U893*($G$11-$E$11)*($F$11-$E$11)),$G$11-SQRT((1-U893)*($G$11-$E$11)*($G$11-$F$11))))</f>
        <v>0.102222020536154</v>
      </c>
      <c r="H893" s="53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-2146884024.78047</v>
      </c>
      <c r="I893" s="53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-53142736.339359</v>
      </c>
      <c r="J893" s="53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193229665.33989</v>
      </c>
      <c r="K893" s="53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493274167.638652</v>
      </c>
      <c r="L893" s="53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603504041.549012</v>
      </c>
      <c r="M893" s="53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758085611.644033</v>
      </c>
      <c r="N893" s="53" t="n">
        <f aca="false">IF(COUNT('Business Case'!B11:G11)=0,"",H893+NPV(G893,I893:M893))</f>
        <v>-792806666.13297</v>
      </c>
      <c r="P893" s="54" t="n">
        <f aca="true">RAND()</f>
        <v>0.911266362057764</v>
      </c>
      <c r="Q893" s="54" t="n">
        <f aca="true">RAND()</f>
        <v>0.0654897557551115</v>
      </c>
      <c r="R893" s="54" t="n">
        <f aca="true">RAND()</f>
        <v>0.697238401766412</v>
      </c>
      <c r="S893" s="54" t="n">
        <f aca="true">RAND()</f>
        <v>0.759024201441619</v>
      </c>
      <c r="T893" s="54" t="n">
        <f aca="true">RAND()</f>
        <v>0.584363693482537</v>
      </c>
      <c r="U893" s="54" t="n">
        <f aca="true">RAND()</f>
        <v>0.485589237937446</v>
      </c>
    </row>
    <row r="894" customFormat="false" ht="15" hidden="false" customHeight="false" outlineLevel="0" collapsed="false">
      <c r="A894" s="50" t="n">
        <v>814</v>
      </c>
      <c r="B894" s="51" t="n">
        <f aca="false">1+IF($G$6=$E$6,$F$6,IF(P894&lt;($F$6-$E$6)/($G$6-$E$6),$E$6+SQRT(P894*($G$6-$E$6)*($F$6-$E$6)),$G$6-SQRT((1-P894)*($G$6-$E$6)*($G$6-$F$6))))</f>
        <v>0.975311536851016</v>
      </c>
      <c r="C894" s="51" t="n">
        <f aca="false">1+IF($G$7=$E$7,$F$7,IF(Q894&lt;($F$7-$E$7)/($G$7-$E$7),$E$7+SQRT(Q894*($G$7-$E$7)*($F$7-$E$7)),$G$7-SQRT((1-Q894)*($G$7-$E$7)*($G$7-$F$7))))</f>
        <v>0.87209442759818</v>
      </c>
      <c r="D894" s="51" t="n">
        <f aca="false">1+IF($G$8=$E$8,$F$8,IF(R894&lt;($F$8-$E$8)/($G$8-$E$8),$E$8+SQRT(R894*($G$8-$E$8)*($F$8-$E$8)),$G$8-SQRT((1-R894)*($G$8-$E$8)*($G$8-$F$8))))</f>
        <v>0.96711823556821</v>
      </c>
      <c r="E894" s="51" t="n">
        <f aca="false">1+IF($G$9=$E$9,$F$9,IF(S894&lt;($F$9-$E$9)/($G$9-$E$9),$E$9+SQRT(S894*($G$9-$E$9)*($F$9-$E$9)),$G$9-SQRT((1-S894)*($G$9-$E$9)*($G$9-$F$9))))</f>
        <v>1.01728101316847</v>
      </c>
      <c r="F894" s="51" t="n">
        <f aca="false">1+IF($G$10=$E$10,$F$10,IF(T894&lt;($F$10-$E$10)/($G$10-$E$10),$E$10+SQRT(T894*($G$10-$E$10)*($F$10-$E$10)),$G$10-SQRT((1-T894)*($G$10-$E$10)*($G$10-$F$10))))</f>
        <v>1.03351337401809</v>
      </c>
      <c r="G894" s="52" t="n">
        <f aca="false">IF($G$11=$E$11,$F$11,IF(U894&lt;($F$11-$E$11)/($G$11-$E$11),$E$11+SQRT(U894*($G$11-$E$11)*($F$11-$E$11)),$G$11-SQRT((1-U894)*($G$11-$E$11)*($G$11-$F$11))))</f>
        <v>0.0836954894815867</v>
      </c>
      <c r="H894" s="53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-2067026748.03618</v>
      </c>
      <c r="I894" s="53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-27191725.1267524</v>
      </c>
      <c r="J894" s="53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237718472.355747</v>
      </c>
      <c r="K894" s="53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554304338.53915</v>
      </c>
      <c r="L894" s="53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672003221.12324</v>
      </c>
      <c r="M894" s="53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833678379.951155</v>
      </c>
      <c r="N894" s="53" t="n">
        <f aca="false">IF(COUNT('Business Case'!B11:G11)=0,"",H894+NPV(G894,I894:M894))</f>
        <v>-409143981.026857</v>
      </c>
      <c r="P894" s="54" t="n">
        <f aca="true">RAND()</f>
        <v>0.37812183885746</v>
      </c>
      <c r="Q894" s="54" t="n">
        <f aca="true">RAND()</f>
        <v>0.219381422298853</v>
      </c>
      <c r="R894" s="54" t="n">
        <f aca="true">RAND()</f>
        <v>0.0390711985291656</v>
      </c>
      <c r="S894" s="54" t="n">
        <f aca="true">RAND()</f>
        <v>0.530284547584335</v>
      </c>
      <c r="T894" s="54" t="n">
        <f aca="true">RAND()</f>
        <v>0.375113876946237</v>
      </c>
      <c r="U894" s="54" t="n">
        <f aca="true">RAND()</f>
        <v>0.0136566425085177</v>
      </c>
    </row>
    <row r="895" customFormat="false" ht="15" hidden="false" customHeight="false" outlineLevel="0" collapsed="false">
      <c r="A895" s="50" t="n">
        <v>815</v>
      </c>
      <c r="B895" s="51" t="n">
        <f aca="false">1+IF($G$6=$E$6,$F$6,IF(P895&lt;($F$6-$E$6)/($G$6-$E$6),$E$6+SQRT(P895*($G$6-$E$6)*($F$6-$E$6)),$G$6-SQRT((1-P895)*($G$6-$E$6)*($G$6-$F$6))))</f>
        <v>0.96904300033909</v>
      </c>
      <c r="C895" s="51" t="n">
        <f aca="false">1+IF($G$7=$E$7,$F$7,IF(Q895&lt;($F$7-$E$7)/($G$7-$E$7),$E$7+SQRT(Q895*($G$7-$E$7)*($F$7-$E$7)),$G$7-SQRT((1-Q895)*($G$7-$E$7)*($G$7-$F$7))))</f>
        <v>0.822656179838648</v>
      </c>
      <c r="D895" s="51" t="n">
        <f aca="false">1+IF($G$8=$E$8,$F$8,IF(R895&lt;($F$8-$E$8)/($G$8-$E$8),$E$8+SQRT(R895*($G$8-$E$8)*($F$8-$E$8)),$G$8-SQRT((1-R895)*($G$8-$E$8)*($G$8-$F$8))))</f>
        <v>0.990263358606022</v>
      </c>
      <c r="E895" s="51" t="n">
        <f aca="false">1+IF($G$9=$E$9,$F$9,IF(S895&lt;($F$9-$E$9)/($G$9-$E$9),$E$9+SQRT(S895*($G$9-$E$9)*($F$9-$E$9)),$G$9-SQRT((1-S895)*($G$9-$E$9)*($G$9-$F$9))))</f>
        <v>0.952119163529275</v>
      </c>
      <c r="F895" s="51" t="n">
        <f aca="false">1+IF($G$10=$E$10,$F$10,IF(T895&lt;($F$10-$E$10)/($G$10-$E$10),$E$10+SQRT(T895*($G$10-$E$10)*($F$10-$E$10)),$G$10-SQRT((1-T895)*($G$10-$E$10)*($G$10-$F$10))))</f>
        <v>0.976169081232749</v>
      </c>
      <c r="G895" s="52" t="n">
        <f aca="false">IF($G$11=$E$11,$F$11,IF(U895&lt;($F$11-$E$11)/($G$11-$E$11),$E$11+SQRT(U895*($G$11-$E$11)*($F$11-$E$11)),$G$11-SQRT((1-U895)*($G$11-$E$11)*($G$11-$F$11))))</f>
        <v>0.0985637296208106</v>
      </c>
      <c r="H895" s="53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-1952338162.4655</v>
      </c>
      <c r="I895" s="53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-38412898.4644124</v>
      </c>
      <c r="J895" s="53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197508745.037705</v>
      </c>
      <c r="K895" s="53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482238842.60146</v>
      </c>
      <c r="L895" s="53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588430249.628428</v>
      </c>
      <c r="M895" s="53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739959975.189532</v>
      </c>
      <c r="N895" s="53" t="n">
        <f aca="false">IF(COUNT('Business Case'!B11:G11)=0,"",H895+NPV(G895,I895:M895))</f>
        <v>-593431059.844984</v>
      </c>
      <c r="P895" s="54" t="n">
        <f aca="true">RAND()</f>
        <v>0.317795726388242</v>
      </c>
      <c r="Q895" s="54" t="n">
        <f aca="true">RAND()</f>
        <v>0.111441025574895</v>
      </c>
      <c r="R895" s="54" t="n">
        <f aca="true">RAND()</f>
        <v>0.216151739498279</v>
      </c>
      <c r="S895" s="54" t="n">
        <f aca="true">RAND()</f>
        <v>0.108656288279651</v>
      </c>
      <c r="T895" s="54" t="n">
        <f aca="true">RAND()</f>
        <v>0.0456547208377479</v>
      </c>
      <c r="U895" s="54" t="n">
        <f aca="true">RAND()</f>
        <v>0.344612057434561</v>
      </c>
    </row>
    <row r="896" customFormat="false" ht="15" hidden="false" customHeight="false" outlineLevel="0" collapsed="false">
      <c r="A896" s="50" t="n">
        <v>816</v>
      </c>
      <c r="B896" s="51" t="n">
        <f aca="false">1+IF($G$6=$E$6,$F$6,IF(P896&lt;($F$6-$E$6)/($G$6-$E$6),$E$6+SQRT(P896*($G$6-$E$6)*($F$6-$E$6)),$G$6-SQRT((1-P896)*($G$6-$E$6)*($G$6-$F$6))))</f>
        <v>0.944470523853238</v>
      </c>
      <c r="C896" s="51" t="n">
        <f aca="false">1+IF($G$7=$E$7,$F$7,IF(Q896&lt;($F$7-$E$7)/($G$7-$E$7),$E$7+SQRT(Q896*($G$7-$E$7)*($F$7-$E$7)),$G$7-SQRT((1-Q896)*($G$7-$E$7)*($G$7-$F$7))))</f>
        <v>0.980340316109111</v>
      </c>
      <c r="D896" s="51" t="n">
        <f aca="false">1+IF($G$8=$E$8,$F$8,IF(R896&lt;($F$8-$E$8)/($G$8-$E$8),$E$8+SQRT(R896*($G$8-$E$8)*($F$8-$E$8)),$G$8-SQRT((1-R896)*($G$8-$E$8)*($G$8-$F$8))))</f>
        <v>1.01028719121923</v>
      </c>
      <c r="E896" s="51" t="n">
        <f aca="false">1+IF($G$9=$E$9,$F$9,IF(S896&lt;($F$9-$E$9)/($G$9-$E$9),$E$9+SQRT(S896*($G$9-$E$9)*($F$9-$E$9)),$G$9-SQRT((1-S896)*($G$9-$E$9)*($G$9-$F$9))))</f>
        <v>0.996708049691143</v>
      </c>
      <c r="F896" s="51" t="n">
        <f aca="false">1+IF($G$10=$E$10,$F$10,IF(T896&lt;($F$10-$E$10)/($G$10-$E$10),$E$10+SQRT(T896*($G$10-$E$10)*($F$10-$E$10)),$G$10-SQRT((1-T896)*($G$10-$E$10)*($G$10-$F$10))))</f>
        <v>1.09165372323958</v>
      </c>
      <c r="G896" s="52" t="n">
        <f aca="false">IF($G$11=$E$11,$F$11,IF(U896&lt;($F$11-$E$11)/($G$11-$E$11),$E$11+SQRT(U896*($G$11-$E$11)*($F$11-$E$11)),$G$11-SQRT((1-U896)*($G$11-$E$11)*($G$11-$F$11))))</f>
        <v>0.101070986379524</v>
      </c>
      <c r="H896" s="53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-2183307446.47915</v>
      </c>
      <c r="I896" s="53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-47533706.9797299</v>
      </c>
      <c r="J896" s="53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203828630.284794</v>
      </c>
      <c r="K896" s="53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509773653.711297</v>
      </c>
      <c r="L896" s="53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625560290.968948</v>
      </c>
      <c r="M896" s="53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801555844.234404</v>
      </c>
      <c r="N896" s="53" t="n">
        <f aca="false">IF(COUNT('Business Case'!B11:G11)=0,"",H896+NPV(G896,I896:M896))</f>
        <v>-755574583.770172</v>
      </c>
      <c r="P896" s="54" t="n">
        <f aca="true">RAND()</f>
        <v>0.131841832785426</v>
      </c>
      <c r="Q896" s="54" t="n">
        <f aca="true">RAND()</f>
        <v>0.582153280267823</v>
      </c>
      <c r="R896" s="54" t="n">
        <f aca="true">RAND()</f>
        <v>0.463440796044325</v>
      </c>
      <c r="S896" s="54" t="n">
        <f aca="true">RAND()</f>
        <v>0.374097875002583</v>
      </c>
      <c r="T896" s="54" t="n">
        <f aca="true">RAND()</f>
        <v>0.665686088481488</v>
      </c>
      <c r="U896" s="54" t="n">
        <f aca="true">RAND()</f>
        <v>0.442074780630875</v>
      </c>
    </row>
    <row r="897" customFormat="false" ht="15" hidden="false" customHeight="false" outlineLevel="0" collapsed="false">
      <c r="A897" s="50" t="n">
        <v>817</v>
      </c>
      <c r="B897" s="51" t="n">
        <f aca="false">1+IF($G$6=$E$6,$F$6,IF(P897&lt;($F$6-$E$6)/($G$6-$E$6),$E$6+SQRT(P897*($G$6-$E$6)*($F$6-$E$6)),$G$6-SQRT((1-P897)*($G$6-$E$6)*($G$6-$F$6))))</f>
        <v>0.950623778701735</v>
      </c>
      <c r="C897" s="51" t="n">
        <f aca="false">1+IF($G$7=$E$7,$F$7,IF(Q897&lt;($F$7-$E$7)/($G$7-$E$7),$E$7+SQRT(Q897*($G$7-$E$7)*($F$7-$E$7)),$G$7-SQRT((1-Q897)*($G$7-$E$7)*($G$7-$F$7))))</f>
        <v>1.07862467454262</v>
      </c>
      <c r="D897" s="51" t="n">
        <f aca="false">1+IF($G$8=$E$8,$F$8,IF(R897&lt;($F$8-$E$8)/($G$8-$E$8),$E$8+SQRT(R897*($G$8-$E$8)*($F$8-$E$8)),$G$8-SQRT((1-R897)*($G$8-$E$8)*($G$8-$F$8))))</f>
        <v>1.05213330874735</v>
      </c>
      <c r="E897" s="51" t="n">
        <f aca="false">1+IF($G$9=$E$9,$F$9,IF(S897&lt;($F$9-$E$9)/($G$9-$E$9),$E$9+SQRT(S897*($G$9-$E$9)*($F$9-$E$9)),$G$9-SQRT((1-S897)*($G$9-$E$9)*($G$9-$F$9))))</f>
        <v>0.995373707809953</v>
      </c>
      <c r="F897" s="51" t="n">
        <f aca="false">1+IF($G$10=$E$10,$F$10,IF(T897&lt;($F$10-$E$10)/($G$10-$E$10),$E$10+SQRT(T897*($G$10-$E$10)*($F$10-$E$10)),$G$10-SQRT((1-T897)*($G$10-$E$10)*($G$10-$F$10))))</f>
        <v>1.01913318642866</v>
      </c>
      <c r="G897" s="52" t="n">
        <f aca="false">IF($G$11=$E$11,$F$11,IF(U897&lt;($F$11-$E$11)/($G$11-$E$11),$E$11+SQRT(U897*($G$11-$E$11)*($F$11-$E$11)),$G$11-SQRT((1-U897)*($G$11-$E$11)*($G$11-$F$11))))</f>
        <v>0.112723201314088</v>
      </c>
      <c r="H897" s="53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-2038266372.85731</v>
      </c>
      <c r="I897" s="53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-37717619.1760776</v>
      </c>
      <c r="J897" s="53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221175208.66262</v>
      </c>
      <c r="K897" s="53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531024695.822751</v>
      </c>
      <c r="L897" s="53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652758963.183206</v>
      </c>
      <c r="M897" s="53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847660582.628099</v>
      </c>
      <c r="N897" s="53" t="n">
        <f aca="false">IF(COUNT('Business Case'!B11:G11)=0,"",H897+NPV(G897,I897:M897))</f>
        <v>-585374555.847987</v>
      </c>
      <c r="P897" s="54" t="n">
        <f aca="true">RAND()</f>
        <v>0.170851131336152</v>
      </c>
      <c r="Q897" s="54" t="n">
        <f aca="true">RAND()</f>
        <v>0.924526858012634</v>
      </c>
      <c r="R897" s="54" t="n">
        <f aca="true">RAND()</f>
        <v>0.847251991234905</v>
      </c>
      <c r="S897" s="54" t="n">
        <f aca="true">RAND()</f>
        <v>0.363845765656728</v>
      </c>
      <c r="T897" s="54" t="n">
        <f aca="true">RAND()</f>
        <v>0.289340191885522</v>
      </c>
      <c r="U897" s="54" t="n">
        <f aca="true">RAND()</f>
        <v>0.801008151444303</v>
      </c>
    </row>
    <row r="898" customFormat="false" ht="15" hidden="false" customHeight="false" outlineLevel="0" collapsed="false">
      <c r="A898" s="50" t="n">
        <v>818</v>
      </c>
      <c r="B898" s="51" t="n">
        <f aca="false">1+IF($G$6=$E$6,$F$6,IF(P898&lt;($F$6-$E$6)/($G$6-$E$6),$E$6+SQRT(P898*($G$6-$E$6)*($F$6-$E$6)),$G$6-SQRT((1-P898)*($G$6-$E$6)*($G$6-$F$6))))</f>
        <v>0.943393917573853</v>
      </c>
      <c r="C898" s="51" t="n">
        <f aca="false">1+IF($G$7=$E$7,$F$7,IF(Q898&lt;($F$7-$E$7)/($G$7-$E$7),$E$7+SQRT(Q898*($G$7-$E$7)*($F$7-$E$7)),$G$7-SQRT((1-Q898)*($G$7-$E$7)*($G$7-$F$7))))</f>
        <v>1.01036743635998</v>
      </c>
      <c r="D898" s="51" t="n">
        <f aca="false">1+IF($G$8=$E$8,$F$8,IF(R898&lt;($F$8-$E$8)/($G$8-$E$8),$E$8+SQRT(R898*($G$8-$E$8)*($F$8-$E$8)),$G$8-SQRT((1-R898)*($G$8-$E$8)*($G$8-$F$8))))</f>
        <v>0.997262721338701</v>
      </c>
      <c r="E898" s="51" t="n">
        <f aca="false">1+IF($G$9=$E$9,$F$9,IF(S898&lt;($F$9-$E$9)/($G$9-$E$9),$E$9+SQRT(S898*($G$9-$E$9)*($F$9-$E$9)),$G$9-SQRT((1-S898)*($G$9-$E$9)*($G$9-$F$9))))</f>
        <v>0.949746191101112</v>
      </c>
      <c r="F898" s="51" t="n">
        <f aca="false">1+IF($G$10=$E$10,$F$10,IF(T898&lt;($F$10-$E$10)/($G$10-$E$10),$E$10+SQRT(T898*($G$10-$E$10)*($F$10-$E$10)),$G$10-SQRT((1-T898)*($G$10-$E$10)*($G$10-$F$10))))</f>
        <v>1.15904577741272</v>
      </c>
      <c r="G898" s="52" t="n">
        <f aca="false">IF($G$11=$E$11,$F$11,IF(U898&lt;($F$11-$E$11)/($G$11-$E$11),$E$11+SQRT(U898*($G$11-$E$11)*($F$11-$E$11)),$G$11-SQRT((1-U898)*($G$11-$E$11)*($G$11-$F$11))))</f>
        <v>0.0914786388449071</v>
      </c>
      <c r="H898" s="53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-2318091554.82544</v>
      </c>
      <c r="I898" s="53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-35464015.5286097</v>
      </c>
      <c r="J898" s="53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229443020.826383</v>
      </c>
      <c r="K898" s="53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552302346.052012</v>
      </c>
      <c r="L898" s="53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673546402.015511</v>
      </c>
      <c r="M898" s="53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854725809.830601</v>
      </c>
      <c r="N898" s="53" t="n">
        <f aca="false">IF(COUNT('Business Case'!B11:G11)=0,"",H898+NPV(G898,I898:M898))</f>
        <v>-706903356.927683</v>
      </c>
      <c r="P898" s="54" t="n">
        <f aca="true">RAND()</f>
        <v>0.125535472160423</v>
      </c>
      <c r="Q898" s="54" t="n">
        <f aca="true">RAND()</f>
        <v>0.711151809945435</v>
      </c>
      <c r="R898" s="54" t="n">
        <f aca="true">RAND()</f>
        <v>0.297835310445294</v>
      </c>
      <c r="S898" s="54" t="n">
        <f aca="true">RAND()</f>
        <v>0.0989873411627349</v>
      </c>
      <c r="T898" s="54" t="n">
        <f aca="true">RAND()</f>
        <v>0.88969772524725</v>
      </c>
      <c r="U898" s="54" t="n">
        <f aca="true">RAND()</f>
        <v>0.131759149731811</v>
      </c>
    </row>
    <row r="899" customFormat="false" ht="15" hidden="false" customHeight="false" outlineLevel="0" collapsed="false">
      <c r="A899" s="50" t="n">
        <v>819</v>
      </c>
      <c r="B899" s="51" t="n">
        <f aca="false">1+IF($G$6=$E$6,$F$6,IF(P899&lt;($F$6-$E$6)/($G$6-$E$6),$E$6+SQRT(P899*($G$6-$E$6)*($F$6-$E$6)),$G$6-SQRT((1-P899)*($G$6-$E$6)*($G$6-$F$6))))</f>
        <v>0.919439473436829</v>
      </c>
      <c r="C899" s="51" t="n">
        <f aca="false">1+IF($G$7=$E$7,$F$7,IF(Q899&lt;($F$7-$E$7)/($G$7-$E$7),$E$7+SQRT(Q899*($G$7-$E$7)*($F$7-$E$7)),$G$7-SQRT((1-Q899)*($G$7-$E$7)*($G$7-$F$7))))</f>
        <v>1.06952720057564</v>
      </c>
      <c r="D899" s="51" t="n">
        <f aca="false">1+IF($G$8=$E$8,$F$8,IF(R899&lt;($F$8-$E$8)/($G$8-$E$8),$E$8+SQRT(R899*($G$8-$E$8)*($F$8-$E$8)),$G$8-SQRT((1-R899)*($G$8-$E$8)*($G$8-$F$8))))</f>
        <v>1.06131435340845</v>
      </c>
      <c r="E899" s="51" t="n">
        <f aca="false">1+IF($G$9=$E$9,$F$9,IF(S899&lt;($F$9-$E$9)/($G$9-$E$9),$E$9+SQRT(S899*($G$9-$E$9)*($F$9-$E$9)),$G$9-SQRT((1-S899)*($G$9-$E$9)*($G$9-$F$9))))</f>
        <v>1.10878464941898</v>
      </c>
      <c r="F899" s="51" t="n">
        <f aca="false">1+IF($G$10=$E$10,$F$10,IF(T899&lt;($F$10-$E$10)/($G$10-$E$10),$E$10+SQRT(T899*($G$10-$E$10)*($F$10-$E$10)),$G$10-SQRT((1-T899)*($G$10-$E$10)*($G$10-$F$10))))</f>
        <v>1.16398188444946</v>
      </c>
      <c r="G899" s="52" t="n">
        <f aca="false">IF($G$11=$E$11,$F$11,IF(U899&lt;($F$11-$E$11)/($G$11-$E$11),$E$11+SQRT(U899*($G$11-$E$11)*($F$11-$E$11)),$G$11-SQRT((1-U899)*($G$11-$E$11)*($G$11-$F$11))))</f>
        <v>0.084307300504873</v>
      </c>
      <c r="H899" s="53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-2327963768.89892</v>
      </c>
      <c r="I899" s="53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-100680597.385716</v>
      </c>
      <c r="J899" s="53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123683839.695142</v>
      </c>
      <c r="K899" s="53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406247370.998473</v>
      </c>
      <c r="L899" s="53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515020629.274925</v>
      </c>
      <c r="M899" s="53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701938748.480506</v>
      </c>
      <c r="N899" s="53" t="n">
        <f aca="false">IF(COUNT('Business Case'!B11:G11)=0,"",H899+NPV(G899,I899:M899))</f>
        <v>-1156063378.96412</v>
      </c>
      <c r="P899" s="54" t="n">
        <f aca="true">RAND()</f>
        <v>0.0251928751667446</v>
      </c>
      <c r="Q899" s="54" t="n">
        <f aca="true">RAND()</f>
        <v>0.904061163745293</v>
      </c>
      <c r="R899" s="54" t="n">
        <f aca="true">RAND()</f>
        <v>0.90022804985293</v>
      </c>
      <c r="S899" s="54" t="n">
        <f aca="true">RAND()</f>
        <v>0.954701196706236</v>
      </c>
      <c r="T899" s="54" t="n">
        <f aca="true">RAND()</f>
        <v>0.901345117295114</v>
      </c>
      <c r="U899" s="54" t="n">
        <f aca="true">RAND()</f>
        <v>0.018552837639279</v>
      </c>
    </row>
    <row r="900" customFormat="false" ht="15" hidden="false" customHeight="false" outlineLevel="0" collapsed="false">
      <c r="A900" s="50" t="n">
        <v>820</v>
      </c>
      <c r="B900" s="51" t="n">
        <f aca="false">1+IF($G$6=$E$6,$F$6,IF(P900&lt;($F$6-$E$6)/($G$6-$E$6),$E$6+SQRT(P900*($G$6-$E$6)*($F$6-$E$6)),$G$6-SQRT((1-P900)*($G$6-$E$6)*($G$6-$F$6))))</f>
        <v>0.99190882727755</v>
      </c>
      <c r="C900" s="51" t="n">
        <f aca="false">1+IF($G$7=$E$7,$F$7,IF(Q900&lt;($F$7-$E$7)/($G$7-$E$7),$E$7+SQRT(Q900*($G$7-$E$7)*($F$7-$E$7)),$G$7-SQRT((1-Q900)*($G$7-$E$7)*($G$7-$F$7))))</f>
        <v>1.01826561522288</v>
      </c>
      <c r="D900" s="51" t="n">
        <f aca="false">1+IF($G$8=$E$8,$F$8,IF(R900&lt;($F$8-$E$8)/($G$8-$E$8),$E$8+SQRT(R900*($G$8-$E$8)*($F$8-$E$8)),$G$8-SQRT((1-R900)*($G$8-$E$8)*($G$8-$F$8))))</f>
        <v>1.00103678011749</v>
      </c>
      <c r="E900" s="51" t="n">
        <f aca="false">1+IF($G$9=$E$9,$F$9,IF(S900&lt;($F$9-$E$9)/($G$9-$E$9),$E$9+SQRT(S900*($G$9-$E$9)*($F$9-$E$9)),$G$9-SQRT((1-S900)*($G$9-$E$9)*($G$9-$F$9))))</f>
        <v>1.10033185364254</v>
      </c>
      <c r="F900" s="51" t="n">
        <f aca="false">1+IF($G$10=$E$10,$F$10,IF(T900&lt;($F$10-$E$10)/($G$10-$E$10),$E$10+SQRT(T900*($G$10-$E$10)*($F$10-$E$10)),$G$10-SQRT((1-T900)*($G$10-$E$10)*($G$10-$F$10))))</f>
        <v>1.1014046557002</v>
      </c>
      <c r="G900" s="52" t="n">
        <f aca="false">IF($G$11=$E$11,$F$11,IF(U900&lt;($F$11-$E$11)/($G$11-$E$11),$E$11+SQRT(U900*($G$11-$E$11)*($F$11-$E$11)),$G$11-SQRT((1-U900)*($G$11-$E$11)*($G$11-$F$11))))</f>
        <v>0.0859812736642303</v>
      </c>
      <c r="H900" s="53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-2202809311.4004</v>
      </c>
      <c r="I900" s="53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-13493863.3669022</v>
      </c>
      <c r="J900" s="53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291979710.076968</v>
      </c>
      <c r="K900" s="53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652523516.305848</v>
      </c>
      <c r="L900" s="53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789254561.888995</v>
      </c>
      <c r="M900" s="53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981240427.949203</v>
      </c>
      <c r="N900" s="53" t="n">
        <f aca="false">IF(COUNT('Business Case'!B11:G11)=0,"",H900+NPV(G900,I900:M900))</f>
        <v>-241100026.231239</v>
      </c>
      <c r="P900" s="54" t="n">
        <f aca="true">RAND()</f>
        <v>0.563148835435633</v>
      </c>
      <c r="Q900" s="54" t="n">
        <f aca="true">RAND()</f>
        <v>0.742904472109536</v>
      </c>
      <c r="R900" s="54" t="n">
        <f aca="true">RAND()</f>
        <v>0.34708540736578</v>
      </c>
      <c r="S900" s="54" t="n">
        <f aca="true">RAND()</f>
        <v>0.934215339664359</v>
      </c>
      <c r="T900" s="54" t="n">
        <f aca="true">RAND()</f>
        <v>0.705592315365646</v>
      </c>
      <c r="U900" s="54" t="n">
        <f aca="true">RAND()</f>
        <v>0.0357756346464144</v>
      </c>
    </row>
    <row r="901" customFormat="false" ht="15" hidden="false" customHeight="false" outlineLevel="0" collapsed="false">
      <c r="A901" s="50" t="n">
        <v>821</v>
      </c>
      <c r="B901" s="51" t="n">
        <f aca="false">1+IF($G$6=$E$6,$F$6,IF(P901&lt;($F$6-$E$6)/($G$6-$E$6),$E$6+SQRT(P901*($G$6-$E$6)*($F$6-$E$6)),$G$6-SQRT((1-P901)*($G$6-$E$6)*($G$6-$F$6))))</f>
        <v>0.988516422541845</v>
      </c>
      <c r="C901" s="51" t="n">
        <f aca="false">1+IF($G$7=$E$7,$F$7,IF(Q901&lt;($F$7-$E$7)/($G$7-$E$7),$E$7+SQRT(Q901*($G$7-$E$7)*($F$7-$E$7)),$G$7-SQRT((1-Q901)*($G$7-$E$7)*($G$7-$F$7))))</f>
        <v>1.09995457843528</v>
      </c>
      <c r="D901" s="51" t="n">
        <f aca="false">1+IF($G$8=$E$8,$F$8,IF(R901&lt;($F$8-$E$8)/($G$8-$E$8),$E$8+SQRT(R901*($G$8-$E$8)*($F$8-$E$8)),$G$8-SQRT((1-R901)*($G$8-$E$8)*($G$8-$F$8))))</f>
        <v>0.985865287018967</v>
      </c>
      <c r="E901" s="51" t="n">
        <f aca="false">1+IF($G$9=$E$9,$F$9,IF(S901&lt;($F$9-$E$9)/($G$9-$E$9),$E$9+SQRT(S901*($G$9-$E$9)*($F$9-$E$9)),$G$9-SQRT((1-S901)*($G$9-$E$9)*($G$9-$F$9))))</f>
        <v>1.07058055091306</v>
      </c>
      <c r="F901" s="51" t="n">
        <f aca="false">1+IF($G$10=$E$10,$F$10,IF(T901&lt;($F$10-$E$10)/($G$10-$E$10),$E$10+SQRT(T901*($G$10-$E$10)*($F$10-$E$10)),$G$10-SQRT((1-T901)*($G$10-$E$10)*($G$10-$F$10))))</f>
        <v>1.09652281033267</v>
      </c>
      <c r="G901" s="52" t="n">
        <f aca="false">IF($G$11=$E$11,$F$11,IF(U901&lt;($F$11-$E$11)/($G$11-$E$11),$E$11+SQRT(U901*($G$11-$E$11)*($F$11-$E$11)),$G$11-SQRT((1-U901)*($G$11-$E$11)*($G$11-$F$11))))</f>
        <v>0.101019605849866</v>
      </c>
      <c r="H901" s="53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-2193045620.66534</v>
      </c>
      <c r="I901" s="53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17210641.0686371</v>
      </c>
      <c r="J901" s="53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352676950.37534</v>
      </c>
      <c r="K901" s="53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742969400.198676</v>
      </c>
      <c r="L901" s="53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892369391.877551</v>
      </c>
      <c r="M901" s="53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1099047779.04908</v>
      </c>
      <c r="N901" s="53" t="n">
        <f aca="false">IF(COUNT('Business Case'!B11:G11)=0,"",H901+NPV(G901,I901:M901))</f>
        <v>-43316590.2127237</v>
      </c>
      <c r="P901" s="54" t="n">
        <f aca="true">RAND()</f>
        <v>0.522343803973763</v>
      </c>
      <c r="Q901" s="54" t="n">
        <f aca="true">RAND()</f>
        <v>0.962895641191245</v>
      </c>
      <c r="R901" s="54" t="n">
        <f aca="true">RAND()</f>
        <v>0.171509175060382</v>
      </c>
      <c r="S901" s="54" t="n">
        <f aca="true">RAND()</f>
        <v>0.831801362846051</v>
      </c>
      <c r="T901" s="54" t="n">
        <f aca="true">RAND()</f>
        <v>0.685930030024246</v>
      </c>
      <c r="U901" s="54" t="n">
        <f aca="true">RAND()</f>
        <v>0.440091169935262</v>
      </c>
    </row>
    <row r="902" customFormat="false" ht="15" hidden="false" customHeight="false" outlineLevel="0" collapsed="false">
      <c r="A902" s="50" t="n">
        <v>822</v>
      </c>
      <c r="B902" s="51" t="n">
        <f aca="false">1+IF($G$6=$E$6,$F$6,IF(P902&lt;($F$6-$E$6)/($G$6-$E$6),$E$6+SQRT(P902*($G$6-$E$6)*($F$6-$E$6)),$G$6-SQRT((1-P902)*($G$6-$E$6)*($G$6-$F$6))))</f>
        <v>1.03669278087777</v>
      </c>
      <c r="C902" s="51" t="n">
        <f aca="false">1+IF($G$7=$E$7,$F$7,IF(Q902&lt;($F$7-$E$7)/($G$7-$E$7),$E$7+SQRT(Q902*($G$7-$E$7)*($F$7-$E$7)),$G$7-SQRT((1-Q902)*($G$7-$E$7)*($G$7-$F$7))))</f>
        <v>1.00347360513732</v>
      </c>
      <c r="D902" s="51" t="n">
        <f aca="false">1+IF($G$8=$E$8,$F$8,IF(R902&lt;($F$8-$E$8)/($G$8-$E$8),$E$8+SQRT(R902*($G$8-$E$8)*($F$8-$E$8)),$G$8-SQRT((1-R902)*($G$8-$E$8)*($G$8-$F$8))))</f>
        <v>1.01821829563794</v>
      </c>
      <c r="E902" s="51" t="n">
        <f aca="false">1+IF($G$9=$E$9,$F$9,IF(S902&lt;($F$9-$E$9)/($G$9-$E$9),$E$9+SQRT(S902*($G$9-$E$9)*($F$9-$E$9)),$G$9-SQRT((1-S902)*($G$9-$E$9)*($G$9-$F$9))))</f>
        <v>1.04441051236313</v>
      </c>
      <c r="F902" s="51" t="n">
        <f aca="false">1+IF($G$10=$E$10,$F$10,IF(T902&lt;($F$10-$E$10)/($G$10-$E$10),$E$10+SQRT(T902*($G$10-$E$10)*($F$10-$E$10)),$G$10-SQRT((1-T902)*($G$10-$E$10)*($G$10-$F$10))))</f>
        <v>1.03817038133836</v>
      </c>
      <c r="G902" s="52" t="n">
        <f aca="false">IF($G$11=$E$11,$F$11,IF(U902&lt;($F$11-$E$11)/($G$11-$E$11),$E$11+SQRT(U902*($G$11-$E$11)*($F$11-$E$11)),$G$11-SQRT((1-U902)*($G$11-$E$11)*($G$11-$F$11))))</f>
        <v>0.0945400003755346</v>
      </c>
      <c r="H902" s="53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-2076340762.67672</v>
      </c>
      <c r="I902" s="53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22757598.4203018</v>
      </c>
      <c r="J902" s="53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351776242.614574</v>
      </c>
      <c r="K902" s="53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732703405.875764</v>
      </c>
      <c r="L902" s="53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878328842.46192</v>
      </c>
      <c r="M902" s="53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1076067895.99628</v>
      </c>
      <c r="N902" s="53" t="n">
        <f aca="false">IF(COUNT('Business Case'!B11:G11)=0,"",H902+NPV(G902,I902:M902))</f>
        <v>93809661.8348546</v>
      </c>
      <c r="P902" s="54" t="n">
        <f aca="true">RAND()</f>
        <v>0.976389055897712</v>
      </c>
      <c r="Q902" s="54" t="n">
        <f aca="true">RAND()</f>
        <v>0.681926157163641</v>
      </c>
      <c r="R902" s="54" t="n">
        <f aca="true">RAND()</f>
        <v>0.554116855442461</v>
      </c>
      <c r="S902" s="54" t="n">
        <f aca="true">RAND()</f>
        <v>0.702689602682219</v>
      </c>
      <c r="T902" s="54" t="n">
        <f aca="true">RAND()</f>
        <v>0.401709502102191</v>
      </c>
      <c r="U902" s="54" t="n">
        <f aca="true">RAND()</f>
        <v>0.211411610920547</v>
      </c>
    </row>
    <row r="903" customFormat="false" ht="15" hidden="false" customHeight="false" outlineLevel="0" collapsed="false">
      <c r="A903" s="50" t="n">
        <v>823</v>
      </c>
      <c r="B903" s="51" t="n">
        <f aca="false">1+IF($G$6=$E$6,$F$6,IF(P903&lt;($F$6-$E$6)/($G$6-$E$6),$E$6+SQRT(P903*($G$6-$E$6)*($F$6-$E$6)),$G$6-SQRT((1-P903)*($G$6-$E$6)*($G$6-$F$6))))</f>
        <v>1.03694176237437</v>
      </c>
      <c r="C903" s="51" t="n">
        <f aca="false">1+IF($G$7=$E$7,$F$7,IF(Q903&lt;($F$7-$E$7)/($G$7-$E$7),$E$7+SQRT(Q903*($G$7-$E$7)*($F$7-$E$7)),$G$7-SQRT((1-Q903)*($G$7-$E$7)*($G$7-$F$7))))</f>
        <v>1.11129623142837</v>
      </c>
      <c r="D903" s="51" t="n">
        <f aca="false">1+IF($G$8=$E$8,$F$8,IF(R903&lt;($F$8-$E$8)/($G$8-$E$8),$E$8+SQRT(R903*($G$8-$E$8)*($F$8-$E$8)),$G$8-SQRT((1-R903)*($G$8-$E$8)*($G$8-$F$8))))</f>
        <v>1.02473414562848</v>
      </c>
      <c r="E903" s="51" t="n">
        <f aca="false">1+IF($G$9=$E$9,$F$9,IF(S903&lt;($F$9-$E$9)/($G$9-$E$9),$E$9+SQRT(S903*($G$9-$E$9)*($F$9-$E$9)),$G$9-SQRT((1-S903)*($G$9-$E$9)*($G$9-$F$9))))</f>
        <v>0.973026136964443</v>
      </c>
      <c r="F903" s="51" t="n">
        <f aca="false">1+IF($G$10=$E$10,$F$10,IF(T903&lt;($F$10-$E$10)/($G$10-$E$10),$E$10+SQRT(T903*($G$10-$E$10)*($F$10-$E$10)),$G$10-SQRT((1-T903)*($G$10-$E$10)*($G$10-$F$10))))</f>
        <v>0.992764113509612</v>
      </c>
      <c r="G903" s="52" t="n">
        <f aca="false">IF($G$11=$E$11,$F$11,IF(U903&lt;($F$11-$E$11)/($G$11-$E$11),$E$11+SQRT(U903*($G$11-$E$11)*($F$11-$E$11)),$G$11-SQRT((1-U903)*($G$11-$E$11)*($G$11-$F$11))))</f>
        <v>0.104745092866092</v>
      </c>
      <c r="H903" s="53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-1985528227.01922</v>
      </c>
      <c r="I903" s="53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63512769.8379593</v>
      </c>
      <c r="J903" s="53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424404064.369927</v>
      </c>
      <c r="K903" s="53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834933564.577375</v>
      </c>
      <c r="L903" s="53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995055860.532499</v>
      </c>
      <c r="M903" s="53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1214094448.31041</v>
      </c>
      <c r="N903" s="53" t="n">
        <f aca="false">IF(COUNT('Business Case'!B11:G11)=0,"",H903+NPV(G903,I903:M903))</f>
        <v>444793432.367668</v>
      </c>
      <c r="P903" s="54" t="n">
        <f aca="true">RAND()</f>
        <v>0.977264324015023</v>
      </c>
      <c r="Q903" s="54" t="n">
        <f aca="true">RAND()</f>
        <v>0.977807678494125</v>
      </c>
      <c r="R903" s="54" t="n">
        <f aca="true">RAND()</f>
        <v>0.622336744381675</v>
      </c>
      <c r="S903" s="54" t="n">
        <f aca="true">RAND()</f>
        <v>0.213312667197982</v>
      </c>
      <c r="T903" s="54" t="n">
        <f aca="true">RAND()</f>
        <v>0.121917960284197</v>
      </c>
      <c r="U903" s="54" t="n">
        <f aca="true">RAND()</f>
        <v>0.574793110438463</v>
      </c>
    </row>
    <row r="904" customFormat="false" ht="15" hidden="false" customHeight="false" outlineLevel="0" collapsed="false">
      <c r="A904" s="50" t="n">
        <v>824</v>
      </c>
      <c r="B904" s="51" t="n">
        <f aca="false">1+IF($G$6=$E$6,$F$6,IF(P904&lt;($F$6-$E$6)/($G$6-$E$6),$E$6+SQRT(P904*($G$6-$E$6)*($F$6-$E$6)),$G$6-SQRT((1-P904)*($G$6-$E$6)*($G$6-$F$6))))</f>
        <v>1.00158315109883</v>
      </c>
      <c r="C904" s="51" t="n">
        <f aca="false">1+IF($G$7=$E$7,$F$7,IF(Q904&lt;($F$7-$E$7)/($G$7-$E$7),$E$7+SQRT(Q904*($G$7-$E$7)*($F$7-$E$7)),$G$7-SQRT((1-Q904)*($G$7-$E$7)*($G$7-$F$7))))</f>
        <v>0.915230130438443</v>
      </c>
      <c r="D904" s="51" t="n">
        <f aca="false">1+IF($G$8=$E$8,$F$8,IF(R904&lt;($F$8-$E$8)/($G$8-$E$8),$E$8+SQRT(R904*($G$8-$E$8)*($F$8-$E$8)),$G$8-SQRT((1-R904)*($G$8-$E$8)*($G$8-$F$8))))</f>
        <v>1.01422190733958</v>
      </c>
      <c r="E904" s="51" t="n">
        <f aca="false">1+IF($G$9=$E$9,$F$9,IF(S904&lt;($F$9-$E$9)/($G$9-$E$9),$E$9+SQRT(S904*($G$9-$E$9)*($F$9-$E$9)),$G$9-SQRT((1-S904)*($G$9-$E$9)*($G$9-$F$9))))</f>
        <v>1.00005145932467</v>
      </c>
      <c r="F904" s="51" t="n">
        <f aca="false">1+IF($G$10=$E$10,$F$10,IF(T904&lt;($F$10-$E$10)/($G$10-$E$10),$E$10+SQRT(T904*($G$10-$E$10)*($F$10-$E$10)),$G$10-SQRT((1-T904)*($G$10-$E$10)*($G$10-$F$10))))</f>
        <v>1.23098585719693</v>
      </c>
      <c r="G904" s="52" t="n">
        <f aca="false">IF($G$11=$E$11,$F$11,IF(U904&lt;($F$11-$E$11)/($G$11-$E$11),$E$11+SQRT(U904*($G$11-$E$11)*($F$11-$E$11)),$G$11-SQRT((1-U904)*($G$11-$E$11)*($G$11-$F$11))))</f>
        <v>0.090616641429824</v>
      </c>
      <c r="H904" s="53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-2461971714.39387</v>
      </c>
      <c r="I904" s="53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-37188302.7849478</v>
      </c>
      <c r="J904" s="53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238449941.070588</v>
      </c>
      <c r="K904" s="53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575637477.785972</v>
      </c>
      <c r="L904" s="53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699197321.341032</v>
      </c>
      <c r="M904" s="53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873439680.492048</v>
      </c>
      <c r="N904" s="53" t="n">
        <f aca="false">IF(COUNT('Business Case'!B11:G11)=0,"",H904+NPV(G904,I904:M904))</f>
        <v>-791571714.671431</v>
      </c>
      <c r="P904" s="54" t="n">
        <f aca="true">RAND()</f>
        <v>0.687441165664111</v>
      </c>
      <c r="Q904" s="54" t="n">
        <f aca="true">RAND()</f>
        <v>0.34314080776703</v>
      </c>
      <c r="R904" s="54" t="n">
        <f aca="true">RAND()</f>
        <v>0.509474587969412</v>
      </c>
      <c r="S904" s="54" t="n">
        <f aca="true">RAND()</f>
        <v>0.400411603982391</v>
      </c>
      <c r="T904" s="54" t="n">
        <f aca="true">RAND()</f>
        <v>0.995179498312861</v>
      </c>
      <c r="U904" s="54" t="n">
        <f aca="true">RAND()</f>
        <v>0.112713075249456</v>
      </c>
    </row>
    <row r="905" customFormat="false" ht="15" hidden="false" customHeight="false" outlineLevel="0" collapsed="false">
      <c r="A905" s="50" t="n">
        <v>825</v>
      </c>
      <c r="B905" s="51" t="n">
        <f aca="false">1+IF($G$6=$E$6,$F$6,IF(P905&lt;($F$6-$E$6)/($G$6-$E$6),$E$6+SQRT(P905*($G$6-$E$6)*($F$6-$E$6)),$G$6-SQRT((1-P905)*($G$6-$E$6)*($G$6-$F$6))))</f>
        <v>0.988921413165975</v>
      </c>
      <c r="C905" s="51" t="n">
        <f aca="false">1+IF($G$7=$E$7,$F$7,IF(Q905&lt;($F$7-$E$7)/($G$7-$E$7),$E$7+SQRT(Q905*($G$7-$E$7)*($F$7-$E$7)),$G$7-SQRT((1-Q905)*($G$7-$E$7)*($G$7-$F$7))))</f>
        <v>0.997297169173212</v>
      </c>
      <c r="D905" s="51" t="n">
        <f aca="false">1+IF($G$8=$E$8,$F$8,IF(R905&lt;($F$8-$E$8)/($G$8-$E$8),$E$8+SQRT(R905*($G$8-$E$8)*($F$8-$E$8)),$G$8-SQRT((1-R905)*($G$8-$E$8)*($G$8-$F$8))))</f>
        <v>0.984523553633344</v>
      </c>
      <c r="E905" s="51" t="n">
        <f aca="false">1+IF($G$9=$E$9,$F$9,IF(S905&lt;($F$9-$E$9)/($G$9-$E$9),$E$9+SQRT(S905*($G$9-$E$9)*($F$9-$E$9)),$G$9-SQRT((1-S905)*($G$9-$E$9)*($G$9-$F$9))))</f>
        <v>0.974297720700493</v>
      </c>
      <c r="F905" s="51" t="n">
        <f aca="false">1+IF($G$10=$E$10,$F$10,IF(T905&lt;($F$10-$E$10)/($G$10-$E$10),$E$10+SQRT(T905*($G$10-$E$10)*($F$10-$E$10)),$G$10-SQRT((1-T905)*($G$10-$E$10)*($G$10-$F$10))))</f>
        <v>1.06113167657264</v>
      </c>
      <c r="G905" s="52" t="n">
        <f aca="false">IF($G$11=$E$11,$F$11,IF(U905&lt;($F$11-$E$11)/($G$11-$E$11),$E$11+SQRT(U905*($G$11-$E$11)*($F$11-$E$11)),$G$11-SQRT((1-U905)*($G$11-$E$11)*($G$11-$F$11))))</f>
        <v>0.107906863333672</v>
      </c>
      <c r="H905" s="53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-2122263353.14528</v>
      </c>
      <c r="I905" s="53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9388047.32760412</v>
      </c>
      <c r="J905" s="53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314561521.777971</v>
      </c>
      <c r="K905" s="53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672791580.056971</v>
      </c>
      <c r="L905" s="53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808600820.595019</v>
      </c>
      <c r="M905" s="53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996066940.395278</v>
      </c>
      <c r="N905" s="53" t="n">
        <f aca="false">IF(COUNT('Business Case'!B11:G11)=0,"",H905+NPV(G905,I905:M905))</f>
        <v>-229376592.311535</v>
      </c>
      <c r="P905" s="54" t="n">
        <f aca="true">RAND()</f>
        <v>0.52713451462894</v>
      </c>
      <c r="Q905" s="54" t="n">
        <f aca="true">RAND()</f>
        <v>0.654708198506709</v>
      </c>
      <c r="R905" s="54" t="n">
        <f aca="true">RAND()</f>
        <v>0.158916767396582</v>
      </c>
      <c r="S905" s="54" t="n">
        <f aca="true">RAND()</f>
        <v>0.220806052051536</v>
      </c>
      <c r="T905" s="54" t="n">
        <f aca="true">RAND()</f>
        <v>0.524383418743185</v>
      </c>
      <c r="U905" s="54" t="n">
        <f aca="true">RAND()</f>
        <v>0.674595541495297</v>
      </c>
    </row>
    <row r="906" customFormat="false" ht="15" hidden="false" customHeight="false" outlineLevel="0" collapsed="false">
      <c r="A906" s="50" t="n">
        <v>826</v>
      </c>
      <c r="B906" s="51" t="n">
        <f aca="false">1+IF($G$6=$E$6,$F$6,IF(P906&lt;($F$6-$E$6)/($G$6-$E$6),$E$6+SQRT(P906*($G$6-$E$6)*($F$6-$E$6)),$G$6-SQRT((1-P906)*($G$6-$E$6)*($G$6-$F$6))))</f>
        <v>0.936671700467819</v>
      </c>
      <c r="C906" s="51" t="n">
        <f aca="false">1+IF($G$7=$E$7,$F$7,IF(Q906&lt;($F$7-$E$7)/($G$7-$E$7),$E$7+SQRT(Q906*($G$7-$E$7)*($F$7-$E$7)),$G$7-SQRT((1-Q906)*($G$7-$E$7)*($G$7-$F$7))))</f>
        <v>0.908676751521593</v>
      </c>
      <c r="D906" s="51" t="n">
        <f aca="false">1+IF($G$8=$E$8,$F$8,IF(R906&lt;($F$8-$E$8)/($G$8-$E$8),$E$8+SQRT(R906*($G$8-$E$8)*($F$8-$E$8)),$G$8-SQRT((1-R906)*($G$8-$E$8)*($G$8-$F$8))))</f>
        <v>1.05576958914344</v>
      </c>
      <c r="E906" s="51" t="n">
        <f aca="false">1+IF($G$9=$E$9,$F$9,IF(S906&lt;($F$9-$E$9)/($G$9-$E$9),$E$9+SQRT(S906*($G$9-$E$9)*($F$9-$E$9)),$G$9-SQRT((1-S906)*($G$9-$E$9)*($G$9-$F$9))))</f>
        <v>0.920017327803986</v>
      </c>
      <c r="F906" s="51" t="n">
        <f aca="false">1+IF($G$10=$E$10,$F$10,IF(T906&lt;($F$10-$E$10)/($G$10-$E$10),$E$10+SQRT(T906*($G$10-$E$10)*($F$10-$E$10)),$G$10-SQRT((1-T906)*($G$10-$E$10)*($G$10-$F$10))))</f>
        <v>1.09008177588397</v>
      </c>
      <c r="G906" s="52" t="n">
        <f aca="false">IF($G$11=$E$11,$F$11,IF(U906&lt;($F$11-$E$11)/($G$11-$E$11),$E$11+SQRT(U906*($G$11-$E$11)*($F$11-$E$11)),$G$11-SQRT((1-U906)*($G$11-$E$11)*($G$11-$F$11))))</f>
        <v>0.100449184404936</v>
      </c>
      <c r="H906" s="53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-2180163551.76794</v>
      </c>
      <c r="I906" s="53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-77931221.3551514</v>
      </c>
      <c r="J906" s="53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128094871.301349</v>
      </c>
      <c r="K906" s="53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388625052.752049</v>
      </c>
      <c r="L906" s="53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486715531.910567</v>
      </c>
      <c r="M906" s="53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648498664.078837</v>
      </c>
      <c r="N906" s="53" t="n">
        <f aca="false">IF(COUNT('Business Case'!B11:G11)=0,"",H906+NPV(G906,I906:M906))</f>
        <v>-1119845390.74014</v>
      </c>
      <c r="P906" s="54" t="n">
        <f aca="true">RAND()</f>
        <v>0.0896542410134274</v>
      </c>
      <c r="Q906" s="54" t="n">
        <f aca="true">RAND()</f>
        <v>0.322562863893367</v>
      </c>
      <c r="R906" s="54" t="n">
        <f aca="true">RAND()</f>
        <v>0.869578050364002</v>
      </c>
      <c r="S906" s="54" t="n">
        <f aca="true">RAND()</f>
        <v>0.0160277364964898</v>
      </c>
      <c r="T906" s="54" t="n">
        <f aca="true">RAND()</f>
        <v>0.659015487941011</v>
      </c>
      <c r="U906" s="54" t="n">
        <f aca="true">RAND()</f>
        <v>0.417832865111022</v>
      </c>
    </row>
    <row r="907" customFormat="false" ht="15" hidden="false" customHeight="false" outlineLevel="0" collapsed="false">
      <c r="A907" s="50" t="n">
        <v>827</v>
      </c>
      <c r="B907" s="51" t="n">
        <f aca="false">1+IF($G$6=$E$6,$F$6,IF(P907&lt;($F$6-$E$6)/($G$6-$E$6),$E$6+SQRT(P907*($G$6-$E$6)*($F$6-$E$6)),$G$6-SQRT((1-P907)*($G$6-$E$6)*($G$6-$F$6))))</f>
        <v>0.972933703054137</v>
      </c>
      <c r="C907" s="51" t="n">
        <f aca="false">1+IF($G$7=$E$7,$F$7,IF(Q907&lt;($F$7-$E$7)/($G$7-$E$7),$E$7+SQRT(Q907*($G$7-$E$7)*($F$7-$E$7)),$G$7-SQRT((1-Q907)*($G$7-$E$7)*($G$7-$F$7))))</f>
        <v>1.09018172555448</v>
      </c>
      <c r="D907" s="51" t="n">
        <f aca="false">1+IF($G$8=$E$8,$F$8,IF(R907&lt;($F$8-$E$8)/($G$8-$E$8),$E$8+SQRT(R907*($G$8-$E$8)*($F$8-$E$8)),$G$8-SQRT((1-R907)*($G$8-$E$8)*($G$8-$F$8))))</f>
        <v>0.993554932659479</v>
      </c>
      <c r="E907" s="51" t="n">
        <f aca="false">1+IF($G$9=$E$9,$F$9,IF(S907&lt;($F$9-$E$9)/($G$9-$E$9),$E$9+SQRT(S907*($G$9-$E$9)*($F$9-$E$9)),$G$9-SQRT((1-S907)*($G$9-$E$9)*($G$9-$F$9))))</f>
        <v>1.10565064926898</v>
      </c>
      <c r="F907" s="51" t="n">
        <f aca="false">1+IF($G$10=$E$10,$F$10,IF(T907&lt;($F$10-$E$10)/($G$10-$E$10),$E$10+SQRT(T907*($G$10-$E$10)*($F$10-$E$10)),$G$10-SQRT((1-T907)*($G$10-$E$10)*($G$10-$F$10))))</f>
        <v>1.03960182692366</v>
      </c>
      <c r="G907" s="52" t="n">
        <f aca="false">IF($G$11=$E$11,$F$11,IF(U907&lt;($F$11-$E$11)/($G$11-$E$11),$E$11+SQRT(U907*($G$11-$E$11)*($F$11-$E$11)),$G$11-SQRT((1-U907)*($G$11-$E$11)*($G$11-$F$11))))</f>
        <v>0.0841182393055716</v>
      </c>
      <c r="H907" s="53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-2079203653.84733</v>
      </c>
      <c r="I907" s="53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-1889182.05145758</v>
      </c>
      <c r="J907" s="53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312390709.237356</v>
      </c>
      <c r="K907" s="53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678650691.872352</v>
      </c>
      <c r="L907" s="53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820067567.849859</v>
      </c>
      <c r="M907" s="53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1021680585.03</v>
      </c>
      <c r="N907" s="53" t="n">
        <f aca="false">IF(COUNT('Business Case'!B11:G11)=0,"",H907+NPV(G907,I907:M907))</f>
        <v>-6635004.84264112</v>
      </c>
      <c r="P907" s="54" t="n">
        <f aca="true">RAND()</f>
        <v>0.354621669412604</v>
      </c>
      <c r="Q907" s="54" t="n">
        <f aca="true">RAND()</f>
        <v>0.946989245072</v>
      </c>
      <c r="R907" s="54" t="n">
        <f aca="true">RAND()</f>
        <v>0.252937621196227</v>
      </c>
      <c r="S907" s="54" t="n">
        <f aca="true">RAND()</f>
        <v>0.947550269059655</v>
      </c>
      <c r="T907" s="54" t="n">
        <f aca="true">RAND()</f>
        <v>0.409768116881865</v>
      </c>
      <c r="U907" s="54" t="n">
        <f aca="true">RAND()</f>
        <v>0.0169598949779551</v>
      </c>
    </row>
    <row r="908" customFormat="false" ht="15" hidden="false" customHeight="false" outlineLevel="0" collapsed="false">
      <c r="A908" s="50" t="n">
        <v>828</v>
      </c>
      <c r="B908" s="51" t="n">
        <f aca="false">1+IF($G$6=$E$6,$F$6,IF(P908&lt;($F$6-$E$6)/($G$6-$E$6),$E$6+SQRT(P908*($G$6-$E$6)*($F$6-$E$6)),$G$6-SQRT((1-P908)*($G$6-$E$6)*($G$6-$F$6))))</f>
        <v>0.935445001239959</v>
      </c>
      <c r="C908" s="51" t="n">
        <f aca="false">1+IF($G$7=$E$7,$F$7,IF(Q908&lt;($F$7-$E$7)/($G$7-$E$7),$E$7+SQRT(Q908*($G$7-$E$7)*($F$7-$E$7)),$G$7-SQRT((1-Q908)*($G$7-$E$7)*($G$7-$F$7))))</f>
        <v>1.04672649736824</v>
      </c>
      <c r="D908" s="51" t="n">
        <f aca="false">1+IF($G$8=$E$8,$F$8,IF(R908&lt;($F$8-$E$8)/($G$8-$E$8),$E$8+SQRT(R908*($G$8-$E$8)*($F$8-$E$8)),$G$8-SQRT((1-R908)*($G$8-$E$8)*($G$8-$F$8))))</f>
        <v>1.01032852712323</v>
      </c>
      <c r="E908" s="51" t="n">
        <f aca="false">1+IF($G$9=$E$9,$F$9,IF(S908&lt;($F$9-$E$9)/($G$9-$E$9),$E$9+SQRT(S908*($G$9-$E$9)*($F$9-$E$9)),$G$9-SQRT((1-S908)*($G$9-$E$9)*($G$9-$F$9))))</f>
        <v>1.05518491856414</v>
      </c>
      <c r="F908" s="51" t="n">
        <f aca="false">1+IF($G$10=$E$10,$F$10,IF(T908&lt;($F$10-$E$10)/($G$10-$E$10),$E$10+SQRT(T908*($G$10-$E$10)*($F$10-$E$10)),$G$10-SQRT((1-T908)*($G$10-$E$10)*($G$10-$F$10))))</f>
        <v>0.988722805894015</v>
      </c>
      <c r="G908" s="52" t="n">
        <f aca="false">IF($G$11=$E$11,$F$11,IF(U908&lt;($F$11-$E$11)/($G$11-$E$11),$E$11+SQRT(U908*($G$11-$E$11)*($F$11-$E$11)),$G$11-SQRT((1-U908)*($G$11-$E$11)*($G$11-$F$11))))</f>
        <v>0.100894483970456</v>
      </c>
      <c r="H908" s="53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-1977445611.78803</v>
      </c>
      <c r="I908" s="53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-39055142.4948529</v>
      </c>
      <c r="J908" s="53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221568689.82906</v>
      </c>
      <c r="K908" s="53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531628662.447673</v>
      </c>
      <c r="L908" s="53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652342872.428672</v>
      </c>
      <c r="M908" s="53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838460668.063664</v>
      </c>
      <c r="N908" s="53" t="n">
        <f aca="false">IF(COUNT('Business Case'!B11:G11)=0,"",H908+NPV(G908,I908:M908))</f>
        <v>-469037425.403376</v>
      </c>
      <c r="P908" s="54" t="n">
        <f aca="true">RAND()</f>
        <v>0.0837565408600451</v>
      </c>
      <c r="Q908" s="54" t="n">
        <f aca="true">RAND()</f>
        <v>0.841993831913599</v>
      </c>
      <c r="R908" s="54" t="n">
        <f aca="true">RAND()</f>
        <v>0.463935130140711</v>
      </c>
      <c r="S908" s="54" t="n">
        <f aca="true">RAND()</f>
        <v>0.760269342194972</v>
      </c>
      <c r="T908" s="54" t="n">
        <f aca="true">RAND()</f>
        <v>0.0999637130870384</v>
      </c>
      <c r="U908" s="54" t="n">
        <f aca="true">RAND()</f>
        <v>0.435245957769293</v>
      </c>
    </row>
    <row r="909" customFormat="false" ht="15" hidden="false" customHeight="false" outlineLevel="0" collapsed="false">
      <c r="A909" s="50" t="n">
        <v>829</v>
      </c>
      <c r="B909" s="51" t="n">
        <f aca="false">1+IF($G$6=$E$6,$F$6,IF(P909&lt;($F$6-$E$6)/($G$6-$E$6),$E$6+SQRT(P909*($G$6-$E$6)*($F$6-$E$6)),$G$6-SQRT((1-P909)*($G$6-$E$6)*($G$6-$F$6))))</f>
        <v>1.00413599570095</v>
      </c>
      <c r="C909" s="51" t="n">
        <f aca="false">1+IF($G$7=$E$7,$F$7,IF(Q909&lt;($F$7-$E$7)/($G$7-$E$7),$E$7+SQRT(Q909*($G$7-$E$7)*($F$7-$E$7)),$G$7-SQRT((1-Q909)*($G$7-$E$7)*($G$7-$F$7))))</f>
        <v>1.06899013652681</v>
      </c>
      <c r="D909" s="51" t="n">
        <f aca="false">1+IF($G$8=$E$8,$F$8,IF(R909&lt;($F$8-$E$8)/($G$8-$E$8),$E$8+SQRT(R909*($G$8-$E$8)*($F$8-$E$8)),$G$8-SQRT((1-R909)*($G$8-$E$8)*($G$8-$F$8))))</f>
        <v>0.97523702888602</v>
      </c>
      <c r="E909" s="51" t="n">
        <f aca="false">1+IF($G$9=$E$9,$F$9,IF(S909&lt;($F$9-$E$9)/($G$9-$E$9),$E$9+SQRT(S909*($G$9-$E$9)*($F$9-$E$9)),$G$9-SQRT((1-S909)*($G$9-$E$9)*($G$9-$F$9))))</f>
        <v>1.02901132284624</v>
      </c>
      <c r="F909" s="51" t="n">
        <f aca="false">1+IF($G$10=$E$10,$F$10,IF(T909&lt;($F$10-$E$10)/($G$10-$E$10),$E$10+SQRT(T909*($G$10-$E$10)*($F$10-$E$10)),$G$10-SQRT((1-T909)*($G$10-$E$10)*($G$10-$F$10))))</f>
        <v>1.04805610380327</v>
      </c>
      <c r="G909" s="52" t="n">
        <f aca="false">IF($G$11=$E$11,$F$11,IF(U909&lt;($F$11-$E$11)/($G$11-$E$11),$E$11+SQRT(U909*($G$11-$E$11)*($F$11-$E$11)),$G$11-SQRT((1-U909)*($G$11-$E$11)*($G$11-$F$11))))</f>
        <v>0.0946703637226597</v>
      </c>
      <c r="H909" s="53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-2096112207.60654</v>
      </c>
      <c r="I909" s="53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38738406.4002458</v>
      </c>
      <c r="J909" s="53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384253484.160596</v>
      </c>
      <c r="K909" s="53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782171367.111108</v>
      </c>
      <c r="L909" s="53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934440160.278587</v>
      </c>
      <c r="M909" s="53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1138474213.47241</v>
      </c>
      <c r="N909" s="53" t="n">
        <f aca="false">IF(COUNT('Business Case'!B11:G11)=0,"",H909+NPV(G909,I909:M909))</f>
        <v>231258469.969538</v>
      </c>
      <c r="P909" s="54" t="n">
        <f aca="true">RAND()</f>
        <v>0.719532414620944</v>
      </c>
      <c r="Q909" s="54" t="n">
        <f aca="true">RAND()</f>
        <v>0.902776326223043</v>
      </c>
      <c r="R909" s="54" t="n">
        <f aca="true">RAND()</f>
        <v>0.0849210169325076</v>
      </c>
      <c r="S909" s="54" t="n">
        <f aca="true">RAND()</f>
        <v>0.609646400015527</v>
      </c>
      <c r="T909" s="54" t="n">
        <f aca="true">RAND()</f>
        <v>0.456248837185112</v>
      </c>
      <c r="U909" s="54" t="n">
        <f aca="true">RAND()</f>
        <v>0.215219571755129</v>
      </c>
    </row>
    <row r="910" customFormat="false" ht="15" hidden="false" customHeight="false" outlineLevel="0" collapsed="false">
      <c r="A910" s="50" t="n">
        <v>830</v>
      </c>
      <c r="B910" s="51" t="n">
        <f aca="false">1+IF($G$6=$E$6,$F$6,IF(P910&lt;($F$6-$E$6)/($G$6-$E$6),$E$6+SQRT(P910*($G$6-$E$6)*($F$6-$E$6)),$G$6-SQRT((1-P910)*($G$6-$E$6)*($G$6-$F$6))))</f>
        <v>1.0132932759494</v>
      </c>
      <c r="C910" s="51" t="n">
        <f aca="false">1+IF($G$7=$E$7,$F$7,IF(Q910&lt;($F$7-$E$7)/($G$7-$E$7),$E$7+SQRT(Q910*($G$7-$E$7)*($F$7-$E$7)),$G$7-SQRT((1-Q910)*($G$7-$E$7)*($G$7-$F$7))))</f>
        <v>0.893261048635166</v>
      </c>
      <c r="D910" s="51" t="n">
        <f aca="false">1+IF($G$8=$E$8,$F$8,IF(R910&lt;($F$8-$E$8)/($G$8-$E$8),$E$8+SQRT(R910*($G$8-$E$8)*($F$8-$E$8)),$G$8-SQRT((1-R910)*($G$8-$E$8)*($G$8-$F$8))))</f>
        <v>1.04037280717122</v>
      </c>
      <c r="E910" s="51" t="n">
        <f aca="false">1+IF($G$9=$E$9,$F$9,IF(S910&lt;($F$9-$E$9)/($G$9-$E$9),$E$9+SQRT(S910*($G$9-$E$9)*($F$9-$E$9)),$G$9-SQRT((1-S910)*($G$9-$E$9)*($G$9-$F$9))))</f>
        <v>0.906740162658127</v>
      </c>
      <c r="F910" s="51" t="n">
        <f aca="false">1+IF($G$10=$E$10,$F$10,IF(T910&lt;($F$10-$E$10)/($G$10-$E$10),$E$10+SQRT(T910*($G$10-$E$10)*($F$10-$E$10)),$G$10-SQRT((1-T910)*($G$10-$E$10)*($G$10-$F$10))))</f>
        <v>1.037956789298</v>
      </c>
      <c r="G910" s="52" t="n">
        <f aca="false">IF($G$11=$E$11,$F$11,IF(U910&lt;($F$11-$E$11)/($G$11-$E$11),$E$11+SQRT(U910*($G$11-$E$11)*($F$11-$E$11)),$G$11-SQRT((1-U910)*($G$11-$E$11)*($G$11-$F$11))))</f>
        <v>0.114083058602366</v>
      </c>
      <c r="H910" s="53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-2075913578.59601</v>
      </c>
      <c r="I910" s="53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-14025076.3630244</v>
      </c>
      <c r="J910" s="53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251606197.208432</v>
      </c>
      <c r="K910" s="53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569135310.24479</v>
      </c>
      <c r="L910" s="53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688960548.018405</v>
      </c>
      <c r="M910" s="53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861008687.558954</v>
      </c>
      <c r="N910" s="53" t="n">
        <f aca="false">IF(COUNT('Business Case'!B11:G11)=0,"",H910+NPV(G910,I910:M910))</f>
        <v>-525304487.920453</v>
      </c>
      <c r="P910" s="54" t="n">
        <f aca="true">RAND()</f>
        <v>0.820348854596375</v>
      </c>
      <c r="Q910" s="54" t="n">
        <f aca="true">RAND()</f>
        <v>0.276665429033807</v>
      </c>
      <c r="R910" s="54" t="n">
        <f aca="true">RAND()</f>
        <v>0.762973191690658</v>
      </c>
      <c r="S910" s="54" t="n">
        <f aca="true">RAND()</f>
        <v>0.00181719170632019</v>
      </c>
      <c r="T910" s="54" t="n">
        <f aca="true">RAND()</f>
        <v>0.400502357269187</v>
      </c>
      <c r="U910" s="54" t="n">
        <f aca="true">RAND()</f>
        <v>0.831100651029528</v>
      </c>
    </row>
    <row r="911" customFormat="false" ht="15" hidden="false" customHeight="false" outlineLevel="0" collapsed="false">
      <c r="A911" s="50" t="n">
        <v>831</v>
      </c>
      <c r="B911" s="51" t="n">
        <f aca="false">1+IF($G$6=$E$6,$F$6,IF(P911&lt;($F$6-$E$6)/($G$6-$E$6),$E$6+SQRT(P911*($G$6-$E$6)*($F$6-$E$6)),$G$6-SQRT((1-P911)*($G$6-$E$6)*($G$6-$F$6))))</f>
        <v>0.998249673491025</v>
      </c>
      <c r="C911" s="51" t="n">
        <f aca="false">1+IF($G$7=$E$7,$F$7,IF(Q911&lt;($F$7-$E$7)/($G$7-$E$7),$E$7+SQRT(Q911*($G$7-$E$7)*($F$7-$E$7)),$G$7-SQRT((1-Q911)*($G$7-$E$7)*($G$7-$F$7))))</f>
        <v>0.85927041246227</v>
      </c>
      <c r="D911" s="51" t="n">
        <f aca="false">1+IF($G$8=$E$8,$F$8,IF(R911&lt;($F$8-$E$8)/($G$8-$E$8),$E$8+SQRT(R911*($G$8-$E$8)*($F$8-$E$8)),$G$8-SQRT((1-R911)*($G$8-$E$8)*($G$8-$F$8))))</f>
        <v>1.09288333650961</v>
      </c>
      <c r="E911" s="51" t="n">
        <f aca="false">1+IF($G$9=$E$9,$F$9,IF(S911&lt;($F$9-$E$9)/($G$9-$E$9),$E$9+SQRT(S911*($G$9-$E$9)*($F$9-$E$9)),$G$9-SQRT((1-S911)*($G$9-$E$9)*($G$9-$F$9))))</f>
        <v>0.998429293010318</v>
      </c>
      <c r="F911" s="51" t="n">
        <f aca="false">1+IF($G$10=$E$10,$F$10,IF(T911&lt;($F$10-$E$10)/($G$10-$E$10),$E$10+SQRT(T911*($G$10-$E$10)*($F$10-$E$10)),$G$10-SQRT((1-T911)*($G$10-$E$10)*($G$10-$F$10))))</f>
        <v>1.02251832176308</v>
      </c>
      <c r="G911" s="52" t="n">
        <f aca="false">IF($G$11=$E$11,$F$11,IF(U911&lt;($F$11-$E$11)/($G$11-$E$11),$E$11+SQRT(U911*($G$11-$E$11)*($F$11-$E$11)),$G$11-SQRT((1-U911)*($G$11-$E$11)*($G$11-$F$11))))</f>
        <v>0.0975670589548415</v>
      </c>
      <c r="H911" s="53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-2045036643.52617</v>
      </c>
      <c r="I911" s="53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-66857659.2439447</v>
      </c>
      <c r="J911" s="53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154979769.780507</v>
      </c>
      <c r="K911" s="53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427943114.893114</v>
      </c>
      <c r="L911" s="53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531533331.651945</v>
      </c>
      <c r="M911" s="53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694577570.614022</v>
      </c>
      <c r="N911" s="53" t="n">
        <f aca="false">IF(COUNT('Business Case'!B11:G11)=0,"",H911+NPV(G911,I911:M911))</f>
        <v>-851283904.95115</v>
      </c>
      <c r="P911" s="54" t="n">
        <f aca="true">RAND()</f>
        <v>0.643533222739541</v>
      </c>
      <c r="Q911" s="54" t="n">
        <f aca="true">RAND()</f>
        <v>0.187904179895567</v>
      </c>
      <c r="R911" s="54" t="n">
        <f aca="true">RAND()</f>
        <v>0.996623540050969</v>
      </c>
      <c r="S911" s="54" t="n">
        <f aca="true">RAND()</f>
        <v>0.387533028900443</v>
      </c>
      <c r="T911" s="54" t="n">
        <f aca="true">RAND()</f>
        <v>0.310027814220213</v>
      </c>
      <c r="U911" s="54" t="n">
        <f aca="true">RAND()</f>
        <v>0.308601560322878</v>
      </c>
    </row>
    <row r="912" customFormat="false" ht="15" hidden="false" customHeight="false" outlineLevel="0" collapsed="false">
      <c r="A912" s="50" t="n">
        <v>832</v>
      </c>
      <c r="B912" s="51" t="n">
        <f aca="false">1+IF($G$6=$E$6,$F$6,IF(P912&lt;($F$6-$E$6)/($G$6-$E$6),$E$6+SQRT(P912*($G$6-$E$6)*($F$6-$E$6)),$G$6-SQRT((1-P912)*($G$6-$E$6)*($G$6-$F$6))))</f>
        <v>0.964001146480356</v>
      </c>
      <c r="C912" s="51" t="n">
        <f aca="false">1+IF($G$7=$E$7,$F$7,IF(Q912&lt;($F$7-$E$7)/($G$7-$E$7),$E$7+SQRT(Q912*($G$7-$E$7)*($F$7-$E$7)),$G$7-SQRT((1-Q912)*($G$7-$E$7)*($G$7-$F$7))))</f>
        <v>0.896901665928865</v>
      </c>
      <c r="D912" s="51" t="n">
        <f aca="false">1+IF($G$8=$E$8,$F$8,IF(R912&lt;($F$8-$E$8)/($G$8-$E$8),$E$8+SQRT(R912*($G$8-$E$8)*($F$8-$E$8)),$G$8-SQRT((1-R912)*($G$8-$E$8)*($G$8-$F$8))))</f>
        <v>0.973454611892028</v>
      </c>
      <c r="E912" s="51" t="n">
        <f aca="false">1+IF($G$9=$E$9,$F$9,IF(S912&lt;($F$9-$E$9)/($G$9-$E$9),$E$9+SQRT(S912*($G$9-$E$9)*($F$9-$E$9)),$G$9-SQRT((1-S912)*($G$9-$E$9)*($G$9-$F$9))))</f>
        <v>1.09845861761971</v>
      </c>
      <c r="F912" s="51" t="n">
        <f aca="false">1+IF($G$10=$E$10,$F$10,IF(T912&lt;($F$10-$E$10)/($G$10-$E$10),$E$10+SQRT(T912*($G$10-$E$10)*($F$10-$E$10)),$G$10-SQRT((1-T912)*($G$10-$E$10)*($G$10-$F$10))))</f>
        <v>1.143336482581</v>
      </c>
      <c r="G912" s="52" t="n">
        <f aca="false">IF($G$11=$E$11,$F$11,IF(U912&lt;($F$11-$E$11)/($G$11-$E$11),$E$11+SQRT(U912*($G$11-$E$11)*($F$11-$E$11)),$G$11-SQRT((1-U912)*($G$11-$E$11)*($G$11-$F$11))))</f>
        <v>0.0826737933054836</v>
      </c>
      <c r="H912" s="53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-2286672965.162</v>
      </c>
      <c r="I912" s="53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-54128556.3909458</v>
      </c>
      <c r="J912" s="53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207098952.804504</v>
      </c>
      <c r="K912" s="53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525493286.129003</v>
      </c>
      <c r="L912" s="53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642450190.462668</v>
      </c>
      <c r="M912" s="53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806796064.106164</v>
      </c>
      <c r="N912" s="53" t="n">
        <f aca="false">IF(COUNT('Business Case'!B11:G11)=0,"",H912+NPV(G912,I912:M912))</f>
        <v>-736002131.187541</v>
      </c>
      <c r="P912" s="54" t="n">
        <f aca="true">RAND()</f>
        <v>0.273076450053328</v>
      </c>
      <c r="Q912" s="54" t="n">
        <f aca="true">RAND()</f>
        <v>0.287187155893054</v>
      </c>
      <c r="R912" s="54" t="n">
        <f aca="true">RAND()</f>
        <v>0.073349175867422</v>
      </c>
      <c r="S912" s="54" t="n">
        <f aca="true">RAND()</f>
        <v>0.929159624062113</v>
      </c>
      <c r="T912" s="54" t="n">
        <f aca="true">RAND()</f>
        <v>0.84830525402409</v>
      </c>
      <c r="U912" s="54" t="n">
        <f aca="true">RAND()</f>
        <v>0.00714917064044887</v>
      </c>
    </row>
    <row r="913" customFormat="false" ht="15" hidden="false" customHeight="false" outlineLevel="0" collapsed="false">
      <c r="A913" s="50" t="n">
        <v>833</v>
      </c>
      <c r="B913" s="51" t="n">
        <f aca="false">1+IF($G$6=$E$6,$F$6,IF(P913&lt;($F$6-$E$6)/($G$6-$E$6),$E$6+SQRT(P913*($G$6-$E$6)*($F$6-$E$6)),$G$6-SQRT((1-P913)*($G$6-$E$6)*($G$6-$F$6))))</f>
        <v>0.942123886995017</v>
      </c>
      <c r="C913" s="51" t="n">
        <f aca="false">1+IF($G$7=$E$7,$F$7,IF(Q913&lt;($F$7-$E$7)/($G$7-$E$7),$E$7+SQRT(Q913*($G$7-$E$7)*($F$7-$E$7)),$G$7-SQRT((1-Q913)*($G$7-$E$7)*($G$7-$F$7))))</f>
        <v>0.922210428961585</v>
      </c>
      <c r="D913" s="51" t="n">
        <f aca="false">1+IF($G$8=$E$8,$F$8,IF(R913&lt;($F$8-$E$8)/($G$8-$E$8),$E$8+SQRT(R913*($G$8-$E$8)*($F$8-$E$8)),$G$8-SQRT((1-R913)*($G$8-$E$8)*($G$8-$F$8))))</f>
        <v>1.04625717689114</v>
      </c>
      <c r="E913" s="51" t="n">
        <f aca="false">1+IF($G$9=$E$9,$F$9,IF(S913&lt;($F$9-$E$9)/($G$9-$E$9),$E$9+SQRT(S913*($G$9-$E$9)*($F$9-$E$9)),$G$9-SQRT((1-S913)*($G$9-$E$9)*($G$9-$F$9))))</f>
        <v>1.13009864838205</v>
      </c>
      <c r="F913" s="51" t="n">
        <f aca="false">1+IF($G$10=$E$10,$F$10,IF(T913&lt;($F$10-$E$10)/($G$10-$E$10),$E$10+SQRT(T913*($G$10-$E$10)*($F$10-$E$10)),$G$10-SQRT((1-T913)*($G$10-$E$10)*($G$10-$F$10))))</f>
        <v>1.07525771196961</v>
      </c>
      <c r="G913" s="52" t="n">
        <f aca="false">IF($G$11=$E$11,$F$11,IF(U913&lt;($F$11-$E$11)/($G$11-$E$11),$E$11+SQRT(U913*($G$11-$E$11)*($F$11-$E$11)),$G$11-SQRT((1-U913)*($G$11-$E$11)*($G$11-$F$11))))</f>
        <v>0.101370071362888</v>
      </c>
      <c r="H913" s="53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-2150515423.93922</v>
      </c>
      <c r="I913" s="53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-95562535.1760511</v>
      </c>
      <c r="J913" s="53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122141211.454905</v>
      </c>
      <c r="K913" s="53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393607843.684342</v>
      </c>
      <c r="L913" s="53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496202747.768073</v>
      </c>
      <c r="M913" s="53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661351184.73851</v>
      </c>
      <c r="N913" s="53" t="n">
        <f aca="false">IF(COUNT('Business Case'!B11:G11)=0,"",H913+NPV(G913,I913:M913))</f>
        <v>-1096639920.03877</v>
      </c>
      <c r="P913" s="54" t="n">
        <f aca="true">RAND()</f>
        <v>0.118294790371262</v>
      </c>
      <c r="Q913" s="54" t="n">
        <f aca="true">RAND()</f>
        <v>0.365759072142901</v>
      </c>
      <c r="R913" s="54" t="n">
        <f aca="true">RAND()</f>
        <v>0.807447264286001</v>
      </c>
      <c r="S913" s="54" t="n">
        <f aca="true">RAND()</f>
        <v>0.989438298767431</v>
      </c>
      <c r="T913" s="54" t="n">
        <f aca="true">RAND()</f>
        <v>0.592868436985379</v>
      </c>
      <c r="U913" s="54" t="n">
        <f aca="true">RAND()</f>
        <v>0.453551457489263</v>
      </c>
    </row>
    <row r="914" customFormat="false" ht="15" hidden="false" customHeight="false" outlineLevel="0" collapsed="false">
      <c r="A914" s="50" t="n">
        <v>834</v>
      </c>
      <c r="B914" s="51" t="n">
        <f aca="false">1+IF($G$6=$E$6,$F$6,IF(P914&lt;($F$6-$E$6)/($G$6-$E$6),$E$6+SQRT(P914*($G$6-$E$6)*($F$6-$E$6)),$G$6-SQRT((1-P914)*($G$6-$E$6)*($G$6-$F$6))))</f>
        <v>1.03597058383076</v>
      </c>
      <c r="C914" s="51" t="n">
        <f aca="false">1+IF($G$7=$E$7,$F$7,IF(Q914&lt;($F$7-$E$7)/($G$7-$E$7),$E$7+SQRT(Q914*($G$7-$E$7)*($F$7-$E$7)),$G$7-SQRT((1-Q914)*($G$7-$E$7)*($G$7-$F$7))))</f>
        <v>0.94416437175646</v>
      </c>
      <c r="D914" s="51" t="n">
        <f aca="false">1+IF($G$8=$E$8,$F$8,IF(R914&lt;($F$8-$E$8)/($G$8-$E$8),$E$8+SQRT(R914*($G$8-$E$8)*($F$8-$E$8)),$G$8-SQRT((1-R914)*($G$8-$E$8)*($G$8-$F$8))))</f>
        <v>0.992606197461975</v>
      </c>
      <c r="E914" s="51" t="n">
        <f aca="false">1+IF($G$9=$E$9,$F$9,IF(S914&lt;($F$9-$E$9)/($G$9-$E$9),$E$9+SQRT(S914*($G$9-$E$9)*($F$9-$E$9)),$G$9-SQRT((1-S914)*($G$9-$E$9)*($G$9-$F$9))))</f>
        <v>0.912712824692901</v>
      </c>
      <c r="F914" s="51" t="n">
        <f aca="false">1+IF($G$10=$E$10,$F$10,IF(T914&lt;($F$10-$E$10)/($G$10-$E$10),$E$10+SQRT(T914*($G$10-$E$10)*($F$10-$E$10)),$G$10-SQRT((1-T914)*($G$10-$E$10)*($G$10-$F$10))))</f>
        <v>1.05907058431425</v>
      </c>
      <c r="G914" s="52" t="n">
        <f aca="false">IF($G$11=$E$11,$F$11,IF(U914&lt;($F$11-$E$11)/($G$11-$E$11),$E$11+SQRT(U914*($G$11-$E$11)*($F$11-$E$11)),$G$11-SQRT((1-U914)*($G$11-$E$11)*($G$11-$F$11))))</f>
        <v>0.0915814549954836</v>
      </c>
      <c r="H914" s="53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-2118141168.6285</v>
      </c>
      <c r="I914" s="53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34992210.9683589</v>
      </c>
      <c r="J914" s="53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356385322.599921</v>
      </c>
      <c r="K914" s="53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730731963.447196</v>
      </c>
      <c r="L914" s="53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871667053.031349</v>
      </c>
      <c r="M914" s="53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1057589341.08633</v>
      </c>
      <c r="N914" s="53" t="n">
        <f aca="false">IF(COUNT('Business Case'!B11:G11)=0,"",H914+NPV(G914,I914:M914))</f>
        <v>71155299.1361222</v>
      </c>
      <c r="P914" s="54" t="n">
        <f aca="true">RAND()</f>
        <v>0.973756730926714</v>
      </c>
      <c r="Q914" s="54" t="n">
        <f aca="true">RAND()</f>
        <v>0.441601781001681</v>
      </c>
      <c r="R914" s="54" t="n">
        <f aca="true">RAND()</f>
        <v>0.242038408289174</v>
      </c>
      <c r="S914" s="54" t="n">
        <f aca="true">RAND()</f>
        <v>0.00646463646689682</v>
      </c>
      <c r="T914" s="54" t="n">
        <f aca="true">RAND()</f>
        <v>0.51394610967863</v>
      </c>
      <c r="U914" s="54" t="n">
        <f aca="true">RAND()</f>
        <v>0.134130099812411</v>
      </c>
    </row>
    <row r="915" customFormat="false" ht="15" hidden="false" customHeight="false" outlineLevel="0" collapsed="false">
      <c r="A915" s="50" t="n">
        <v>835</v>
      </c>
      <c r="B915" s="51" t="n">
        <f aca="false">1+IF($G$6=$E$6,$F$6,IF(P915&lt;($F$6-$E$6)/($G$6-$E$6),$E$6+SQRT(P915*($G$6-$E$6)*($F$6-$E$6)),$G$6-SQRT((1-P915)*($G$6-$E$6)*($G$6-$F$6))))</f>
        <v>0.981823365172991</v>
      </c>
      <c r="C915" s="51" t="n">
        <f aca="false">1+IF($G$7=$E$7,$F$7,IF(Q915&lt;($F$7-$E$7)/($G$7-$E$7),$E$7+SQRT(Q915*($G$7-$E$7)*($F$7-$E$7)),$G$7-SQRT((1-Q915)*($G$7-$E$7)*($G$7-$F$7))))</f>
        <v>0.855243482199593</v>
      </c>
      <c r="D915" s="51" t="n">
        <f aca="false">1+IF($G$8=$E$8,$F$8,IF(R915&lt;($F$8-$E$8)/($G$8-$E$8),$E$8+SQRT(R915*($G$8-$E$8)*($F$8-$E$8)),$G$8-SQRT((1-R915)*($G$8-$E$8)*($G$8-$F$8))))</f>
        <v>1.03357862529786</v>
      </c>
      <c r="E915" s="51" t="n">
        <f aca="false">1+IF($G$9=$E$9,$F$9,IF(S915&lt;($F$9-$E$9)/($G$9-$E$9),$E$9+SQRT(S915*($G$9-$E$9)*($F$9-$E$9)),$G$9-SQRT((1-S915)*($G$9-$E$9)*($G$9-$F$9))))</f>
        <v>1.02709633941277</v>
      </c>
      <c r="F915" s="51" t="n">
        <f aca="false">1+IF($G$10=$E$10,$F$10,IF(T915&lt;($F$10-$E$10)/($G$10-$E$10),$E$10+SQRT(T915*($G$10-$E$10)*($F$10-$E$10)),$G$10-SQRT((1-T915)*($G$10-$E$10)*($G$10-$F$10))))</f>
        <v>0.992553033723495</v>
      </c>
      <c r="G915" s="52" t="n">
        <f aca="false">IF($G$11=$E$11,$F$11,IF(U915&lt;($F$11-$E$11)/($G$11-$E$11),$E$11+SQRT(U915*($G$11-$E$11)*($F$11-$E$11)),$G$11-SQRT((1-U915)*($G$11-$E$11)*($G$11-$F$11))))</f>
        <v>0.111250763933473</v>
      </c>
      <c r="H915" s="53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-1985106067.44699</v>
      </c>
      <c r="I915" s="53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-53582712.0122302</v>
      </c>
      <c r="J915" s="53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181672924.881232</v>
      </c>
      <c r="K915" s="53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466556213.460869</v>
      </c>
      <c r="L915" s="53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573994723.137922</v>
      </c>
      <c r="M915" s="53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733604525.39036</v>
      </c>
      <c r="N915" s="53" t="n">
        <f aca="false">IF(COUNT('Business Case'!B11:G11)=0,"",H915+NPV(G915,I915:M915))</f>
        <v>-736892426.326263</v>
      </c>
      <c r="P915" s="54" t="n">
        <f aca="true">RAND()</f>
        <v>0.446337539215511</v>
      </c>
      <c r="Q915" s="54" t="n">
        <f aca="true">RAND()</f>
        <v>0.178522509373742</v>
      </c>
      <c r="R915" s="54" t="n">
        <f aca="true">RAND()</f>
        <v>0.705880065511882</v>
      </c>
      <c r="S915" s="54" t="n">
        <f aca="true">RAND()</f>
        <v>0.597191739046922</v>
      </c>
      <c r="T915" s="54" t="n">
        <f aca="true">RAND()</f>
        <v>0.120717378604862</v>
      </c>
      <c r="U915" s="54" t="n">
        <f aca="true">RAND()</f>
        <v>0.765644097947756</v>
      </c>
    </row>
    <row r="916" customFormat="false" ht="15" hidden="false" customHeight="false" outlineLevel="0" collapsed="false">
      <c r="A916" s="50" t="n">
        <v>836</v>
      </c>
      <c r="B916" s="51" t="n">
        <f aca="false">1+IF($G$6=$E$6,$F$6,IF(P916&lt;($F$6-$E$6)/($G$6-$E$6),$E$6+SQRT(P916*($G$6-$E$6)*($F$6-$E$6)),$G$6-SQRT((1-P916)*($G$6-$E$6)*($G$6-$F$6))))</f>
        <v>0.979193208620767</v>
      </c>
      <c r="C916" s="51" t="n">
        <f aca="false">1+IF($G$7=$E$7,$F$7,IF(Q916&lt;($F$7-$E$7)/($G$7-$E$7),$E$7+SQRT(Q916*($G$7-$E$7)*($F$7-$E$7)),$G$7-SQRT((1-Q916)*($G$7-$E$7)*($G$7-$F$7))))</f>
        <v>1.09643038680121</v>
      </c>
      <c r="D916" s="51" t="n">
        <f aca="false">1+IF($G$8=$E$8,$F$8,IF(R916&lt;($F$8-$E$8)/($G$8-$E$8),$E$8+SQRT(R916*($G$8-$E$8)*($F$8-$E$8)),$G$8-SQRT((1-R916)*($G$8-$E$8)*($G$8-$F$8))))</f>
        <v>1.05559362027408</v>
      </c>
      <c r="E916" s="51" t="n">
        <f aca="false">1+IF($G$9=$E$9,$F$9,IF(S916&lt;($F$9-$E$9)/($G$9-$E$9),$E$9+SQRT(S916*($G$9-$E$9)*($F$9-$E$9)),$G$9-SQRT((1-S916)*($G$9-$E$9)*($G$9-$F$9))))</f>
        <v>1.02466931077533</v>
      </c>
      <c r="F916" s="51" t="n">
        <f aca="false">1+IF($G$10=$E$10,$F$10,IF(T916&lt;($F$10-$E$10)/($G$10-$E$10),$E$10+SQRT(T916*($G$10-$E$10)*($F$10-$E$10)),$G$10-SQRT((1-T916)*($G$10-$E$10)*($G$10-$F$10))))</f>
        <v>0.994955818491843</v>
      </c>
      <c r="G916" s="52" t="n">
        <f aca="false">IF($G$11=$E$11,$F$11,IF(U916&lt;($F$11-$E$11)/($G$11-$E$11),$E$11+SQRT(U916*($G$11-$E$11)*($F$11-$E$11)),$G$11-SQRT((1-U916)*($G$11-$E$11)*($G$11-$F$11))))</f>
        <v>0.109097790758731</v>
      </c>
      <c r="H916" s="53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-1989911636.98369</v>
      </c>
      <c r="I916" s="53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-13978584.0425113</v>
      </c>
      <c r="J916" s="53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272902704.807279</v>
      </c>
      <c r="K916" s="53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609531784.581662</v>
      </c>
      <c r="L916" s="53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742263090.898835</v>
      </c>
      <c r="M916" s="53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946336246.085339</v>
      </c>
      <c r="N916" s="53" t="n">
        <f aca="false">IF(COUNT('Business Case'!B11:G11)=0,"",H916+NPV(G916,I916:M916))</f>
        <v>-279450779.311415</v>
      </c>
      <c r="P916" s="54" t="n">
        <f aca="true">RAND()</f>
        <v>0.418104286110155</v>
      </c>
      <c r="Q916" s="54" t="n">
        <f aca="true">RAND()</f>
        <v>0.957485874692328</v>
      </c>
      <c r="R916" s="54" t="n">
        <f aca="true">RAND()</f>
        <v>0.868538229309145</v>
      </c>
      <c r="S916" s="54" t="n">
        <f aca="true">RAND()</f>
        <v>0.581125822359197</v>
      </c>
      <c r="T916" s="54" t="n">
        <f aca="true">RAND()</f>
        <v>0.13473504108477</v>
      </c>
      <c r="U916" s="54" t="n">
        <f aca="true">RAND()</f>
        <v>0.708731765889463</v>
      </c>
    </row>
    <row r="917" customFormat="false" ht="15" hidden="false" customHeight="false" outlineLevel="0" collapsed="false">
      <c r="A917" s="50" t="n">
        <v>837</v>
      </c>
      <c r="B917" s="51" t="n">
        <f aca="false">1+IF($G$6=$E$6,$F$6,IF(P917&lt;($F$6-$E$6)/($G$6-$E$6),$E$6+SQRT(P917*($G$6-$E$6)*($F$6-$E$6)),$G$6-SQRT((1-P917)*($G$6-$E$6)*($G$6-$F$6))))</f>
        <v>0.999325124663948</v>
      </c>
      <c r="C917" s="51" t="n">
        <f aca="false">1+IF($G$7=$E$7,$F$7,IF(Q917&lt;($F$7-$E$7)/($G$7-$E$7),$E$7+SQRT(Q917*($G$7-$E$7)*($F$7-$E$7)),$G$7-SQRT((1-Q917)*($G$7-$E$7)*($G$7-$F$7))))</f>
        <v>1.05152632932568</v>
      </c>
      <c r="D917" s="51" t="n">
        <f aca="false">1+IF($G$8=$E$8,$F$8,IF(R917&lt;($F$8-$E$8)/($G$8-$E$8),$E$8+SQRT(R917*($G$8-$E$8)*($F$8-$E$8)),$G$8-SQRT((1-R917)*($G$8-$E$8)*($G$8-$F$8))))</f>
        <v>0.996497750678691</v>
      </c>
      <c r="E917" s="51" t="n">
        <f aca="false">1+IF($G$9=$E$9,$F$9,IF(S917&lt;($F$9-$E$9)/($G$9-$E$9),$E$9+SQRT(S917*($G$9-$E$9)*($F$9-$E$9)),$G$9-SQRT((1-S917)*($G$9-$E$9)*($G$9-$F$9))))</f>
        <v>1.05636820413497</v>
      </c>
      <c r="F917" s="51" t="n">
        <f aca="false">1+IF($G$10=$E$10,$F$10,IF(T917&lt;($F$10-$E$10)/($G$10-$E$10),$E$10+SQRT(T917*($G$10-$E$10)*($F$10-$E$10)),$G$10-SQRT((1-T917)*($G$10-$E$10)*($G$10-$F$10))))</f>
        <v>1.01008771857598</v>
      </c>
      <c r="G917" s="52" t="n">
        <f aca="false">IF($G$11=$E$11,$F$11,IF(U917&lt;($F$11-$E$11)/($G$11-$E$11),$E$11+SQRT(U917*($G$11-$E$11)*($F$11-$E$11)),$G$11-SQRT((1-U917)*($G$11-$E$11)*($G$11-$F$11))))</f>
        <v>0.110882709851029</v>
      </c>
      <c r="H917" s="53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-2020175437.15196</v>
      </c>
      <c r="I917" s="53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18583745.7023007</v>
      </c>
      <c r="J917" s="53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342866158.588691</v>
      </c>
      <c r="K917" s="53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717652957.403881</v>
      </c>
      <c r="L917" s="53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862063319.498344</v>
      </c>
      <c r="M917" s="53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1061802554.05951</v>
      </c>
      <c r="N917" s="53" t="n">
        <f aca="false">IF(COUNT('Business Case'!B11:G11)=0,"",H917+NPV(G917,I917:M917))</f>
        <v>-8425408.19930935</v>
      </c>
      <c r="P917" s="54" t="n">
        <f aca="true">RAND()</f>
        <v>0.657698692633927</v>
      </c>
      <c r="Q917" s="54" t="n">
        <f aca="true">RAND()</f>
        <v>0.856339795317426</v>
      </c>
      <c r="R917" s="54" t="n">
        <f aca="true">RAND()</f>
        <v>0.288272109090357</v>
      </c>
      <c r="S917" s="54" t="n">
        <f aca="true">RAND()</f>
        <v>0.766215648082368</v>
      </c>
      <c r="T917" s="54" t="n">
        <f aca="true">RAND()</f>
        <v>0.232561296292282</v>
      </c>
      <c r="U917" s="54" t="n">
        <f aca="true">RAND()</f>
        <v>0.756352811573373</v>
      </c>
    </row>
    <row r="918" customFormat="false" ht="15" hidden="false" customHeight="false" outlineLevel="0" collapsed="false">
      <c r="A918" s="50" t="n">
        <v>838</v>
      </c>
      <c r="B918" s="51" t="n">
        <f aca="false">1+IF($G$6=$E$6,$F$6,IF(P918&lt;($F$6-$E$6)/($G$6-$E$6),$E$6+SQRT(P918*($G$6-$E$6)*($F$6-$E$6)),$G$6-SQRT((1-P918)*($G$6-$E$6)*($G$6-$F$6))))</f>
        <v>1.00662928097049</v>
      </c>
      <c r="C918" s="51" t="n">
        <f aca="false">1+IF($G$7=$E$7,$F$7,IF(Q918&lt;($F$7-$E$7)/($G$7-$E$7),$E$7+SQRT(Q918*($G$7-$E$7)*($F$7-$E$7)),$G$7-SQRT((1-Q918)*($G$7-$E$7)*($G$7-$F$7))))</f>
        <v>1.01605713431891</v>
      </c>
      <c r="D918" s="51" t="n">
        <f aca="false">1+IF($G$8=$E$8,$F$8,IF(R918&lt;($F$8-$E$8)/($G$8-$E$8),$E$8+SQRT(R918*($G$8-$E$8)*($F$8-$E$8)),$G$8-SQRT((1-R918)*($G$8-$E$8)*($G$8-$F$8))))</f>
        <v>1.0261995319709</v>
      </c>
      <c r="E918" s="51" t="n">
        <f aca="false">1+IF($G$9=$E$9,$F$9,IF(S918&lt;($F$9-$E$9)/($G$9-$E$9),$E$9+SQRT(S918*($G$9-$E$9)*($F$9-$E$9)),$G$9-SQRT((1-S918)*($G$9-$E$9)*($G$9-$F$9))))</f>
        <v>1.00100717050391</v>
      </c>
      <c r="F918" s="51" t="n">
        <f aca="false">1+IF($G$10=$E$10,$F$10,IF(T918&lt;($F$10-$E$10)/($G$10-$E$10),$E$10+SQRT(T918*($G$10-$E$10)*($F$10-$E$10)),$G$10-SQRT((1-T918)*($G$10-$E$10)*($G$10-$F$10))))</f>
        <v>1.04531815956051</v>
      </c>
      <c r="G918" s="52" t="n">
        <f aca="false">IF($G$11=$E$11,$F$11,IF(U918&lt;($F$11-$E$11)/($G$11-$E$11),$E$11+SQRT(U918*($G$11-$E$11)*($F$11-$E$11)),$G$11-SQRT((1-U918)*($G$11-$E$11)*($G$11-$F$11))))</f>
        <v>0.102305119308955</v>
      </c>
      <c r="H918" s="53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-2090636319.12103</v>
      </c>
      <c r="I918" s="53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4076985.98719092</v>
      </c>
      <c r="J918" s="53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308050589.57039</v>
      </c>
      <c r="K918" s="53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664290101.131615</v>
      </c>
      <c r="L918" s="53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800962356.988882</v>
      </c>
      <c r="M918" s="53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995374824.301316</v>
      </c>
      <c r="N918" s="53" t="n">
        <f aca="false">IF(COUNT('Business Case'!B11:G11)=0,"",H918+NPV(G918,I918:M918))</f>
        <v>-183327171.43639</v>
      </c>
      <c r="P918" s="54" t="n">
        <f aca="true">RAND()</f>
        <v>0.749197430781744</v>
      </c>
      <c r="Q918" s="54" t="n">
        <f aca="true">RAND()</f>
        <v>0.734211981231649</v>
      </c>
      <c r="R918" s="54" t="n">
        <f aca="true">RAND()</f>
        <v>0.636899394579043</v>
      </c>
      <c r="S918" s="54" t="n">
        <f aca="true">RAND()</f>
        <v>0.408030313566663</v>
      </c>
      <c r="T918" s="54" t="n">
        <f aca="true">RAND()</f>
        <v>0.4414045892574</v>
      </c>
      <c r="U918" s="54" t="n">
        <f aca="true">RAND()</f>
        <v>0.488662389005845</v>
      </c>
    </row>
    <row r="919" customFormat="false" ht="15" hidden="false" customHeight="false" outlineLevel="0" collapsed="false">
      <c r="A919" s="50" t="n">
        <v>839</v>
      </c>
      <c r="B919" s="51" t="n">
        <f aca="false">1+IF($G$6=$E$6,$F$6,IF(P919&lt;($F$6-$E$6)/($G$6-$E$6),$E$6+SQRT(P919*($G$6-$E$6)*($F$6-$E$6)),$G$6-SQRT((1-P919)*($G$6-$E$6)*($G$6-$F$6))))</f>
        <v>0.955552997225199</v>
      </c>
      <c r="C919" s="51" t="n">
        <f aca="false">1+IF($G$7=$E$7,$F$7,IF(Q919&lt;($F$7-$E$7)/($G$7-$E$7),$E$7+SQRT(Q919*($G$7-$E$7)*($F$7-$E$7)),$G$7-SQRT((1-Q919)*($G$7-$E$7)*($G$7-$F$7))))</f>
        <v>1.01894692885341</v>
      </c>
      <c r="D919" s="51" t="n">
        <f aca="false">1+IF($G$8=$E$8,$F$8,IF(R919&lt;($F$8-$E$8)/($G$8-$E$8),$E$8+SQRT(R919*($G$8-$E$8)*($F$8-$E$8)),$G$8-SQRT((1-R919)*($G$8-$E$8)*($G$8-$F$8))))</f>
        <v>1.0331412989173</v>
      </c>
      <c r="E919" s="51" t="n">
        <f aca="false">1+IF($G$9=$E$9,$F$9,IF(S919&lt;($F$9-$E$9)/($G$9-$E$9),$E$9+SQRT(S919*($G$9-$E$9)*($F$9-$E$9)),$G$9-SQRT((1-S919)*($G$9-$E$9)*($G$9-$F$9))))</f>
        <v>0.985800143387794</v>
      </c>
      <c r="F919" s="51" t="n">
        <f aca="false">1+IF($G$10=$E$10,$F$10,IF(T919&lt;($F$10-$E$10)/($G$10-$E$10),$E$10+SQRT(T919*($G$10-$E$10)*($F$10-$E$10)),$G$10-SQRT((1-T919)*($G$10-$E$10)*($G$10-$F$10))))</f>
        <v>0.976673901669986</v>
      </c>
      <c r="G919" s="52" t="n">
        <f aca="false">IF($G$11=$E$11,$F$11,IF(U919&lt;($F$11-$E$11)/($G$11-$E$11),$E$11+SQRT(U919*($G$11-$E$11)*($F$11-$E$11)),$G$11-SQRT((1-U919)*($G$11-$E$11)*($G$11-$F$11))))</f>
        <v>0.111440460461319</v>
      </c>
      <c r="H919" s="53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-1953347803.33997</v>
      </c>
      <c r="I919" s="53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-29733208.9302702</v>
      </c>
      <c r="J919" s="53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228856172.627225</v>
      </c>
      <c r="K919" s="53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536279249.268219</v>
      </c>
      <c r="L919" s="53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656125323.074732</v>
      </c>
      <c r="M919" s="53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841198196.155146</v>
      </c>
      <c r="N919" s="53" t="n">
        <f aca="false">IF(COUNT('Business Case'!B11:G11)=0,"",H919+NPV(G919,I919:M919))</f>
        <v>-478278577.052637</v>
      </c>
      <c r="P919" s="54" t="n">
        <f aca="true">RAND()</f>
        <v>0.205742366713528</v>
      </c>
      <c r="Q919" s="54" t="n">
        <f aca="true">RAND()</f>
        <v>0.745556926563649</v>
      </c>
      <c r="R919" s="54" t="n">
        <f aca="true">RAND()</f>
        <v>0.70199427263562</v>
      </c>
      <c r="S919" s="54" t="n">
        <f aca="true">RAND()</f>
        <v>0.294466584214641</v>
      </c>
      <c r="T919" s="54" t="n">
        <f aca="true">RAND()</f>
        <v>0.0474331353533374</v>
      </c>
      <c r="U919" s="54" t="n">
        <f aca="true">RAND()</f>
        <v>0.770362328074757</v>
      </c>
    </row>
    <row r="920" customFormat="false" ht="15" hidden="false" customHeight="false" outlineLevel="0" collapsed="false">
      <c r="A920" s="50" t="n">
        <v>840</v>
      </c>
      <c r="B920" s="51" t="n">
        <f aca="false">1+IF($G$6=$E$6,$F$6,IF(P920&lt;($F$6-$E$6)/($G$6-$E$6),$E$6+SQRT(P920*($G$6-$E$6)*($F$6-$E$6)),$G$6-SQRT((1-P920)*($G$6-$E$6)*($G$6-$F$6))))</f>
        <v>0.981260228680725</v>
      </c>
      <c r="C920" s="51" t="n">
        <f aca="false">1+IF($G$7=$E$7,$F$7,IF(Q920&lt;($F$7-$E$7)/($G$7-$E$7),$E$7+SQRT(Q920*($G$7-$E$7)*($F$7-$E$7)),$G$7-SQRT((1-Q920)*($G$7-$E$7)*($G$7-$F$7))))</f>
        <v>1.00271418231106</v>
      </c>
      <c r="D920" s="51" t="n">
        <f aca="false">1+IF($G$8=$E$8,$F$8,IF(R920&lt;($F$8-$E$8)/($G$8-$E$8),$E$8+SQRT(R920*($G$8-$E$8)*($F$8-$E$8)),$G$8-SQRT((1-R920)*($G$8-$E$8)*($G$8-$F$8))))</f>
        <v>0.992602478795839</v>
      </c>
      <c r="E920" s="51" t="n">
        <f aca="false">1+IF($G$9=$E$9,$F$9,IF(S920&lt;($F$9-$E$9)/($G$9-$E$9),$E$9+SQRT(S920*($G$9-$E$9)*($F$9-$E$9)),$G$9-SQRT((1-S920)*($G$9-$E$9)*($G$9-$F$9))))</f>
        <v>0.977924212843335</v>
      </c>
      <c r="F920" s="51" t="n">
        <f aca="false">1+IF($G$10=$E$10,$F$10,IF(T920&lt;($F$10-$E$10)/($G$10-$E$10),$E$10+SQRT(T920*($G$10-$E$10)*($F$10-$E$10)),$G$10-SQRT((1-T920)*($G$10-$E$10)*($G$10-$F$10))))</f>
        <v>1.09131824824592</v>
      </c>
      <c r="G920" s="52" t="n">
        <f aca="false">IF($G$11=$E$11,$F$11,IF(U920&lt;($F$11-$E$11)/($G$11-$E$11),$E$11+SQRT(U920*($G$11-$E$11)*($F$11-$E$11)),$G$11-SQRT((1-U920)*($G$11-$E$11)*($G$11-$F$11))))</f>
        <v>0.096742596163393</v>
      </c>
      <c r="H920" s="53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-2182636496.49183</v>
      </c>
      <c r="I920" s="53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-2807243.14848499</v>
      </c>
      <c r="J920" s="53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293584758.31376</v>
      </c>
      <c r="K920" s="53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644542672.188301</v>
      </c>
      <c r="L920" s="53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777344403.822259</v>
      </c>
      <c r="M920" s="53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964368591.794918</v>
      </c>
      <c r="N920" s="53" t="n">
        <f aca="false">IF(COUNT('Business Case'!B11:G11)=0,"",H920+NPV(G920,I920:M920))</f>
        <v>-307523711.897933</v>
      </c>
      <c r="P920" s="54" t="n">
        <f aca="true">RAND()</f>
        <v>0.440214984349585</v>
      </c>
      <c r="Q920" s="54" t="n">
        <f aca="true">RAND()</f>
        <v>0.678620561595553</v>
      </c>
      <c r="R920" s="54" t="n">
        <f aca="true">RAND()</f>
        <v>0.241996159939984</v>
      </c>
      <c r="S920" s="54" t="n">
        <f aca="true">RAND()</f>
        <v>0.242887317890136</v>
      </c>
      <c r="T920" s="54" t="n">
        <f aca="true">RAND()</f>
        <v>0.664268022136738</v>
      </c>
      <c r="U920" s="54" t="n">
        <f aca="true">RAND()</f>
        <v>0.280314526290461</v>
      </c>
    </row>
    <row r="921" customFormat="false" ht="15" hidden="false" customHeight="false" outlineLevel="0" collapsed="false">
      <c r="A921" s="50" t="n">
        <v>841</v>
      </c>
      <c r="B921" s="51" t="n">
        <f aca="false">1+IF($G$6=$E$6,$F$6,IF(P921&lt;($F$6-$E$6)/($G$6-$E$6),$E$6+SQRT(P921*($G$6-$E$6)*($F$6-$E$6)),$G$6-SQRT((1-P921)*($G$6-$E$6)*($G$6-$F$6))))</f>
        <v>0.970062599950618</v>
      </c>
      <c r="C921" s="51" t="n">
        <f aca="false">1+IF($G$7=$E$7,$F$7,IF(Q921&lt;($F$7-$E$7)/($G$7-$E$7),$E$7+SQRT(Q921*($G$7-$E$7)*($F$7-$E$7)),$G$7-SQRT((1-Q921)*($G$7-$E$7)*($G$7-$F$7))))</f>
        <v>0.814489130637571</v>
      </c>
      <c r="D921" s="51" t="n">
        <f aca="false">1+IF($G$8=$E$8,$F$8,IF(R921&lt;($F$8-$E$8)/($G$8-$E$8),$E$8+SQRT(R921*($G$8-$E$8)*($F$8-$E$8)),$G$8-SQRT((1-R921)*($G$8-$E$8)*($G$8-$F$8))))</f>
        <v>1.01325129461776</v>
      </c>
      <c r="E921" s="51" t="n">
        <f aca="false">1+IF($G$9=$E$9,$F$9,IF(S921&lt;($F$9-$E$9)/($G$9-$E$9),$E$9+SQRT(S921*($G$9-$E$9)*($F$9-$E$9)),$G$9-SQRT((1-S921)*($G$9-$E$9)*($G$9-$F$9))))</f>
        <v>0.982154592486473</v>
      </c>
      <c r="F921" s="51" t="n">
        <f aca="false">1+IF($G$10=$E$10,$F$10,IF(T921&lt;($F$10-$E$10)/($G$10-$E$10),$E$10+SQRT(T921*($G$10-$E$10)*($F$10-$E$10)),$G$10-SQRT((1-T921)*($G$10-$E$10)*($G$10-$F$10))))</f>
        <v>1.05536625101343</v>
      </c>
      <c r="G921" s="52" t="n">
        <f aca="false">IF($G$11=$E$11,$F$11,IF(U921&lt;($F$11-$E$11)/($G$11-$E$11),$E$11+SQRT(U921*($G$11-$E$11)*($F$11-$E$11)),$G$11-SQRT((1-U921)*($G$11-$E$11)*($G$11-$F$11))))</f>
        <v>0.096184046820538</v>
      </c>
      <c r="H921" s="53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-2110732502.02685</v>
      </c>
      <c r="I921" s="53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-61483274.8286379</v>
      </c>
      <c r="J921" s="53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163191524.696937</v>
      </c>
      <c r="K921" s="53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440634636.773184</v>
      </c>
      <c r="L921" s="53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542832280.749238</v>
      </c>
      <c r="M921" s="53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693015523.487316</v>
      </c>
      <c r="N921" s="53" t="n">
        <f aca="false">IF(COUNT('Business Case'!B11:G11)=0,"",H921+NPV(G921,I921:M921))</f>
        <v>-882684931.235051</v>
      </c>
      <c r="P921" s="54" t="n">
        <f aca="true">RAND()</f>
        <v>0.327251194122686</v>
      </c>
      <c r="Q921" s="54" t="n">
        <f aca="true">RAND()</f>
        <v>0.0970945261788655</v>
      </c>
      <c r="R921" s="54" t="n">
        <f aca="true">RAND()</f>
        <v>0.498310807633734</v>
      </c>
      <c r="S921" s="54" t="n">
        <f aca="true">RAND()</f>
        <v>0.269975082664736</v>
      </c>
      <c r="T921" s="54" t="n">
        <f aca="true">RAND()</f>
        <v>0.494902716739086</v>
      </c>
      <c r="U921" s="54" t="n">
        <f aca="true">RAND()</f>
        <v>0.261923371489365</v>
      </c>
    </row>
    <row r="922" customFormat="false" ht="15" hidden="false" customHeight="false" outlineLevel="0" collapsed="false">
      <c r="A922" s="50" t="n">
        <v>842</v>
      </c>
      <c r="B922" s="51" t="n">
        <f aca="false">1+IF($G$6=$E$6,$F$6,IF(P922&lt;($F$6-$E$6)/($G$6-$E$6),$E$6+SQRT(P922*($G$6-$E$6)*($F$6-$E$6)),$G$6-SQRT((1-P922)*($G$6-$E$6)*($G$6-$F$6))))</f>
        <v>0.969566195907957</v>
      </c>
      <c r="C922" s="51" t="n">
        <f aca="false">1+IF($G$7=$E$7,$F$7,IF(Q922&lt;($F$7-$E$7)/($G$7-$E$7),$E$7+SQRT(Q922*($G$7-$E$7)*($F$7-$E$7)),$G$7-SQRT((1-Q922)*($G$7-$E$7)*($G$7-$F$7))))</f>
        <v>1.03412914752429</v>
      </c>
      <c r="D922" s="51" t="n">
        <f aca="false">1+IF($G$8=$E$8,$F$8,IF(R922&lt;($F$8-$E$8)/($G$8-$E$8),$E$8+SQRT(R922*($G$8-$E$8)*($F$8-$E$8)),$G$8-SQRT((1-R922)*($G$8-$E$8)*($G$8-$F$8))))</f>
        <v>0.954679028570347</v>
      </c>
      <c r="E922" s="51" t="n">
        <f aca="false">1+IF($G$9=$E$9,$F$9,IF(S922&lt;($F$9-$E$9)/($G$9-$E$9),$E$9+SQRT(S922*($G$9-$E$9)*($F$9-$E$9)),$G$9-SQRT((1-S922)*($G$9-$E$9)*($G$9-$F$9))))</f>
        <v>1.05797355390309</v>
      </c>
      <c r="F922" s="51" t="n">
        <f aca="false">1+IF($G$10=$E$10,$F$10,IF(T922&lt;($F$10-$E$10)/($G$10-$E$10),$E$10+SQRT(T922*($G$10-$E$10)*($F$10-$E$10)),$G$10-SQRT((1-T922)*($G$10-$E$10)*($G$10-$F$10))))</f>
        <v>1.03050199908484</v>
      </c>
      <c r="G922" s="52" t="n">
        <f aca="false">IF($G$11=$E$11,$F$11,IF(U922&lt;($F$11-$E$11)/($G$11-$E$11),$E$11+SQRT(U922*($G$11-$E$11)*($F$11-$E$11)),$G$11-SQRT((1-U922)*($G$11-$E$11)*($G$11-$F$11))))</f>
        <v>0.106942706846788</v>
      </c>
      <c r="H922" s="53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-2061003998.16968</v>
      </c>
      <c r="I922" s="53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10377377.0921008</v>
      </c>
      <c r="J922" s="53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326226514.90094</v>
      </c>
      <c r="K922" s="53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693600752.664021</v>
      </c>
      <c r="L922" s="53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833535612.895792</v>
      </c>
      <c r="M922" s="53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1024120591.52099</v>
      </c>
      <c r="N922" s="53" t="n">
        <f aca="false">IF(COUNT('Business Case'!B11:G11)=0,"",H922+NPV(G922,I922:M922))</f>
        <v>-102651003.551828</v>
      </c>
      <c r="P922" s="54" t="n">
        <f aca="true">RAND()</f>
        <v>0.32263037420695</v>
      </c>
      <c r="Q922" s="54" t="n">
        <f aca="true">RAND()</f>
        <v>0.801095489578542</v>
      </c>
      <c r="R922" s="54" t="n">
        <f aca="true">RAND()</f>
        <v>0.00291910778161611</v>
      </c>
      <c r="S922" s="54" t="n">
        <f aca="true">RAND()</f>
        <v>0.774163552500578</v>
      </c>
      <c r="T922" s="54" t="n">
        <f aca="true">RAND()</f>
        <v>0.357608367923322</v>
      </c>
      <c r="U922" s="54" t="n">
        <f aca="true">RAND()</f>
        <v>0.645574154964549</v>
      </c>
    </row>
    <row r="923" customFormat="false" ht="15" hidden="false" customHeight="false" outlineLevel="0" collapsed="false">
      <c r="A923" s="50" t="n">
        <v>843</v>
      </c>
      <c r="B923" s="51" t="n">
        <f aca="false">1+IF($G$6=$E$6,$F$6,IF(P923&lt;($F$6-$E$6)/($G$6-$E$6),$E$6+SQRT(P923*($G$6-$E$6)*($F$6-$E$6)),$G$6-SQRT((1-P923)*($G$6-$E$6)*($G$6-$F$6))))</f>
        <v>0.987728863274655</v>
      </c>
      <c r="C923" s="51" t="n">
        <f aca="false">1+IF($G$7=$E$7,$F$7,IF(Q923&lt;($F$7-$E$7)/($G$7-$E$7),$E$7+SQRT(Q923*($G$7-$E$7)*($F$7-$E$7)),$G$7-SQRT((1-Q923)*($G$7-$E$7)*($G$7-$F$7))))</f>
        <v>0.819203397115298</v>
      </c>
      <c r="D923" s="51" t="n">
        <f aca="false">1+IF($G$8=$E$8,$F$8,IF(R923&lt;($F$8-$E$8)/($G$8-$E$8),$E$8+SQRT(R923*($G$8-$E$8)*($F$8-$E$8)),$G$8-SQRT((1-R923)*($G$8-$E$8)*($G$8-$F$8))))</f>
        <v>1.03841980854643</v>
      </c>
      <c r="E923" s="51" t="n">
        <f aca="false">1+IF($G$9=$E$9,$F$9,IF(S923&lt;($F$9-$E$9)/($G$9-$E$9),$E$9+SQRT(S923*($G$9-$E$9)*($F$9-$E$9)),$G$9-SQRT((1-S923)*($G$9-$E$9)*($G$9-$F$9))))</f>
        <v>1.06010670605892</v>
      </c>
      <c r="F923" s="51" t="n">
        <f aca="false">1+IF($G$10=$E$10,$F$10,IF(T923&lt;($F$10-$E$10)/($G$10-$E$10),$E$10+SQRT(T923*($G$10-$E$10)*($F$10-$E$10)),$G$10-SQRT((1-T923)*($G$10-$E$10)*($G$10-$F$10))))</f>
        <v>1.12092629309219</v>
      </c>
      <c r="G923" s="52" t="n">
        <f aca="false">IF($G$11=$E$11,$F$11,IF(U923&lt;($F$11-$E$11)/($G$11-$E$11),$E$11+SQRT(U923*($G$11-$E$11)*($F$11-$E$11)),$G$11-SQRT((1-U923)*($G$11-$E$11)*($G$11-$F$11))))</f>
        <v>0.0920994476642069</v>
      </c>
      <c r="H923" s="53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-2241852586.18439</v>
      </c>
      <c r="I923" s="53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-77511973.1157578</v>
      </c>
      <c r="J923" s="53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149762236.236465</v>
      </c>
      <c r="K923" s="53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433082760.243298</v>
      </c>
      <c r="L923" s="53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536805083.065494</v>
      </c>
      <c r="M923" s="53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690608474.775164</v>
      </c>
      <c r="N923" s="53" t="n">
        <f aca="false">IF(COUNT('Business Case'!B11:G11)=0,"",H923+NPV(G923,I923:M923))</f>
        <v>-1032844890.88998</v>
      </c>
      <c r="P923" s="54" t="n">
        <f aca="true">RAND()</f>
        <v>0.513090230097543</v>
      </c>
      <c r="Q923" s="54" t="n">
        <f aca="true">RAND()</f>
        <v>0.105255184324647</v>
      </c>
      <c r="R923" s="54" t="n">
        <f aca="true">RAND()</f>
        <v>0.74719200136948</v>
      </c>
      <c r="S923" s="54" t="n">
        <f aca="true">RAND()</f>
        <v>0.784511885451289</v>
      </c>
      <c r="T923" s="54" t="n">
        <f aca="true">RAND()</f>
        <v>0.777866375801032</v>
      </c>
      <c r="U923" s="54" t="n">
        <f aca="true">RAND()</f>
        <v>0.146396633778881</v>
      </c>
    </row>
    <row r="924" customFormat="false" ht="15" hidden="false" customHeight="false" outlineLevel="0" collapsed="false">
      <c r="A924" s="50" t="n">
        <v>844</v>
      </c>
      <c r="B924" s="51" t="n">
        <f aca="false">1+IF($G$6=$E$6,$F$6,IF(P924&lt;($F$6-$E$6)/($G$6-$E$6),$E$6+SQRT(P924*($G$6-$E$6)*($F$6-$E$6)),$G$6-SQRT((1-P924)*($G$6-$E$6)*($G$6-$F$6))))</f>
        <v>0.920419278414937</v>
      </c>
      <c r="C924" s="51" t="n">
        <f aca="false">1+IF($G$7=$E$7,$F$7,IF(Q924&lt;($F$7-$E$7)/($G$7-$E$7),$E$7+SQRT(Q924*($G$7-$E$7)*($F$7-$E$7)),$G$7-SQRT((1-Q924)*($G$7-$E$7)*($G$7-$F$7))))</f>
        <v>0.893624742825039</v>
      </c>
      <c r="D924" s="51" t="n">
        <f aca="false">1+IF($G$8=$E$8,$F$8,IF(R924&lt;($F$8-$E$8)/($G$8-$E$8),$E$8+SQRT(R924*($G$8-$E$8)*($F$8-$E$8)),$G$8-SQRT((1-R924)*($G$8-$E$8)*($G$8-$F$8))))</f>
        <v>0.991922512243622</v>
      </c>
      <c r="E924" s="51" t="n">
        <f aca="false">1+IF($G$9=$E$9,$F$9,IF(S924&lt;($F$9-$E$9)/($G$9-$E$9),$E$9+SQRT(S924*($G$9-$E$9)*($F$9-$E$9)),$G$9-SQRT((1-S924)*($G$9-$E$9)*($G$9-$F$9))))</f>
        <v>1.02101574410617</v>
      </c>
      <c r="F924" s="51" t="n">
        <f aca="false">1+IF($G$10=$E$10,$F$10,IF(T924&lt;($F$10-$E$10)/($G$10-$E$10),$E$10+SQRT(T924*($G$10-$E$10)*($F$10-$E$10)),$G$10-SQRT((1-T924)*($G$10-$E$10)*($G$10-$F$10))))</f>
        <v>1.11583856450597</v>
      </c>
      <c r="G924" s="52" t="n">
        <f aca="false">IF($G$11=$E$11,$F$11,IF(U924&lt;($F$11-$E$11)/($G$11-$E$11),$E$11+SQRT(U924*($G$11-$E$11)*($F$11-$E$11)),$G$11-SQRT((1-U924)*($G$11-$E$11)*($G$11-$F$11))))</f>
        <v>0.107002237652389</v>
      </c>
      <c r="H924" s="53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-2231677129.01193</v>
      </c>
      <c r="I924" s="53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-79485947.2841393</v>
      </c>
      <c r="J924" s="53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140439290.113828</v>
      </c>
      <c r="K924" s="53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416156455.737093</v>
      </c>
      <c r="L924" s="53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517890794.482824</v>
      </c>
      <c r="M924" s="53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674233389.021405</v>
      </c>
      <c r="N924" s="53" t="n">
        <f aca="false">IF(COUNT('Business Case'!B11:G11)=0,"",H924+NPV(G924,I924:M924))</f>
        <v>-1131676490.49057</v>
      </c>
      <c r="P924" s="54" t="n">
        <f aca="true">RAND()</f>
        <v>0.0277964620657796</v>
      </c>
      <c r="Q924" s="54" t="n">
        <f aca="true">RAND()</f>
        <v>0.277707711363425</v>
      </c>
      <c r="R924" s="54" t="n">
        <f aca="true">RAND()</f>
        <v>0.234332937708884</v>
      </c>
      <c r="S924" s="54" t="n">
        <f aca="true">RAND()</f>
        <v>0.556348312840378</v>
      </c>
      <c r="T924" s="54" t="n">
        <f aca="true">RAND()</f>
        <v>0.760009456349069</v>
      </c>
      <c r="U924" s="54" t="n">
        <f aca="true">RAND()</f>
        <v>0.64740195133519</v>
      </c>
    </row>
    <row r="925" customFormat="false" ht="15" hidden="false" customHeight="false" outlineLevel="0" collapsed="false">
      <c r="A925" s="50" t="n">
        <v>845</v>
      </c>
      <c r="B925" s="51" t="n">
        <f aca="false">1+IF($G$6=$E$6,$F$6,IF(P925&lt;($F$6-$E$6)/($G$6-$E$6),$E$6+SQRT(P925*($G$6-$E$6)*($F$6-$E$6)),$G$6-SQRT((1-P925)*($G$6-$E$6)*($G$6-$F$6))))</f>
        <v>1.02270448787339</v>
      </c>
      <c r="C925" s="51" t="n">
        <f aca="false">1+IF($G$7=$E$7,$F$7,IF(Q925&lt;($F$7-$E$7)/($G$7-$E$7),$E$7+SQRT(Q925*($G$7-$E$7)*($F$7-$E$7)),$G$7-SQRT((1-Q925)*($G$7-$E$7)*($G$7-$F$7))))</f>
        <v>0.913298617001133</v>
      </c>
      <c r="D925" s="51" t="n">
        <f aca="false">1+IF($G$8=$E$8,$F$8,IF(R925&lt;($F$8-$E$8)/($G$8-$E$8),$E$8+SQRT(R925*($G$8-$E$8)*($F$8-$E$8)),$G$8-SQRT((1-R925)*($G$8-$E$8)*($G$8-$F$8))))</f>
        <v>0.989028723460758</v>
      </c>
      <c r="E925" s="51" t="n">
        <f aca="false">1+IF($G$9=$E$9,$F$9,IF(S925&lt;($F$9-$E$9)/($G$9-$E$9),$E$9+SQRT(S925*($G$9-$E$9)*($F$9-$E$9)),$G$9-SQRT((1-S925)*($G$9-$E$9)*($G$9-$F$9))))</f>
        <v>1.00166964842681</v>
      </c>
      <c r="F925" s="51" t="n">
        <f aca="false">1+IF($G$10=$E$10,$F$10,IF(T925&lt;($F$10-$E$10)/($G$10-$E$10),$E$10+SQRT(T925*($G$10-$E$10)*($F$10-$E$10)),$G$10-SQRT((1-T925)*($G$10-$E$10)*($G$10-$F$10))))</f>
        <v>1.02957821309515</v>
      </c>
      <c r="G925" s="52" t="n">
        <f aca="false">IF($G$11=$E$11,$F$11,IF(U925&lt;($F$11-$E$11)/($G$11-$E$11),$E$11+SQRT(U925*($G$11-$E$11)*($F$11-$E$11)),$G$11-SQRT((1-U925)*($G$11-$E$11)*($G$11-$F$11))))</f>
        <v>0.0899603706564714</v>
      </c>
      <c r="H925" s="53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-2059156426.19029</v>
      </c>
      <c r="I925" s="53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8819621.44212529</v>
      </c>
      <c r="J925" s="53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311454841.572489</v>
      </c>
      <c r="K925" s="53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665568972.35761</v>
      </c>
      <c r="L925" s="53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798727614.649353</v>
      </c>
      <c r="M925" s="53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976268910.34827</v>
      </c>
      <c r="N925" s="53" t="n">
        <f aca="false">IF(COUNT('Business Case'!B11:G11)=0,"",H925+NPV(G925,I925:M925))</f>
        <v>-74358699.4494419</v>
      </c>
      <c r="P925" s="54" t="n">
        <f aca="true">RAND()</f>
        <v>0.900660669032794</v>
      </c>
      <c r="Q925" s="54" t="n">
        <f aca="true">RAND()</f>
        <v>0.337009629737747</v>
      </c>
      <c r="R925" s="54" t="n">
        <f aca="true">RAND()</f>
        <v>0.203098833996838</v>
      </c>
      <c r="S925" s="54" t="n">
        <f aca="true">RAND()</f>
        <v>0.413282848057946</v>
      </c>
      <c r="T925" s="54" t="n">
        <f aca="true">RAND()</f>
        <v>0.352189811435615</v>
      </c>
      <c r="U925" s="54" t="n">
        <f aca="true">RAND()</f>
        <v>0.0992089836142974</v>
      </c>
    </row>
    <row r="926" customFormat="false" ht="15" hidden="false" customHeight="false" outlineLevel="0" collapsed="false">
      <c r="A926" s="50" t="n">
        <v>846</v>
      </c>
      <c r="B926" s="51" t="n">
        <f aca="false">1+IF($G$6=$E$6,$F$6,IF(P926&lt;($F$6-$E$6)/($G$6-$E$6),$E$6+SQRT(P926*($G$6-$E$6)*($F$6-$E$6)),$G$6-SQRT((1-P926)*($G$6-$E$6)*($G$6-$F$6))))</f>
        <v>0.944065608208222</v>
      </c>
      <c r="C926" s="51" t="n">
        <f aca="false">1+IF($G$7=$E$7,$F$7,IF(Q926&lt;($F$7-$E$7)/($G$7-$E$7),$E$7+SQRT(Q926*($G$7-$E$7)*($F$7-$E$7)),$G$7-SQRT((1-Q926)*($G$7-$E$7)*($G$7-$F$7))))</f>
        <v>0.964832424621296</v>
      </c>
      <c r="D926" s="51" t="n">
        <f aca="false">1+IF($G$8=$E$8,$F$8,IF(R926&lt;($F$8-$E$8)/($G$8-$E$8),$E$8+SQRT(R926*($G$8-$E$8)*($F$8-$E$8)),$G$8-SQRT((1-R926)*($G$8-$E$8)*($G$8-$F$8))))</f>
        <v>1.03602873145157</v>
      </c>
      <c r="E926" s="51" t="n">
        <f aca="false">1+IF($G$9=$E$9,$F$9,IF(S926&lt;($F$9-$E$9)/($G$9-$E$9),$E$9+SQRT(S926*($G$9-$E$9)*($F$9-$E$9)),$G$9-SQRT((1-S926)*($G$9-$E$9)*($G$9-$F$9))))</f>
        <v>1.00977948855992</v>
      </c>
      <c r="F926" s="51" t="n">
        <f aca="false">1+IF($G$10=$E$10,$F$10,IF(T926&lt;($F$10-$E$10)/($G$10-$E$10),$E$10+SQRT(T926*($G$10-$E$10)*($F$10-$E$10)),$G$10-SQRT((1-T926)*($G$10-$E$10)*($G$10-$F$10))))</f>
        <v>1.10397992506877</v>
      </c>
      <c r="G926" s="52" t="n">
        <f aca="false">IF($G$11=$E$11,$F$11,IF(U926&lt;($F$11-$E$11)/($G$11-$E$11),$E$11+SQRT(U926*($G$11-$E$11)*($F$11-$E$11)),$G$11-SQRT((1-U926)*($G$11-$E$11)*($G$11-$F$11))))</f>
        <v>0.0898622913148633</v>
      </c>
      <c r="H926" s="53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-2207959850.13754</v>
      </c>
      <c r="I926" s="53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-66855994.1798799</v>
      </c>
      <c r="J926" s="53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167495894.710769</v>
      </c>
      <c r="K926" s="53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457046779.854857</v>
      </c>
      <c r="L926" s="53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566643574.345362</v>
      </c>
      <c r="M926" s="53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739780814.410276</v>
      </c>
      <c r="N926" s="53" t="n">
        <f aca="false">IF(COUNT('Business Case'!B11:G11)=0,"",H926+NPV(G926,I926:M926))</f>
        <v>-892493906.558732</v>
      </c>
      <c r="P926" s="54" t="n">
        <f aca="true">RAND()</f>
        <v>0.129451855117369</v>
      </c>
      <c r="Q926" s="54" t="n">
        <f aca="true">RAND()</f>
        <v>0.519527504672551</v>
      </c>
      <c r="R926" s="54" t="n">
        <f aca="true">RAND()</f>
        <v>0.727178453353638</v>
      </c>
      <c r="S926" s="54" t="n">
        <f aca="true">RAND()</f>
        <v>0.475685551239547</v>
      </c>
      <c r="T926" s="54" t="n">
        <f aca="true">RAND()</f>
        <v>0.715708502894382</v>
      </c>
      <c r="U926" s="54" t="n">
        <f aca="true">RAND()</f>
        <v>0.0972647899792279</v>
      </c>
    </row>
    <row r="927" customFormat="false" ht="15" hidden="false" customHeight="false" outlineLevel="0" collapsed="false">
      <c r="A927" s="50" t="n">
        <v>847</v>
      </c>
      <c r="B927" s="51" t="n">
        <f aca="false">1+IF($G$6=$E$6,$F$6,IF(P927&lt;($F$6-$E$6)/($G$6-$E$6),$E$6+SQRT(P927*($G$6-$E$6)*($F$6-$E$6)),$G$6-SQRT((1-P927)*($G$6-$E$6)*($G$6-$F$6))))</f>
        <v>1.01678209080747</v>
      </c>
      <c r="C927" s="51" t="n">
        <f aca="false">1+IF($G$7=$E$7,$F$7,IF(Q927&lt;($F$7-$E$7)/($G$7-$E$7),$E$7+SQRT(Q927*($G$7-$E$7)*($F$7-$E$7)),$G$7-SQRT((1-Q927)*($G$7-$E$7)*($G$7-$F$7))))</f>
        <v>0.907120734174095</v>
      </c>
      <c r="D927" s="51" t="n">
        <f aca="false">1+IF($G$8=$E$8,$F$8,IF(R927&lt;($F$8-$E$8)/($G$8-$E$8),$E$8+SQRT(R927*($G$8-$E$8)*($F$8-$E$8)),$G$8-SQRT((1-R927)*($G$8-$E$8)*($G$8-$F$8))))</f>
        <v>1.00126087723564</v>
      </c>
      <c r="E927" s="51" t="n">
        <f aca="false">1+IF($G$9=$E$9,$F$9,IF(S927&lt;($F$9-$E$9)/($G$9-$E$9),$E$9+SQRT(S927*($G$9-$E$9)*($F$9-$E$9)),$G$9-SQRT((1-S927)*($G$9-$E$9)*($G$9-$F$9))))</f>
        <v>0.974565828685705</v>
      </c>
      <c r="F927" s="51" t="n">
        <f aca="false">1+IF($G$10=$E$10,$F$10,IF(T927&lt;($F$10-$E$10)/($G$10-$E$10),$E$10+SQRT(T927*($G$10-$E$10)*($F$10-$E$10)),$G$10-SQRT((1-T927)*($G$10-$E$10)*($G$10-$F$10))))</f>
        <v>0.990820499397406</v>
      </c>
      <c r="G927" s="52" t="n">
        <f aca="false">IF($G$11=$E$11,$F$11,IF(U927&lt;($F$11-$E$11)/($G$11-$E$11),$E$11+SQRT(U927*($G$11-$E$11)*($F$11-$E$11)),$G$11-SQRT((1-U927)*($G$11-$E$11)*($G$11-$F$11))))</f>
        <v>0.106349334404314</v>
      </c>
      <c r="H927" s="53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-1981640998.79481</v>
      </c>
      <c r="I927" s="53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5027846.67810376</v>
      </c>
      <c r="J927" s="53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295535323.145216</v>
      </c>
      <c r="K927" s="53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635583824.582199</v>
      </c>
      <c r="L927" s="53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764295862.744676</v>
      </c>
      <c r="M927" s="53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939615032.448599</v>
      </c>
      <c r="N927" s="53" t="n">
        <f aca="false">IF(COUNT('Business Case'!B11:G11)=0,"",H927+NPV(G927,I927:M927))</f>
        <v>-189278485.498631</v>
      </c>
      <c r="P927" s="54" t="n">
        <f aca="true">RAND()</f>
        <v>0.852876067850262</v>
      </c>
      <c r="Q927" s="54" t="n">
        <f aca="true">RAND()</f>
        <v>0.317770359443081</v>
      </c>
      <c r="R927" s="54" t="n">
        <f aca="true">RAND()</f>
        <v>0.35003904238166</v>
      </c>
      <c r="S927" s="54" t="n">
        <f aca="true">RAND()</f>
        <v>0.222402512303434</v>
      </c>
      <c r="T927" s="54" t="n">
        <f aca="true">RAND()</f>
        <v>0.111087544736905</v>
      </c>
      <c r="U927" s="54" t="n">
        <f aca="true">RAND()</f>
        <v>0.627097344587369</v>
      </c>
    </row>
    <row r="928" customFormat="false" ht="15" hidden="false" customHeight="false" outlineLevel="0" collapsed="false">
      <c r="A928" s="50" t="n">
        <v>848</v>
      </c>
      <c r="B928" s="51" t="n">
        <f aca="false">1+IF($G$6=$E$6,$F$6,IF(P928&lt;($F$6-$E$6)/($G$6-$E$6),$E$6+SQRT(P928*($G$6-$E$6)*($F$6-$E$6)),$G$6-SQRT((1-P928)*($G$6-$E$6)*($G$6-$F$6))))</f>
        <v>1.01665712019326</v>
      </c>
      <c r="C928" s="51" t="n">
        <f aca="false">1+IF($G$7=$E$7,$F$7,IF(Q928&lt;($F$7-$E$7)/($G$7-$E$7),$E$7+SQRT(Q928*($G$7-$E$7)*($F$7-$E$7)),$G$7-SQRT((1-Q928)*($G$7-$E$7)*($G$7-$F$7))))</f>
        <v>1.00010244717904</v>
      </c>
      <c r="D928" s="51" t="n">
        <f aca="false">1+IF($G$8=$E$8,$F$8,IF(R928&lt;($F$8-$E$8)/($G$8-$E$8),$E$8+SQRT(R928*($G$8-$E$8)*($F$8-$E$8)),$G$8-SQRT((1-R928)*($G$8-$E$8)*($G$8-$F$8))))</f>
        <v>1.00189214752749</v>
      </c>
      <c r="E928" s="51" t="n">
        <f aca="false">1+IF($G$9=$E$9,$F$9,IF(S928&lt;($F$9-$E$9)/($G$9-$E$9),$E$9+SQRT(S928*($G$9-$E$9)*($F$9-$E$9)),$G$9-SQRT((1-S928)*($G$9-$E$9)*($G$9-$F$9))))</f>
        <v>1.04290273952152</v>
      </c>
      <c r="F928" s="51" t="n">
        <f aca="false">1+IF($G$10=$E$10,$F$10,IF(T928&lt;($F$10-$E$10)/($G$10-$E$10),$E$10+SQRT(T928*($G$10-$E$10)*($F$10-$E$10)),$G$10-SQRT((1-T928)*($G$10-$E$10)*($G$10-$F$10))))</f>
        <v>1.07299805200551</v>
      </c>
      <c r="G928" s="52" t="n">
        <f aca="false">IF($G$11=$E$11,$F$11,IF(U928&lt;($F$11-$E$11)/($G$11-$E$11),$E$11+SQRT(U928*($G$11-$E$11)*($F$11-$E$11)),$G$11-SQRT((1-U928)*($G$11-$E$11)*($G$11-$F$11))))</f>
        <v>0.100535107081794</v>
      </c>
      <c r="H928" s="53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-2145996104.01102</v>
      </c>
      <c r="I928" s="53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11550038.7404904</v>
      </c>
      <c r="J928" s="53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331409556.677734</v>
      </c>
      <c r="K928" s="53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704918977.215253</v>
      </c>
      <c r="L928" s="53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846678086.151829</v>
      </c>
      <c r="M928" s="53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1039944069.08472</v>
      </c>
      <c r="N928" s="53" t="n">
        <f aca="false">IF(COUNT('Business Case'!B11:G11)=0,"",H928+NPV(G928,I928:M928))</f>
        <v>-111707594.398342</v>
      </c>
      <c r="P928" s="54" t="n">
        <f aca="true">RAND()</f>
        <v>0.851766982159097</v>
      </c>
      <c r="Q928" s="54" t="n">
        <f aca="true">RAND()</f>
        <v>0.667121831974609</v>
      </c>
      <c r="R928" s="54" t="n">
        <f aca="true">RAND()</f>
        <v>0.358323285548806</v>
      </c>
      <c r="S928" s="54" t="n">
        <f aca="true">RAND()</f>
        <v>0.694138047946782</v>
      </c>
      <c r="T928" s="54" t="n">
        <f aca="true">RAND()</f>
        <v>0.582270805415401</v>
      </c>
      <c r="U928" s="54" t="n">
        <f aca="true">RAND()</f>
        <v>0.421213390212421</v>
      </c>
    </row>
    <row r="929" customFormat="false" ht="15" hidden="false" customHeight="false" outlineLevel="0" collapsed="false">
      <c r="A929" s="50" t="n">
        <v>849</v>
      </c>
      <c r="B929" s="51" t="n">
        <f aca="false">1+IF($G$6=$E$6,$F$6,IF(P929&lt;($F$6-$E$6)/($G$6-$E$6),$E$6+SQRT(P929*($G$6-$E$6)*($F$6-$E$6)),$G$6-SQRT((1-P929)*($G$6-$E$6)*($G$6-$F$6))))</f>
        <v>1.02425057681584</v>
      </c>
      <c r="C929" s="51" t="n">
        <f aca="false">1+IF($G$7=$E$7,$F$7,IF(Q929&lt;($F$7-$E$7)/($G$7-$E$7),$E$7+SQRT(Q929*($G$7-$E$7)*($F$7-$E$7)),$G$7-SQRT((1-Q929)*($G$7-$E$7)*($G$7-$F$7))))</f>
        <v>1.07591979053793</v>
      </c>
      <c r="D929" s="51" t="n">
        <f aca="false">1+IF($G$8=$E$8,$F$8,IF(R929&lt;($F$8-$E$8)/($G$8-$E$8),$E$8+SQRT(R929*($G$8-$E$8)*($F$8-$E$8)),$G$8-SQRT((1-R929)*($G$8-$E$8)*($G$8-$F$8))))</f>
        <v>1.01762821683361</v>
      </c>
      <c r="E929" s="51" t="n">
        <f aca="false">1+IF($G$9=$E$9,$F$9,IF(S929&lt;($F$9-$E$9)/($G$9-$E$9),$E$9+SQRT(S929*($G$9-$E$9)*($F$9-$E$9)),$G$9-SQRT((1-S929)*($G$9-$E$9)*($G$9-$F$9))))</f>
        <v>1.06555691497832</v>
      </c>
      <c r="F929" s="51" t="n">
        <f aca="false">1+IF($G$10=$E$10,$F$10,IF(T929&lt;($F$10-$E$10)/($G$10-$E$10),$E$10+SQRT(T929*($G$10-$E$10)*($F$10-$E$10)),$G$10-SQRT((1-T929)*($G$10-$E$10)*($G$10-$F$10))))</f>
        <v>1.08565312655743</v>
      </c>
      <c r="G929" s="52" t="n">
        <f aca="false">IF($G$11=$E$11,$F$11,IF(U929&lt;($F$11-$E$11)/($G$11-$E$11),$E$11+SQRT(U929*($G$11-$E$11)*($F$11-$E$11)),$G$11-SQRT((1-U929)*($G$11-$E$11)*($G$11-$F$11))))</f>
        <v>0.103082897646471</v>
      </c>
      <c r="H929" s="53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-2171306253.11487</v>
      </c>
      <c r="I929" s="53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24916741.0687998</v>
      </c>
      <c r="J929" s="53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367049262.504125</v>
      </c>
      <c r="K929" s="53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763464440.267322</v>
      </c>
      <c r="L929" s="53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915594130.346339</v>
      </c>
      <c r="M929" s="53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1125064469.81618</v>
      </c>
      <c r="N929" s="53" t="n">
        <f aca="false">IF(COUNT('Business Case'!B11:G11)=0,"",H929+NPV(G929,I929:M929))</f>
        <v>29011874.2709436</v>
      </c>
      <c r="P929" s="54" t="n">
        <f aca="true">RAND()</f>
        <v>0.911595627424423</v>
      </c>
      <c r="Q929" s="54" t="n">
        <f aca="true">RAND()</f>
        <v>0.918698112089724</v>
      </c>
      <c r="R929" s="54" t="n">
        <f aca="true">RAND()</f>
        <v>0.547659289199255</v>
      </c>
      <c r="S929" s="54" t="n">
        <f aca="true">RAND()</f>
        <v>0.809849743787243</v>
      </c>
      <c r="T929" s="54" t="n">
        <f aca="true">RAND()</f>
        <v>0.639868069195374</v>
      </c>
      <c r="U929" s="54" t="n">
        <f aca="true">RAND()</f>
        <v>0.51697973392642</v>
      </c>
    </row>
    <row r="930" customFormat="false" ht="15" hidden="false" customHeight="false" outlineLevel="0" collapsed="false">
      <c r="A930" s="50" t="n">
        <v>850</v>
      </c>
      <c r="B930" s="51" t="n">
        <f aca="false">1+IF($G$6=$E$6,$F$6,IF(P930&lt;($F$6-$E$6)/($G$6-$E$6),$E$6+SQRT(P930*($G$6-$E$6)*($F$6-$E$6)),$G$6-SQRT((1-P930)*($G$6-$E$6)*($G$6-$F$6))))</f>
        <v>0.980562658583962</v>
      </c>
      <c r="C930" s="51" t="n">
        <f aca="false">1+IF($G$7=$E$7,$F$7,IF(Q930&lt;($F$7-$E$7)/($G$7-$E$7),$E$7+SQRT(Q930*($G$7-$E$7)*($F$7-$E$7)),$G$7-SQRT((1-Q930)*($G$7-$E$7)*($G$7-$F$7))))</f>
        <v>0.894178547718261</v>
      </c>
      <c r="D930" s="51" t="n">
        <f aca="false">1+IF($G$8=$E$8,$F$8,IF(R930&lt;($F$8-$E$8)/($G$8-$E$8),$E$8+SQRT(R930*($G$8-$E$8)*($F$8-$E$8)),$G$8-SQRT((1-R930)*($G$8-$E$8)*($G$8-$F$8))))</f>
        <v>0.997466832754718</v>
      </c>
      <c r="E930" s="51" t="n">
        <f aca="false">1+IF($G$9=$E$9,$F$9,IF(S930&lt;($F$9-$E$9)/($G$9-$E$9),$E$9+SQRT(S930*($G$9-$E$9)*($F$9-$E$9)),$G$9-SQRT((1-S930)*($G$9-$E$9)*($G$9-$F$9))))</f>
        <v>1.01604216752271</v>
      </c>
      <c r="F930" s="51" t="n">
        <f aca="false">1+IF($G$10=$E$10,$F$10,IF(T930&lt;($F$10-$E$10)/($G$10-$E$10),$E$10+SQRT(T930*($G$10-$E$10)*($F$10-$E$10)),$G$10-SQRT((1-T930)*($G$10-$E$10)*($G$10-$F$10))))</f>
        <v>1.09649877335503</v>
      </c>
      <c r="G930" s="52" t="n">
        <f aca="false">IF($G$11=$E$11,$F$11,IF(U930&lt;($F$11-$E$11)/($G$11-$E$11),$E$11+SQRT(U930*($G$11-$E$11)*($F$11-$E$11)),$G$11-SQRT((1-U930)*($G$11-$E$11)*($G$11-$F$11))))</f>
        <v>0.108230144569531</v>
      </c>
      <c r="H930" s="53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-2192997546.71006</v>
      </c>
      <c r="I930" s="53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-38011848.50819</v>
      </c>
      <c r="J930" s="53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223560589.733779</v>
      </c>
      <c r="K930" s="53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539957966.643499</v>
      </c>
      <c r="L930" s="53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657450921.51944</v>
      </c>
      <c r="M930" s="53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824112703.226839</v>
      </c>
      <c r="N930" s="53" t="n">
        <f aca="false">IF(COUNT('Business Case'!B11:G11)=0,"",H930+NPV(G930,I930:M930))</f>
        <v>-719718150.388976</v>
      </c>
      <c r="P930" s="54" t="n">
        <f aca="true">RAND()</f>
        <v>0.432689463874397</v>
      </c>
      <c r="Q930" s="54" t="n">
        <f aca="true">RAND()</f>
        <v>0.279298580696095</v>
      </c>
      <c r="R930" s="54" t="n">
        <f aca="true">RAND()</f>
        <v>0.300413361568585</v>
      </c>
      <c r="S930" s="54" t="n">
        <f aca="true">RAND()</f>
        <v>0.52147464314629</v>
      </c>
      <c r="T930" s="54" t="n">
        <f aca="true">RAND()</f>
        <v>0.685831645579851</v>
      </c>
      <c r="U930" s="54" t="n">
        <f aca="true">RAND()</f>
        <v>0.684048929690983</v>
      </c>
    </row>
    <row r="931" customFormat="false" ht="15" hidden="false" customHeight="false" outlineLevel="0" collapsed="false">
      <c r="A931" s="50" t="n">
        <v>851</v>
      </c>
      <c r="B931" s="51" t="n">
        <f aca="false">1+IF($G$6=$E$6,$F$6,IF(P931&lt;($F$6-$E$6)/($G$6-$E$6),$E$6+SQRT(P931*($G$6-$E$6)*($F$6-$E$6)),$G$6-SQRT((1-P931)*($G$6-$E$6)*($G$6-$F$6))))</f>
        <v>0.984706057334403</v>
      </c>
      <c r="C931" s="51" t="n">
        <f aca="false">1+IF($G$7=$E$7,$F$7,IF(Q931&lt;($F$7-$E$7)/($G$7-$E$7),$E$7+SQRT(Q931*($G$7-$E$7)*($F$7-$E$7)),$G$7-SQRT((1-Q931)*($G$7-$E$7)*($G$7-$F$7))))</f>
        <v>0.990777003664495</v>
      </c>
      <c r="D931" s="51" t="n">
        <f aca="false">1+IF($G$8=$E$8,$F$8,IF(R931&lt;($F$8-$E$8)/($G$8-$E$8),$E$8+SQRT(R931*($G$8-$E$8)*($F$8-$E$8)),$G$8-SQRT((1-R931)*($G$8-$E$8)*($G$8-$F$8))))</f>
        <v>1.0132052191137</v>
      </c>
      <c r="E931" s="51" t="n">
        <f aca="false">1+IF($G$9=$E$9,$F$9,IF(S931&lt;($F$9-$E$9)/($G$9-$E$9),$E$9+SQRT(S931*($G$9-$E$9)*($F$9-$E$9)),$G$9-SQRT((1-S931)*($G$9-$E$9)*($G$9-$F$9))))</f>
        <v>1.03105761128305</v>
      </c>
      <c r="F931" s="51" t="n">
        <f aca="false">1+IF($G$10=$E$10,$F$10,IF(T931&lt;($F$10-$E$10)/($G$10-$E$10),$E$10+SQRT(T931*($G$10-$E$10)*($F$10-$E$10)),$G$10-SQRT((1-T931)*($G$10-$E$10)*($G$10-$F$10))))</f>
        <v>1.011114587644</v>
      </c>
      <c r="G931" s="52" t="n">
        <f aca="false">IF($G$11=$E$11,$F$11,IF(U931&lt;($F$11-$E$11)/($G$11-$E$11),$E$11+SQRT(U931*($G$11-$E$11)*($F$11-$E$11)),$G$11-SQRT((1-U931)*($G$11-$E$11)*($G$11-$F$11))))</f>
        <v>0.0860258643182922</v>
      </c>
      <c r="H931" s="53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-2022229175.28799</v>
      </c>
      <c r="I931" s="53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-13094040.457023</v>
      </c>
      <c r="J931" s="53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272116124.398841</v>
      </c>
      <c r="K931" s="53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607882018.636905</v>
      </c>
      <c r="L931" s="53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736669643.071553</v>
      </c>
      <c r="M931" s="53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922116275.226362</v>
      </c>
      <c r="N931" s="53" t="n">
        <f aca="false">IF(COUNT('Business Case'!B11:G11)=0,"",H931+NPV(G931,I931:M931))</f>
        <v>-189089107.216435</v>
      </c>
      <c r="P931" s="54" t="n">
        <f aca="true">RAND()</f>
        <v>0.478341076609279</v>
      </c>
      <c r="Q931" s="54" t="n">
        <f aca="true">RAND()</f>
        <v>0.626305673037789</v>
      </c>
      <c r="R931" s="54" t="n">
        <f aca="true">RAND()</f>
        <v>0.497777734059911</v>
      </c>
      <c r="S931" s="54" t="n">
        <f aca="true">RAND()</f>
        <v>0.622738884434797</v>
      </c>
      <c r="T931" s="54" t="n">
        <f aca="true">RAND()</f>
        <v>0.239116796846688</v>
      </c>
      <c r="U931" s="54" t="n">
        <f aca="true">RAND()</f>
        <v>0.0363110407824675</v>
      </c>
    </row>
    <row r="932" customFormat="false" ht="15" hidden="false" customHeight="false" outlineLevel="0" collapsed="false">
      <c r="A932" s="50" t="n">
        <v>852</v>
      </c>
      <c r="B932" s="51" t="n">
        <f aca="false">1+IF($G$6=$E$6,$F$6,IF(P932&lt;($F$6-$E$6)/($G$6-$E$6),$E$6+SQRT(P932*($G$6-$E$6)*($F$6-$E$6)),$G$6-SQRT((1-P932)*($G$6-$E$6)*($G$6-$F$6))))</f>
        <v>0.95969048359818</v>
      </c>
      <c r="C932" s="51" t="n">
        <f aca="false">1+IF($G$7=$E$7,$F$7,IF(Q932&lt;($F$7-$E$7)/($G$7-$E$7),$E$7+SQRT(Q932*($G$7-$E$7)*($F$7-$E$7)),$G$7-SQRT((1-Q932)*($G$7-$E$7)*($G$7-$F$7))))</f>
        <v>1.08325782095878</v>
      </c>
      <c r="D932" s="51" t="n">
        <f aca="false">1+IF($G$8=$E$8,$F$8,IF(R932&lt;($F$8-$E$8)/($G$8-$E$8),$E$8+SQRT(R932*($G$8-$E$8)*($F$8-$E$8)),$G$8-SQRT((1-R932)*($G$8-$E$8)*($G$8-$F$8))))</f>
        <v>0.994043412140384</v>
      </c>
      <c r="E932" s="51" t="n">
        <f aca="false">1+IF($G$9=$E$9,$F$9,IF(S932&lt;($F$9-$E$9)/($G$9-$E$9),$E$9+SQRT(S932*($G$9-$E$9)*($F$9-$E$9)),$G$9-SQRT((1-S932)*($G$9-$E$9)*($G$9-$F$9))))</f>
        <v>1.06517258015798</v>
      </c>
      <c r="F932" s="51" t="n">
        <f aca="false">1+IF($G$10=$E$10,$F$10,IF(T932&lt;($F$10-$E$10)/($G$10-$E$10),$E$10+SQRT(T932*($G$10-$E$10)*($F$10-$E$10)),$G$10-SQRT((1-T932)*($G$10-$E$10)*($G$10-$F$10))))</f>
        <v>1.20504632025165</v>
      </c>
      <c r="G932" s="52" t="n">
        <f aca="false">IF($G$11=$E$11,$F$11,IF(U932&lt;($F$11-$E$11)/($G$11-$E$11),$E$11+SQRT(U932*($G$11-$E$11)*($F$11-$E$11)),$G$11-SQRT((1-U932)*($G$11-$E$11)*($G$11-$F$11))))</f>
        <v>0.101808682739627</v>
      </c>
      <c r="H932" s="53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-2410092640.50329</v>
      </c>
      <c r="I932" s="53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-25601922.6797026</v>
      </c>
      <c r="J932" s="53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274660788.355682</v>
      </c>
      <c r="K932" s="53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635175815.40365</v>
      </c>
      <c r="L932" s="53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771191692.943084</v>
      </c>
      <c r="M932" s="53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968797382.511763</v>
      </c>
      <c r="N932" s="53" t="n">
        <f aca="false">IF(COUNT('Business Case'!B11:G11)=0,"",H932+NPV(G932,I932:M932))</f>
        <v>-612300527.937142</v>
      </c>
      <c r="P932" s="54" t="n">
        <f aca="true">RAND()</f>
        <v>0.23753025547897</v>
      </c>
      <c r="Q932" s="54" t="n">
        <f aca="true">RAND()</f>
        <v>0.934007133878966</v>
      </c>
      <c r="R932" s="54" t="n">
        <f aca="true">RAND()</f>
        <v>0.258642953729026</v>
      </c>
      <c r="S932" s="54" t="n">
        <f aca="true">RAND()</f>
        <v>0.808114902478565</v>
      </c>
      <c r="T932" s="54" t="n">
        <f aca="true">RAND()</f>
        <v>0.973055555694432</v>
      </c>
      <c r="U932" s="54" t="n">
        <f aca="true">RAND()</f>
        <v>0.470166420750003</v>
      </c>
    </row>
    <row r="933" customFormat="false" ht="15" hidden="false" customHeight="false" outlineLevel="0" collapsed="false">
      <c r="A933" s="50" t="n">
        <v>853</v>
      </c>
      <c r="B933" s="51" t="n">
        <f aca="false">1+IF($G$6=$E$6,$F$6,IF(P933&lt;($F$6-$E$6)/($G$6-$E$6),$E$6+SQRT(P933*($G$6-$E$6)*($F$6-$E$6)),$G$6-SQRT((1-P933)*($G$6-$E$6)*($G$6-$F$6))))</f>
        <v>0.954647219259507</v>
      </c>
      <c r="C933" s="51" t="n">
        <f aca="false">1+IF($G$7=$E$7,$F$7,IF(Q933&lt;($F$7-$E$7)/($G$7-$E$7),$E$7+SQRT(Q933*($G$7-$E$7)*($F$7-$E$7)),$G$7-SQRT((1-Q933)*($G$7-$E$7)*($G$7-$F$7))))</f>
        <v>0.895679536589307</v>
      </c>
      <c r="D933" s="51" t="n">
        <f aca="false">1+IF($G$8=$E$8,$F$8,IF(R933&lt;($F$8-$E$8)/($G$8-$E$8),$E$8+SQRT(R933*($G$8-$E$8)*($F$8-$E$8)),$G$8-SQRT((1-R933)*($G$8-$E$8)*($G$8-$F$8))))</f>
        <v>0.988091920910594</v>
      </c>
      <c r="E933" s="51" t="n">
        <f aca="false">1+IF($G$9=$E$9,$F$9,IF(S933&lt;($F$9-$E$9)/($G$9-$E$9),$E$9+SQRT(S933*($G$9-$E$9)*($F$9-$E$9)),$G$9-SQRT((1-S933)*($G$9-$E$9)*($G$9-$F$9))))</f>
        <v>1.05197618488224</v>
      </c>
      <c r="F933" s="51" t="n">
        <f aca="false">1+IF($G$10=$E$10,$F$10,IF(T933&lt;($F$10-$E$10)/($G$10-$E$10),$E$10+SQRT(T933*($G$10-$E$10)*($F$10-$E$10)),$G$10-SQRT((1-T933)*($G$10-$E$10)*($G$10-$F$10))))</f>
        <v>1.0277436656185</v>
      </c>
      <c r="G933" s="52" t="n">
        <f aca="false">IF($G$11=$E$11,$F$11,IF(U933&lt;($F$11-$E$11)/($G$11-$E$11),$E$11+SQRT(U933*($G$11-$E$11)*($F$11-$E$11)),$G$11-SQRT((1-U933)*($G$11-$E$11)*($G$11-$F$11))))</f>
        <v>0.109745582377034</v>
      </c>
      <c r="H933" s="53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-2055487331.237</v>
      </c>
      <c r="I933" s="53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-49393757.1275833</v>
      </c>
      <c r="J933" s="53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197904071.425842</v>
      </c>
      <c r="K933" s="53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496589083.260193</v>
      </c>
      <c r="L933" s="53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608572496.530604</v>
      </c>
      <c r="M933" s="53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771101917.169919</v>
      </c>
      <c r="N933" s="53" t="n">
        <f aca="false">IF(COUNT('Business Case'!B11:G11)=0,"",H933+NPV(G933,I933:M933))</f>
        <v>-716558369.97458</v>
      </c>
      <c r="P933" s="54" t="n">
        <f aca="true">RAND()</f>
        <v>0.199087904853105</v>
      </c>
      <c r="Q933" s="54" t="n">
        <f aca="true">RAND()</f>
        <v>0.28363319288745</v>
      </c>
      <c r="R933" s="54" t="n">
        <f aca="true">RAND()</f>
        <v>0.193465925154522</v>
      </c>
      <c r="S933" s="54" t="n">
        <f aca="true">RAND()</f>
        <v>0.74376884452692</v>
      </c>
      <c r="T933" s="54" t="n">
        <f aca="true">RAND()</f>
        <v>0.341361624363985</v>
      </c>
      <c r="U933" s="54" t="n">
        <f aca="true">RAND()</f>
        <v>0.726505711169653</v>
      </c>
    </row>
    <row r="934" customFormat="false" ht="15" hidden="false" customHeight="false" outlineLevel="0" collapsed="false">
      <c r="A934" s="50" t="n">
        <v>854</v>
      </c>
      <c r="B934" s="51" t="n">
        <f aca="false">1+IF($G$6=$E$6,$F$6,IF(P934&lt;($F$6-$E$6)/($G$6-$E$6),$E$6+SQRT(P934*($G$6-$E$6)*($F$6-$E$6)),$G$6-SQRT((1-P934)*($G$6-$E$6)*($G$6-$F$6))))</f>
        <v>0.967230583165053</v>
      </c>
      <c r="C934" s="51" t="n">
        <f aca="false">1+IF($G$7=$E$7,$F$7,IF(Q934&lt;($F$7-$E$7)/($G$7-$E$7),$E$7+SQRT(Q934*($G$7-$E$7)*($F$7-$E$7)),$G$7-SQRT((1-Q934)*($G$7-$E$7)*($G$7-$F$7))))</f>
        <v>0.740046696961184</v>
      </c>
      <c r="D934" s="51" t="n">
        <f aca="false">1+IF($G$8=$E$8,$F$8,IF(R934&lt;($F$8-$E$8)/($G$8-$E$8),$E$8+SQRT(R934*($G$8-$E$8)*($F$8-$E$8)),$G$8-SQRT((1-R934)*($G$8-$E$8)*($G$8-$F$8))))</f>
        <v>1.00271623010373</v>
      </c>
      <c r="E934" s="51" t="n">
        <f aca="false">1+IF($G$9=$E$9,$F$9,IF(S934&lt;($F$9-$E$9)/($G$9-$E$9),$E$9+SQRT(S934*($G$9-$E$9)*($F$9-$E$9)),$G$9-SQRT((1-S934)*($G$9-$E$9)*($G$9-$F$9))))</f>
        <v>1.00308019405865</v>
      </c>
      <c r="F934" s="51" t="n">
        <f aca="false">1+IF($G$10=$E$10,$F$10,IF(T934&lt;($F$10-$E$10)/($G$10-$E$10),$E$10+SQRT(T934*($G$10-$E$10)*($F$10-$E$10)),$G$10-SQRT((1-T934)*($G$10-$E$10)*($G$10-$F$10))))</f>
        <v>1.21327001925156</v>
      </c>
      <c r="G934" s="52" t="n">
        <f aca="false">IF($G$11=$E$11,$F$11,IF(U934&lt;($F$11-$E$11)/($G$11-$E$11),$E$11+SQRT(U934*($G$11-$E$11)*($F$11-$E$11)),$G$11-SQRT((1-U934)*($G$11-$E$11)*($G$11-$F$11))))</f>
        <v>0.0989351309720974</v>
      </c>
      <c r="H934" s="53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-2426540038.50313</v>
      </c>
      <c r="I934" s="53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-94657298.1221567</v>
      </c>
      <c r="J934" s="53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111757263.458359</v>
      </c>
      <c r="K934" s="53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378835326.001453</v>
      </c>
      <c r="L934" s="53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472378082.649875</v>
      </c>
      <c r="M934" s="53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608436547.985253</v>
      </c>
      <c r="N934" s="53" t="n">
        <f aca="false">IF(COUNT('Business Case'!B11:G11)=0,"",H934+NPV(G934,I934:M934))</f>
        <v>-1431164121.93814</v>
      </c>
      <c r="P934" s="54" t="n">
        <f aca="true">RAND()</f>
        <v>0.301330087514207</v>
      </c>
      <c r="Q934" s="54" t="n">
        <f aca="true">RAND()</f>
        <v>0.0118795402777847</v>
      </c>
      <c r="R934" s="54" t="n">
        <f aca="true">RAND()</f>
        <v>0.369057874317909</v>
      </c>
      <c r="S934" s="54" t="n">
        <f aca="true">RAND()</f>
        <v>0.424388549924154</v>
      </c>
      <c r="T934" s="54" t="n">
        <f aca="true">RAND()</f>
        <v>0.982012113522928</v>
      </c>
      <c r="U934" s="54" t="n">
        <f aca="true">RAND()</f>
        <v>0.358539184930481</v>
      </c>
    </row>
    <row r="935" customFormat="false" ht="15" hidden="false" customHeight="false" outlineLevel="0" collapsed="false">
      <c r="A935" s="50" t="n">
        <v>855</v>
      </c>
      <c r="B935" s="51" t="n">
        <f aca="false">1+IF($G$6=$E$6,$F$6,IF(P935&lt;($F$6-$E$6)/($G$6-$E$6),$E$6+SQRT(P935*($G$6-$E$6)*($F$6-$E$6)),$G$6-SQRT((1-P935)*($G$6-$E$6)*($G$6-$F$6))))</f>
        <v>0.987126621301614</v>
      </c>
      <c r="C935" s="51" t="n">
        <f aca="false">1+IF($G$7=$E$7,$F$7,IF(Q935&lt;($F$7-$E$7)/($G$7-$E$7),$E$7+SQRT(Q935*($G$7-$E$7)*($F$7-$E$7)),$G$7-SQRT((1-Q935)*($G$7-$E$7)*($G$7-$F$7))))</f>
        <v>0.759110855189428</v>
      </c>
      <c r="D935" s="51" t="n">
        <f aca="false">1+IF($G$8=$E$8,$F$8,IF(R935&lt;($F$8-$E$8)/($G$8-$E$8),$E$8+SQRT(R935*($G$8-$E$8)*($F$8-$E$8)),$G$8-SQRT((1-R935)*($G$8-$E$8)*($G$8-$F$8))))</f>
        <v>0.990617354932994</v>
      </c>
      <c r="E935" s="51" t="n">
        <f aca="false">1+IF($G$9=$E$9,$F$9,IF(S935&lt;($F$9-$E$9)/($G$9-$E$9),$E$9+SQRT(S935*($G$9-$E$9)*($F$9-$E$9)),$G$9-SQRT((1-S935)*($G$9-$E$9)*($G$9-$F$9))))</f>
        <v>1.015808879682</v>
      </c>
      <c r="F935" s="51" t="n">
        <f aca="false">1+IF($G$10=$E$10,$F$10,IF(T935&lt;($F$10-$E$10)/($G$10-$E$10),$E$10+SQRT(T935*($G$10-$E$10)*($F$10-$E$10)),$G$10-SQRT((1-T935)*($G$10-$E$10)*($G$10-$F$10))))</f>
        <v>1.12873533762024</v>
      </c>
      <c r="G935" s="52" t="n">
        <f aca="false">IF($G$11=$E$11,$F$11,IF(U935&lt;($F$11-$E$11)/($G$11-$E$11),$E$11+SQRT(U935*($G$11-$E$11)*($F$11-$E$11)),$G$11-SQRT((1-U935)*($G$11-$E$11)*($G$11-$F$11))))</f>
        <v>0.0915733264359534</v>
      </c>
      <c r="H935" s="53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-2257470675.24048</v>
      </c>
      <c r="I935" s="53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-67362949.8960657</v>
      </c>
      <c r="J935" s="53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161441366.246464</v>
      </c>
      <c r="K935" s="53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446682449.270006</v>
      </c>
      <c r="L935" s="53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548847694.37471</v>
      </c>
      <c r="M935" s="53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691281962.855942</v>
      </c>
      <c r="N935" s="53" t="n">
        <f aca="false">IF(COUNT('Business Case'!B11:G11)=0,"",H935+NPV(G935,I935:M935))</f>
        <v>-1007622394.69844</v>
      </c>
      <c r="P935" s="54" t="n">
        <f aca="true">RAND()</f>
        <v>0.50606987596232</v>
      </c>
      <c r="Q935" s="54" t="n">
        <f aca="true">RAND()</f>
        <v>0.0258821718609299</v>
      </c>
      <c r="R935" s="54" t="n">
        <f aca="true">RAND()</f>
        <v>0.219969269567043</v>
      </c>
      <c r="S935" s="54" t="n">
        <f aca="true">RAND()</f>
        <v>0.519806486074689</v>
      </c>
      <c r="T935" s="54" t="n">
        <f aca="true">RAND()</f>
        <v>0.803931755438969</v>
      </c>
      <c r="U935" s="54" t="n">
        <f aca="true">RAND()</f>
        <v>0.133941884793138</v>
      </c>
    </row>
    <row r="936" customFormat="false" ht="15" hidden="false" customHeight="false" outlineLevel="0" collapsed="false">
      <c r="A936" s="50" t="n">
        <v>856</v>
      </c>
      <c r="B936" s="51" t="n">
        <f aca="false">1+IF($G$6=$E$6,$F$6,IF(P936&lt;($F$6-$E$6)/($G$6-$E$6),$E$6+SQRT(P936*($G$6-$E$6)*($F$6-$E$6)),$G$6-SQRT((1-P936)*($G$6-$E$6)*($G$6-$F$6))))</f>
        <v>0.936421387418127</v>
      </c>
      <c r="C936" s="51" t="n">
        <f aca="false">1+IF($G$7=$E$7,$F$7,IF(Q936&lt;($F$7-$E$7)/($G$7-$E$7),$E$7+SQRT(Q936*($G$7-$E$7)*($F$7-$E$7)),$G$7-SQRT((1-Q936)*($G$7-$E$7)*($G$7-$F$7))))</f>
        <v>0.818685549744931</v>
      </c>
      <c r="D936" s="51" t="n">
        <f aca="false">1+IF($G$8=$E$8,$F$8,IF(R936&lt;($F$8-$E$8)/($G$8-$E$8),$E$8+SQRT(R936*($G$8-$E$8)*($F$8-$E$8)),$G$8-SQRT((1-R936)*($G$8-$E$8)*($G$8-$F$8))))</f>
        <v>1.06586211750557</v>
      </c>
      <c r="E936" s="51" t="n">
        <f aca="false">1+IF($G$9=$E$9,$F$9,IF(S936&lt;($F$9-$E$9)/($G$9-$E$9),$E$9+SQRT(S936*($G$9-$E$9)*($F$9-$E$9)),$G$9-SQRT((1-S936)*($G$9-$E$9)*($G$9-$F$9))))</f>
        <v>1.04389083208479</v>
      </c>
      <c r="F936" s="51" t="n">
        <f aca="false">1+IF($G$10=$E$10,$F$10,IF(T936&lt;($F$10-$E$10)/($G$10-$E$10),$E$10+SQRT(T936*($G$10-$E$10)*($F$10-$E$10)),$G$10-SQRT((1-T936)*($G$10-$E$10)*($G$10-$F$10))))</f>
        <v>1.12178272470674</v>
      </c>
      <c r="G936" s="52" t="n">
        <f aca="false">IF($G$11=$E$11,$F$11,IF(U936&lt;($F$11-$E$11)/($G$11-$E$11),$E$11+SQRT(U936*($G$11-$E$11)*($F$11-$E$11)),$G$11-SQRT((1-U936)*($G$11-$E$11)*($G$11-$F$11))))</f>
        <v>0.10346459240831</v>
      </c>
      <c r="H936" s="53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-2243565449.41348</v>
      </c>
      <c r="I936" s="53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-119137325.898479</v>
      </c>
      <c r="J936" s="53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62087237.6851049</v>
      </c>
      <c r="K936" s="53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299400937.504026</v>
      </c>
      <c r="L936" s="53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386304019.157842</v>
      </c>
      <c r="M936" s="53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532025935.017261</v>
      </c>
      <c r="N936" s="53" t="n">
        <f aca="false">IF(COUNT('Business Case'!B11:G11)=0,"",H936+NPV(G936,I936:M936))</f>
        <v>-1491964365.35737</v>
      </c>
      <c r="P936" s="54" t="n">
        <f aca="true">RAND()</f>
        <v>0.0884344974307518</v>
      </c>
      <c r="Q936" s="54" t="n">
        <f aca="true">RAND()</f>
        <v>0.104342664579678</v>
      </c>
      <c r="R936" s="54" t="n">
        <f aca="true">RAND()</f>
        <v>0.92230699858641</v>
      </c>
      <c r="S936" s="54" t="n">
        <f aca="true">RAND()</f>
        <v>0.699755852915784</v>
      </c>
      <c r="T936" s="54" t="n">
        <f aca="true">RAND()</f>
        <v>0.780804404218302</v>
      </c>
      <c r="U936" s="54" t="n">
        <f aca="true">RAND()</f>
        <v>0.530581429295262</v>
      </c>
    </row>
    <row r="937" customFormat="false" ht="15" hidden="false" customHeight="false" outlineLevel="0" collapsed="false">
      <c r="A937" s="50" t="n">
        <v>857</v>
      </c>
      <c r="B937" s="51" t="n">
        <f aca="false">1+IF($G$6=$E$6,$F$6,IF(P937&lt;($F$6-$E$6)/($G$6-$E$6),$E$6+SQRT(P937*($G$6-$E$6)*($F$6-$E$6)),$G$6-SQRT((1-P937)*($G$6-$E$6)*($G$6-$F$6))))</f>
        <v>1.00316904627802</v>
      </c>
      <c r="C937" s="51" t="n">
        <f aca="false">1+IF($G$7=$E$7,$F$7,IF(Q937&lt;($F$7-$E$7)/($G$7-$E$7),$E$7+SQRT(Q937*($G$7-$E$7)*($F$7-$E$7)),$G$7-SQRT((1-Q937)*($G$7-$E$7)*($G$7-$F$7))))</f>
        <v>0.976564103563919</v>
      </c>
      <c r="D937" s="51" t="n">
        <f aca="false">1+IF($G$8=$E$8,$F$8,IF(R937&lt;($F$8-$E$8)/($G$8-$E$8),$E$8+SQRT(R937*($G$8-$E$8)*($F$8-$E$8)),$G$8-SQRT((1-R937)*($G$8-$E$8)*($G$8-$F$8))))</f>
        <v>1.00750184559689</v>
      </c>
      <c r="E937" s="51" t="n">
        <f aca="false">1+IF($G$9=$E$9,$F$9,IF(S937&lt;($F$9-$E$9)/($G$9-$E$9),$E$9+SQRT(S937*($G$9-$E$9)*($F$9-$E$9)),$G$9-SQRT((1-S937)*($G$9-$E$9)*($G$9-$F$9))))</f>
        <v>1.07597262748333</v>
      </c>
      <c r="F937" s="51" t="n">
        <f aca="false">1+IF($G$10=$E$10,$F$10,IF(T937&lt;($F$10-$E$10)/($G$10-$E$10),$E$10+SQRT(T937*($G$10-$E$10)*($F$10-$E$10)),$G$10-SQRT((1-T937)*($G$10-$E$10)*($G$10-$F$10))))</f>
        <v>0.985513986280025</v>
      </c>
      <c r="G937" s="52" t="n">
        <f aca="false">IF($G$11=$E$11,$F$11,IF(U937&lt;($F$11-$E$11)/($G$11-$E$11),$E$11+SQRT(U937*($G$11-$E$11)*($F$11-$E$11)),$G$11-SQRT((1-U937)*($G$11-$E$11)*($G$11-$F$11))))</f>
        <v>0.12393076206517</v>
      </c>
      <c r="H937" s="53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-1971027972.56005</v>
      </c>
      <c r="I937" s="53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-3602102.89931268</v>
      </c>
      <c r="J937" s="53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295136016.817524</v>
      </c>
      <c r="K937" s="53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643149835.848362</v>
      </c>
      <c r="L937" s="53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776586219.993985</v>
      </c>
      <c r="M937" s="53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962799779.980715</v>
      </c>
      <c r="N937" s="53" t="n">
        <f aca="false">IF(COUNT('Business Case'!B11:G11)=0,"",H937+NPV(G937,I937:M937))</f>
        <v>-264101767.417128</v>
      </c>
      <c r="P937" s="54" t="n">
        <f aca="true">RAND()</f>
        <v>0.707581569798667</v>
      </c>
      <c r="Q937" s="54" t="n">
        <f aca="true">RAND()</f>
        <v>0.566575580593438</v>
      </c>
      <c r="R937" s="54" t="n">
        <f aca="true">RAND()</f>
        <v>0.429606095467888</v>
      </c>
      <c r="S937" s="54" t="n">
        <f aca="true">RAND()</f>
        <v>0.853865283154077</v>
      </c>
      <c r="T937" s="54" t="n">
        <f aca="true">RAND()</f>
        <v>0.0840828814331868</v>
      </c>
      <c r="U937" s="54" t="n">
        <f aca="true">RAND()</f>
        <v>0.975442900593611</v>
      </c>
    </row>
    <row r="938" customFormat="false" ht="15" hidden="false" customHeight="false" outlineLevel="0" collapsed="false">
      <c r="A938" s="50" t="n">
        <v>858</v>
      </c>
      <c r="B938" s="51" t="n">
        <f aca="false">1+IF($G$6=$E$6,$F$6,IF(P938&lt;($F$6-$E$6)/($G$6-$E$6),$E$6+SQRT(P938*($G$6-$E$6)*($F$6-$E$6)),$G$6-SQRT((1-P938)*($G$6-$E$6)*($G$6-$F$6))))</f>
        <v>0.923096979904833</v>
      </c>
      <c r="C938" s="51" t="n">
        <f aca="false">1+IF($G$7=$E$7,$F$7,IF(Q938&lt;($F$7-$E$7)/($G$7-$E$7),$E$7+SQRT(Q938*($G$7-$E$7)*($F$7-$E$7)),$G$7-SQRT((1-Q938)*($G$7-$E$7)*($G$7-$F$7))))</f>
        <v>0.923772369216058</v>
      </c>
      <c r="D938" s="51" t="n">
        <f aca="false">1+IF($G$8=$E$8,$F$8,IF(R938&lt;($F$8-$E$8)/($G$8-$E$8),$E$8+SQRT(R938*($G$8-$E$8)*($F$8-$E$8)),$G$8-SQRT((1-R938)*($G$8-$E$8)*($G$8-$F$8))))</f>
        <v>0.990738323558818</v>
      </c>
      <c r="E938" s="51" t="n">
        <f aca="false">1+IF($G$9=$E$9,$F$9,IF(S938&lt;($F$9-$E$9)/($G$9-$E$9),$E$9+SQRT(S938*($G$9-$E$9)*($F$9-$E$9)),$G$9-SQRT((1-S938)*($G$9-$E$9)*($G$9-$F$9))))</f>
        <v>1.02655206215464</v>
      </c>
      <c r="F938" s="51" t="n">
        <f aca="false">1+IF($G$10=$E$10,$F$10,IF(T938&lt;($F$10-$E$10)/($G$10-$E$10),$E$10+SQRT(T938*($G$10-$E$10)*($F$10-$E$10)),$G$10-SQRT((1-T938)*($G$10-$E$10)*($G$10-$F$10))))</f>
        <v>1.13356660348282</v>
      </c>
      <c r="G938" s="52" t="n">
        <f aca="false">IF($G$11=$E$11,$F$11,IF(U938&lt;($F$11-$E$11)/($G$11-$E$11),$E$11+SQRT(U938*($G$11-$E$11)*($F$11-$E$11)),$G$11-SQRT((1-U938)*($G$11-$E$11)*($G$11-$F$11))))</f>
        <v>0.112475280184307</v>
      </c>
      <c r="H938" s="53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-2267133206.96563</v>
      </c>
      <c r="I938" s="53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-73607208.6843526</v>
      </c>
      <c r="J938" s="53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156323546.355933</v>
      </c>
      <c r="K938" s="53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442932631.570359</v>
      </c>
      <c r="L938" s="53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549046616.675766</v>
      </c>
      <c r="M938" s="53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711133817.181643</v>
      </c>
      <c r="N938" s="53" t="n">
        <f aca="false">IF(COUNT('Business Case'!B11:G11)=0,"",H938+NPV(G938,I938:M938))</f>
        <v>-1109460335.58643</v>
      </c>
      <c r="P938" s="54" t="n">
        <f aca="true">RAND()</f>
        <v>0.0355646987149515</v>
      </c>
      <c r="Q938" s="54" t="n">
        <f aca="true">RAND()</f>
        <v>0.370919060922725</v>
      </c>
      <c r="R938" s="54" t="n">
        <f aca="true">RAND()</f>
        <v>0.221281467517724</v>
      </c>
      <c r="S938" s="54" t="n">
        <f aca="true">RAND()</f>
        <v>0.593616177112763</v>
      </c>
      <c r="T938" s="54" t="n">
        <f aca="true">RAND()</f>
        <v>0.819243522339628</v>
      </c>
      <c r="U938" s="54" t="n">
        <f aca="true">RAND()</f>
        <v>0.795256130254303</v>
      </c>
    </row>
    <row r="939" customFormat="false" ht="15" hidden="false" customHeight="false" outlineLevel="0" collapsed="false">
      <c r="A939" s="50" t="n">
        <v>859</v>
      </c>
      <c r="B939" s="51" t="n">
        <f aca="false">1+IF($G$6=$E$6,$F$6,IF(P939&lt;($F$6-$E$6)/($G$6-$E$6),$E$6+SQRT(P939*($G$6-$E$6)*($F$6-$E$6)),$G$6-SQRT((1-P939)*($G$6-$E$6)*($G$6-$F$6))))</f>
        <v>0.984561957343682</v>
      </c>
      <c r="C939" s="51" t="n">
        <f aca="false">1+IF($G$7=$E$7,$F$7,IF(Q939&lt;($F$7-$E$7)/($G$7-$E$7),$E$7+SQRT(Q939*($G$7-$E$7)*($F$7-$E$7)),$G$7-SQRT((1-Q939)*($G$7-$E$7)*($G$7-$F$7))))</f>
        <v>1.09618935337776</v>
      </c>
      <c r="D939" s="51" t="n">
        <f aca="false">1+IF($G$8=$E$8,$F$8,IF(R939&lt;($F$8-$E$8)/($G$8-$E$8),$E$8+SQRT(R939*($G$8-$E$8)*($F$8-$E$8)),$G$8-SQRT((1-R939)*($G$8-$E$8)*($G$8-$F$8))))</f>
        <v>0.97926726181489</v>
      </c>
      <c r="E939" s="51" t="n">
        <f aca="false">1+IF($G$9=$E$9,$F$9,IF(S939&lt;($F$9-$E$9)/($G$9-$E$9),$E$9+SQRT(S939*($G$9-$E$9)*($F$9-$E$9)),$G$9-SQRT((1-S939)*($G$9-$E$9)*($G$9-$F$9))))</f>
        <v>1.02133850842063</v>
      </c>
      <c r="F939" s="51" t="n">
        <f aca="false">1+IF($G$10=$E$10,$F$10,IF(T939&lt;($F$10-$E$10)/($G$10-$E$10),$E$10+SQRT(T939*($G$10-$E$10)*($F$10-$E$10)),$G$10-SQRT((1-T939)*($G$10-$E$10)*($G$10-$F$10))))</f>
        <v>1.11865837429158</v>
      </c>
      <c r="G939" s="52" t="n">
        <f aca="false">IF($G$11=$E$11,$F$11,IF(U939&lt;($F$11-$E$11)/($G$11-$E$11),$E$11+SQRT(U939*($G$11-$E$11)*($F$11-$E$11)),$G$11-SQRT((1-U939)*($G$11-$E$11)*($G$11-$F$11))))</f>
        <v>0.11034027845269</v>
      </c>
      <c r="H939" s="53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-2237316748.58315</v>
      </c>
      <c r="I939" s="53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21420651.273526</v>
      </c>
      <c r="J939" s="53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355890642.699771</v>
      </c>
      <c r="K939" s="53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746293552.840594</v>
      </c>
      <c r="L939" s="53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895082994.53344</v>
      </c>
      <c r="M939" s="53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1100229939.56264</v>
      </c>
      <c r="N939" s="53" t="n">
        <f aca="false">IF(COUNT('Business Case'!B11:G11)=0,"",H939+NPV(G939,I939:M939))</f>
        <v>-143341622.039381</v>
      </c>
      <c r="P939" s="54" t="n">
        <f aca="true">RAND()</f>
        <v>0.476714975319649</v>
      </c>
      <c r="Q939" s="54" t="n">
        <f aca="true">RAND()</f>
        <v>0.95710243422365</v>
      </c>
      <c r="R939" s="54" t="n">
        <f aca="true">RAND()</f>
        <v>0.114209681885508</v>
      </c>
      <c r="S939" s="54" t="n">
        <f aca="true">RAND()</f>
        <v>0.558565882255278</v>
      </c>
      <c r="T939" s="54" t="n">
        <f aca="true">RAND()</f>
        <v>0.769991698083582</v>
      </c>
      <c r="U939" s="54" t="n">
        <f aca="true">RAND()</f>
        <v>0.742330232454835</v>
      </c>
    </row>
    <row r="940" customFormat="false" ht="15" hidden="false" customHeight="false" outlineLevel="0" collapsed="false">
      <c r="A940" s="50" t="n">
        <v>860</v>
      </c>
      <c r="B940" s="51" t="n">
        <f aca="false">1+IF($G$6=$E$6,$F$6,IF(P940&lt;($F$6-$E$6)/($G$6-$E$6),$E$6+SQRT(P940*($G$6-$E$6)*($F$6-$E$6)),$G$6-SQRT((1-P940)*($G$6-$E$6)*($G$6-$F$6))))</f>
        <v>0.963584077193159</v>
      </c>
      <c r="C940" s="51" t="n">
        <f aca="false">1+IF($G$7=$E$7,$F$7,IF(Q940&lt;($F$7-$E$7)/($G$7-$E$7),$E$7+SQRT(Q940*($G$7-$E$7)*($F$7-$E$7)),$G$7-SQRT((1-Q940)*($G$7-$E$7)*($G$7-$F$7))))</f>
        <v>1.01870786339306</v>
      </c>
      <c r="D940" s="51" t="n">
        <f aca="false">1+IF($G$8=$E$8,$F$8,IF(R940&lt;($F$8-$E$8)/($G$8-$E$8),$E$8+SQRT(R940*($G$8-$E$8)*($F$8-$E$8)),$G$8-SQRT((1-R940)*($G$8-$E$8)*($G$8-$F$8))))</f>
        <v>1.05005331458658</v>
      </c>
      <c r="E940" s="51" t="n">
        <f aca="false">1+IF($G$9=$E$9,$F$9,IF(S940&lt;($F$9-$E$9)/($G$9-$E$9),$E$9+SQRT(S940*($G$9-$E$9)*($F$9-$E$9)),$G$9-SQRT((1-S940)*($G$9-$E$9)*($G$9-$F$9))))</f>
        <v>1.06023966424775</v>
      </c>
      <c r="F940" s="51" t="n">
        <f aca="false">1+IF($G$10=$E$10,$F$10,IF(T940&lt;($F$10-$E$10)/($G$10-$E$10),$E$10+SQRT(T940*($G$10-$E$10)*($F$10-$E$10)),$G$10-SQRT((1-T940)*($G$10-$E$10)*($G$10-$F$10))))</f>
        <v>1.02308041925856</v>
      </c>
      <c r="G940" s="52" t="n">
        <f aca="false">IF($G$11=$E$11,$F$11,IF(U940&lt;($F$11-$E$11)/($G$11-$E$11),$E$11+SQRT(U940*($G$11-$E$11)*($F$11-$E$11)),$G$11-SQRT((1-U940)*($G$11-$E$11)*($G$11-$F$11))))</f>
        <v>0.109928488924019</v>
      </c>
      <c r="H940" s="53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-2046160838.51711</v>
      </c>
      <c r="I940" s="53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-47550578.9398502</v>
      </c>
      <c r="J940" s="53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208859661.770753</v>
      </c>
      <c r="K940" s="53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516423923.444284</v>
      </c>
      <c r="L940" s="53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635818468.660197</v>
      </c>
      <c r="M940" s="53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822403026.044948</v>
      </c>
      <c r="N940" s="53" t="n">
        <f aca="false">IF(COUNT('Business Case'!B11:G11)=0,"",H940+NPV(G940,I940:M940))</f>
        <v>-634632533.954649</v>
      </c>
      <c r="P940" s="54" t="n">
        <f aca="true">RAND()</f>
        <v>0.269528991500371</v>
      </c>
      <c r="Q940" s="54" t="n">
        <f aca="true">RAND()</f>
        <v>0.744627775780509</v>
      </c>
      <c r="R940" s="54" t="n">
        <f aca="true">RAND()</f>
        <v>0.83368857441419</v>
      </c>
      <c r="S940" s="54" t="n">
        <f aca="true">RAND()</f>
        <v>0.785148856683802</v>
      </c>
      <c r="T940" s="54" t="n">
        <f aca="true">RAND()</f>
        <v>0.31343338501503</v>
      </c>
      <c r="U940" s="54" t="n">
        <f aca="true">RAND()</f>
        <v>0.731422962084523</v>
      </c>
    </row>
    <row r="941" customFormat="false" ht="15" hidden="false" customHeight="false" outlineLevel="0" collapsed="false">
      <c r="A941" s="50" t="n">
        <v>861</v>
      </c>
      <c r="B941" s="51" t="n">
        <f aca="false">1+IF($G$6=$E$6,$F$6,IF(P941&lt;($F$6-$E$6)/($G$6-$E$6),$E$6+SQRT(P941*($G$6-$E$6)*($F$6-$E$6)),$G$6-SQRT((1-P941)*($G$6-$E$6)*($G$6-$F$6))))</f>
        <v>1.0255869453112</v>
      </c>
      <c r="C941" s="51" t="n">
        <f aca="false">1+IF($G$7=$E$7,$F$7,IF(Q941&lt;($F$7-$E$7)/($G$7-$E$7),$E$7+SQRT(Q941*($G$7-$E$7)*($F$7-$E$7)),$G$7-SQRT((1-Q941)*($G$7-$E$7)*($G$7-$F$7))))</f>
        <v>0.813584514048442</v>
      </c>
      <c r="D941" s="51" t="n">
        <f aca="false">1+IF($G$8=$E$8,$F$8,IF(R941&lt;($F$8-$E$8)/($G$8-$E$8),$E$8+SQRT(R941*($G$8-$E$8)*($F$8-$E$8)),$G$8-SQRT((1-R941)*($G$8-$E$8)*($G$8-$F$8))))</f>
        <v>1.08050752018177</v>
      </c>
      <c r="E941" s="51" t="n">
        <f aca="false">1+IF($G$9=$E$9,$F$9,IF(S941&lt;($F$9-$E$9)/($G$9-$E$9),$E$9+SQRT(S941*($G$9-$E$9)*($F$9-$E$9)),$G$9-SQRT((1-S941)*($G$9-$E$9)*($G$9-$F$9))))</f>
        <v>0.936892042406873</v>
      </c>
      <c r="F941" s="51" t="n">
        <f aca="false">1+IF($G$10=$E$10,$F$10,IF(T941&lt;($F$10-$E$10)/($G$10-$E$10),$E$10+SQRT(T941*($G$10-$E$10)*($F$10-$E$10)),$G$10-SQRT((1-T941)*($G$10-$E$10)*($G$10-$F$10))))</f>
        <v>1.02059784295383</v>
      </c>
      <c r="G941" s="52" t="n">
        <f aca="false">IF($G$11=$E$11,$F$11,IF(U941&lt;($F$11-$E$11)/($G$11-$E$11),$E$11+SQRT(U941*($G$11-$E$11)*($F$11-$E$11)),$G$11-SQRT((1-U941)*($G$11-$E$11)*($G$11-$F$11))))</f>
        <v>0.11885489023359</v>
      </c>
      <c r="H941" s="53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-2041195685.90766</v>
      </c>
      <c r="I941" s="53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-45126957.3543107</v>
      </c>
      <c r="J941" s="53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188287299.890779</v>
      </c>
      <c r="K941" s="53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472731449.28356</v>
      </c>
      <c r="L941" s="53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579373122.947764</v>
      </c>
      <c r="M941" s="53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737976189.818218</v>
      </c>
      <c r="N941" s="53" t="n">
        <f aca="false">IF(COUNT('Business Case'!B11:G11)=0,"",H941+NPV(G941,I941:M941))</f>
        <v>-802998318.933961</v>
      </c>
      <c r="P941" s="54" t="n">
        <f aca="true">RAND()</f>
        <v>0.920533701434869</v>
      </c>
      <c r="Q941" s="54" t="n">
        <f aca="true">RAND()</f>
        <v>0.0955662357897822</v>
      </c>
      <c r="R941" s="54" t="n">
        <f aca="true">RAND()</f>
        <v>0.974669548702398</v>
      </c>
      <c r="S941" s="54" t="n">
        <f aca="true">RAND()</f>
        <v>0.0544409117180208</v>
      </c>
      <c r="T941" s="54" t="n">
        <f aca="true">RAND()</f>
        <v>0.298328671234181</v>
      </c>
      <c r="U941" s="54" t="n">
        <f aca="true">RAND()</f>
        <v>0.91719101886312</v>
      </c>
    </row>
    <row r="942" customFormat="false" ht="15" hidden="false" customHeight="false" outlineLevel="0" collapsed="false">
      <c r="A942" s="50" t="n">
        <v>862</v>
      </c>
      <c r="B942" s="51" t="n">
        <f aca="false">1+IF($G$6=$E$6,$F$6,IF(P942&lt;($F$6-$E$6)/($G$6-$E$6),$E$6+SQRT(P942*($G$6-$E$6)*($F$6-$E$6)),$G$6-SQRT((1-P942)*($G$6-$E$6)*($G$6-$F$6))))</f>
        <v>0.972319200684202</v>
      </c>
      <c r="C942" s="51" t="n">
        <f aca="false">1+IF($G$7=$E$7,$F$7,IF(Q942&lt;($F$7-$E$7)/($G$7-$E$7),$E$7+SQRT(Q942*($G$7-$E$7)*($F$7-$E$7)),$G$7-SQRT((1-Q942)*($G$7-$E$7)*($G$7-$F$7))))</f>
        <v>1.03750405392288</v>
      </c>
      <c r="D942" s="51" t="n">
        <f aca="false">1+IF($G$8=$E$8,$F$8,IF(R942&lt;($F$8-$E$8)/($G$8-$E$8),$E$8+SQRT(R942*($G$8-$E$8)*($F$8-$E$8)),$G$8-SQRT((1-R942)*($G$8-$E$8)*($G$8-$F$8))))</f>
        <v>1.07895112386324</v>
      </c>
      <c r="E942" s="51" t="n">
        <f aca="false">1+IF($G$9=$E$9,$F$9,IF(S942&lt;($F$9-$E$9)/($G$9-$E$9),$E$9+SQRT(S942*($G$9-$E$9)*($F$9-$E$9)),$G$9-SQRT((1-S942)*($G$9-$E$9)*($G$9-$F$9))))</f>
        <v>1.11511715779383</v>
      </c>
      <c r="F942" s="51" t="n">
        <f aca="false">1+IF($G$10=$E$10,$F$10,IF(T942&lt;($F$10-$E$10)/($G$10-$E$10),$E$10+SQRT(T942*($G$10-$E$10)*($F$10-$E$10)),$G$10-SQRT((1-T942)*($G$10-$E$10)*($G$10-$F$10))))</f>
        <v>1.00376919696168</v>
      </c>
      <c r="G942" s="52" t="n">
        <f aca="false">IF($G$11=$E$11,$F$11,IF(U942&lt;($F$11-$E$11)/($G$11-$E$11),$E$11+SQRT(U942*($G$11-$E$11)*($F$11-$E$11)),$G$11-SQRT((1-U942)*($G$11-$E$11)*($G$11-$F$11))))</f>
        <v>0.0824997459806156</v>
      </c>
      <c r="H942" s="53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-2007538393.92336</v>
      </c>
      <c r="I942" s="53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-58025883.3476883</v>
      </c>
      <c r="J942" s="53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195190233.066766</v>
      </c>
      <c r="K942" s="53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498594809.329305</v>
      </c>
      <c r="L942" s="53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617863794.952586</v>
      </c>
      <c r="M942" s="53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809613669.120793</v>
      </c>
      <c r="N942" s="53" t="n">
        <f aca="false">IF(COUNT('Business Case'!B11:G11)=0,"",H942+NPV(G942,I942:M942))</f>
        <v>-506860213.279974</v>
      </c>
      <c r="P942" s="54" t="n">
        <f aca="true">RAND()</f>
        <v>0.348671119173457</v>
      </c>
      <c r="Q942" s="54" t="n">
        <f aca="true">RAND()</f>
        <v>0.812513512832809</v>
      </c>
      <c r="R942" s="54" t="n">
        <f aca="true">RAND()</f>
        <v>0.970462987558619</v>
      </c>
      <c r="S942" s="54" t="n">
        <f aca="true">RAND()</f>
        <v>0.967551661856513</v>
      </c>
      <c r="T942" s="54" t="n">
        <f aca="true">RAND()</f>
        <v>0.191605221801371</v>
      </c>
      <c r="U942" s="54" t="n">
        <f aca="true">RAND()</f>
        <v>0.00624872996760404</v>
      </c>
    </row>
    <row r="943" customFormat="false" ht="15" hidden="false" customHeight="false" outlineLevel="0" collapsed="false">
      <c r="A943" s="50" t="n">
        <v>863</v>
      </c>
      <c r="B943" s="51" t="n">
        <f aca="false">1+IF($G$6=$E$6,$F$6,IF(P943&lt;($F$6-$E$6)/($G$6-$E$6),$E$6+SQRT(P943*($G$6-$E$6)*($F$6-$E$6)),$G$6-SQRT((1-P943)*($G$6-$E$6)*($G$6-$F$6))))</f>
        <v>0.986751354870731</v>
      </c>
      <c r="C943" s="51" t="n">
        <f aca="false">1+IF($G$7=$E$7,$F$7,IF(Q943&lt;($F$7-$E$7)/($G$7-$E$7),$E$7+SQRT(Q943*($G$7-$E$7)*($F$7-$E$7)),$G$7-SQRT((1-Q943)*($G$7-$E$7)*($G$7-$F$7))))</f>
        <v>1.06185337941515</v>
      </c>
      <c r="D943" s="51" t="n">
        <f aca="false">1+IF($G$8=$E$8,$F$8,IF(R943&lt;($F$8-$E$8)/($G$8-$E$8),$E$8+SQRT(R943*($G$8-$E$8)*($F$8-$E$8)),$G$8-SQRT((1-R943)*($G$8-$E$8)*($G$8-$F$8))))</f>
        <v>0.996104804420203</v>
      </c>
      <c r="E943" s="51" t="n">
        <f aca="false">1+IF($G$9=$E$9,$F$9,IF(S943&lt;($F$9-$E$9)/($G$9-$E$9),$E$9+SQRT(S943*($G$9-$E$9)*($F$9-$E$9)),$G$9-SQRT((1-S943)*($G$9-$E$9)*($G$9-$F$9))))</f>
        <v>0.986685999312175</v>
      </c>
      <c r="F943" s="51" t="n">
        <f aca="false">1+IF($G$10=$E$10,$F$10,IF(T943&lt;($F$10-$E$10)/($G$10-$E$10),$E$10+SQRT(T943*($G$10-$E$10)*($F$10-$E$10)),$G$10-SQRT((1-T943)*($G$10-$E$10)*($G$10-$F$10))))</f>
        <v>1.19704414667635</v>
      </c>
      <c r="G943" s="52" t="n">
        <f aca="false">IF($G$11=$E$11,$F$11,IF(U943&lt;($F$11-$E$11)/($G$11-$E$11),$E$11+SQRT(U943*($G$11-$E$11)*($F$11-$E$11)),$G$11-SQRT((1-U943)*($G$11-$E$11)*($G$11-$F$11))))</f>
        <v>0.102720509831196</v>
      </c>
      <c r="H943" s="53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-2394088293.35271</v>
      </c>
      <c r="I943" s="53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2416601.38715138</v>
      </c>
      <c r="J943" s="53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319161554.464622</v>
      </c>
      <c r="K943" s="53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695758714.875909</v>
      </c>
      <c r="L943" s="53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837551824.515394</v>
      </c>
      <c r="M943" s="53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1036714846.89053</v>
      </c>
      <c r="N943" s="53" t="n">
        <f aca="false">IF(COUNT('Business Case'!B11:G11)=0,"",H943+NPV(G943,I943:M943))</f>
        <v>-408300717.271069</v>
      </c>
      <c r="P943" s="54" t="n">
        <f aca="true">RAND()</f>
        <v>0.501719838127166</v>
      </c>
      <c r="Q943" s="54" t="n">
        <f aca="true">RAND()</f>
        <v>0.884891455992158</v>
      </c>
      <c r="R943" s="54" t="n">
        <f aca="true">RAND()</f>
        <v>0.283420398750019</v>
      </c>
      <c r="S943" s="54" t="n">
        <f aca="true">RAND()</f>
        <v>0.300578499070013</v>
      </c>
      <c r="T943" s="54" t="n">
        <f aca="true">RAND()</f>
        <v>0.962609034650193</v>
      </c>
      <c r="U943" s="54" t="n">
        <f aca="true">RAND()</f>
        <v>0.503886277420083</v>
      </c>
    </row>
    <row r="944" customFormat="false" ht="15" hidden="false" customHeight="false" outlineLevel="0" collapsed="false">
      <c r="A944" s="50" t="n">
        <v>864</v>
      </c>
      <c r="B944" s="51" t="n">
        <f aca="false">1+IF($G$6=$E$6,$F$6,IF(P944&lt;($F$6-$E$6)/($G$6-$E$6),$E$6+SQRT(P944*($G$6-$E$6)*($F$6-$E$6)),$G$6-SQRT((1-P944)*($G$6-$E$6)*($G$6-$F$6))))</f>
        <v>0.915624123910394</v>
      </c>
      <c r="C944" s="51" t="n">
        <f aca="false">1+IF($G$7=$E$7,$F$7,IF(Q944&lt;($F$7-$E$7)/($G$7-$E$7),$E$7+SQRT(Q944*($G$7-$E$7)*($F$7-$E$7)),$G$7-SQRT((1-Q944)*($G$7-$E$7)*($G$7-$F$7))))</f>
        <v>0.870605736587964</v>
      </c>
      <c r="D944" s="51" t="n">
        <f aca="false">1+IF($G$8=$E$8,$F$8,IF(R944&lt;($F$8-$E$8)/($G$8-$E$8),$E$8+SQRT(R944*($G$8-$E$8)*($F$8-$E$8)),$G$8-SQRT((1-R944)*($G$8-$E$8)*($G$8-$F$8))))</f>
        <v>1.02569983784081</v>
      </c>
      <c r="E944" s="51" t="n">
        <f aca="false">1+IF($G$9=$E$9,$F$9,IF(S944&lt;($F$9-$E$9)/($G$9-$E$9),$E$9+SQRT(S944*($G$9-$E$9)*($F$9-$E$9)),$G$9-SQRT((1-S944)*($G$9-$E$9)*($G$9-$F$9))))</f>
        <v>1.08841869399426</v>
      </c>
      <c r="F944" s="51" t="n">
        <f aca="false">1+IF($G$10=$E$10,$F$10,IF(T944&lt;($F$10-$E$10)/($G$10-$E$10),$E$10+SQRT(T944*($G$10-$E$10)*($F$10-$E$10)),$G$10-SQRT((1-T944)*($G$10-$E$10)*($G$10-$F$10))))</f>
        <v>1.12946740020782</v>
      </c>
      <c r="G944" s="52" t="n">
        <f aca="false">IF($G$11=$E$11,$F$11,IF(U944&lt;($F$11-$E$11)/($G$11-$E$11),$E$11+SQRT(U944*($G$11-$E$11)*($F$11-$E$11)),$G$11-SQRT((1-U944)*($G$11-$E$11)*($G$11-$F$11))))</f>
        <v>0.0894723230974047</v>
      </c>
      <c r="H944" s="53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-2258934800.41563</v>
      </c>
      <c r="I944" s="53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-113257124.443745</v>
      </c>
      <c r="J944" s="53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82529761.772307</v>
      </c>
      <c r="K944" s="53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334790017.998749</v>
      </c>
      <c r="L944" s="53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427601734.972788</v>
      </c>
      <c r="M944" s="53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579123553.600572</v>
      </c>
      <c r="N944" s="53" t="n">
        <f aca="false">IF(COUNT('Business Case'!B11:G11)=0,"",H944+NPV(G944,I944:M944))</f>
        <v>-1353650536.63528</v>
      </c>
      <c r="P944" s="54" t="n">
        <f aca="true">RAND()</f>
        <v>0.0162742165311571</v>
      </c>
      <c r="Q944" s="54" t="n">
        <f aca="true">RAND()</f>
        <v>0.215602350790531</v>
      </c>
      <c r="R944" s="54" t="n">
        <f aca="true">RAND()</f>
        <v>0.631965726874584</v>
      </c>
      <c r="S944" s="54" t="n">
        <f aca="true">RAND()</f>
        <v>0.898873140016731</v>
      </c>
      <c r="T944" s="54" t="n">
        <f aca="true">RAND()</f>
        <v>0.806291898497828</v>
      </c>
      <c r="U944" s="54" t="n">
        <f aca="true">RAND()</f>
        <v>0.0897249048616267</v>
      </c>
    </row>
    <row r="945" customFormat="false" ht="15" hidden="false" customHeight="false" outlineLevel="0" collapsed="false">
      <c r="A945" s="50" t="n">
        <v>865</v>
      </c>
      <c r="B945" s="51" t="n">
        <f aca="false">1+IF($G$6=$E$6,$F$6,IF(P945&lt;($F$6-$E$6)/($G$6-$E$6),$E$6+SQRT(P945*($G$6-$E$6)*($F$6-$E$6)),$G$6-SQRT((1-P945)*($G$6-$E$6)*($G$6-$F$6))))</f>
        <v>1.00129478284576</v>
      </c>
      <c r="C945" s="51" t="n">
        <f aca="false">1+IF($G$7=$E$7,$F$7,IF(Q945&lt;($F$7-$E$7)/($G$7-$E$7),$E$7+SQRT(Q945*($G$7-$E$7)*($F$7-$E$7)),$G$7-SQRT((1-Q945)*($G$7-$E$7)*($G$7-$F$7))))</f>
        <v>0.915771944641374</v>
      </c>
      <c r="D945" s="51" t="n">
        <f aca="false">1+IF($G$8=$E$8,$F$8,IF(R945&lt;($F$8-$E$8)/($G$8-$E$8),$E$8+SQRT(R945*($G$8-$E$8)*($F$8-$E$8)),$G$8-SQRT((1-R945)*($G$8-$E$8)*($G$8-$F$8))))</f>
        <v>1.05328810951689</v>
      </c>
      <c r="E945" s="51" t="n">
        <f aca="false">1+IF($G$9=$E$9,$F$9,IF(S945&lt;($F$9-$E$9)/($G$9-$E$9),$E$9+SQRT(S945*($G$9-$E$9)*($F$9-$E$9)),$G$9-SQRT((1-S945)*($G$9-$E$9)*($G$9-$F$9))))</f>
        <v>1.05248858246593</v>
      </c>
      <c r="F945" s="51" t="n">
        <f aca="false">1+IF($G$10=$E$10,$F$10,IF(T945&lt;($F$10-$E$10)/($G$10-$E$10),$E$10+SQRT(T945*($G$10-$E$10)*($F$10-$E$10)),$G$10-SQRT((1-T945)*($G$10-$E$10)*($G$10-$F$10))))</f>
        <v>0.993918295944496</v>
      </c>
      <c r="G945" s="52" t="n">
        <f aca="false">IF($G$11=$E$11,$F$11,IF(U945&lt;($F$11-$E$11)/($G$11-$E$11),$E$11+SQRT(U945*($G$11-$E$11)*($F$11-$E$11)),$G$11-SQRT((1-U945)*($G$11-$E$11)*($G$11-$F$11))))</f>
        <v>0.111014670865588</v>
      </c>
      <c r="H945" s="53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-1987836591.88899</v>
      </c>
      <c r="I945" s="53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-39319983.4373076</v>
      </c>
      <c r="J945" s="53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217950824.782406</v>
      </c>
      <c r="K945" s="53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524917547.799344</v>
      </c>
      <c r="L945" s="53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642364540.963193</v>
      </c>
      <c r="M945" s="53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816659854.961555</v>
      </c>
      <c r="N945" s="53" t="n">
        <f aca="false">IF(COUNT('Business Case'!B11:G11)=0,"",H945+NPV(G945,I945:M945))</f>
        <v>-559851738.684337</v>
      </c>
      <c r="P945" s="54" t="n">
        <f aca="true">RAND()</f>
        <v>0.683706909594484</v>
      </c>
      <c r="Q945" s="54" t="n">
        <f aca="true">RAND()</f>
        <v>0.344870608106075</v>
      </c>
      <c r="R945" s="54" t="n">
        <f aca="true">RAND()</f>
        <v>0.854533285832928</v>
      </c>
      <c r="S945" s="54" t="n">
        <f aca="true">RAND()</f>
        <v>0.746440625346541</v>
      </c>
      <c r="T945" s="54" t="n">
        <f aca="true">RAND()</f>
        <v>0.128587781244555</v>
      </c>
      <c r="U945" s="54" t="n">
        <f aca="true">RAND()</f>
        <v>0.759704851772025</v>
      </c>
    </row>
    <row r="946" customFormat="false" ht="15" hidden="false" customHeight="false" outlineLevel="0" collapsed="false">
      <c r="A946" s="50" t="n">
        <v>866</v>
      </c>
      <c r="B946" s="51" t="n">
        <f aca="false">1+IF($G$6=$E$6,$F$6,IF(P946&lt;($F$6-$E$6)/($G$6-$E$6),$E$6+SQRT(P946*($G$6-$E$6)*($F$6-$E$6)),$G$6-SQRT((1-P946)*($G$6-$E$6)*($G$6-$F$6))))</f>
        <v>0.962656297288132</v>
      </c>
      <c r="C946" s="51" t="n">
        <f aca="false">1+IF($G$7=$E$7,$F$7,IF(Q946&lt;($F$7-$E$7)/($G$7-$E$7),$E$7+SQRT(Q946*($G$7-$E$7)*($F$7-$E$7)),$G$7-SQRT((1-Q946)*($G$7-$E$7)*($G$7-$F$7))))</f>
        <v>1.01580903428767</v>
      </c>
      <c r="D946" s="51" t="n">
        <f aca="false">1+IF($G$8=$E$8,$F$8,IF(R946&lt;($F$8-$E$8)/($G$8-$E$8),$E$8+SQRT(R946*($G$8-$E$8)*($F$8-$E$8)),$G$8-SQRT((1-R946)*($G$8-$E$8)*($G$8-$F$8))))</f>
        <v>1.02647917248892</v>
      </c>
      <c r="E946" s="51" t="n">
        <f aca="false">1+IF($G$9=$E$9,$F$9,IF(S946&lt;($F$9-$E$9)/($G$9-$E$9),$E$9+SQRT(S946*($G$9-$E$9)*($F$9-$E$9)),$G$9-SQRT((1-S946)*($G$9-$E$9)*($G$9-$F$9))))</f>
        <v>1.13512377099808</v>
      </c>
      <c r="F946" s="51" t="n">
        <f aca="false">1+IF($G$10=$E$10,$F$10,IF(T946&lt;($F$10-$E$10)/($G$10-$E$10),$E$10+SQRT(T946*($G$10-$E$10)*($F$10-$E$10)),$G$10-SQRT((1-T946)*($G$10-$E$10)*($G$10-$F$10))))</f>
        <v>1.21220791367014</v>
      </c>
      <c r="G946" s="52" t="n">
        <f aca="false">IF($G$11=$E$11,$F$11,IF(U946&lt;($F$11-$E$11)/($G$11-$E$11),$E$11+SQRT(U946*($G$11-$E$11)*($F$11-$E$11)),$G$11-SQRT((1-U946)*($G$11-$E$11)*($G$11-$F$11))))</f>
        <v>0.0966528573217537</v>
      </c>
      <c r="H946" s="53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-2424415827.34029</v>
      </c>
      <c r="I946" s="53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-66160901.1729798</v>
      </c>
      <c r="J946" s="53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201006627.375148</v>
      </c>
      <c r="K946" s="53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528784551.606783</v>
      </c>
      <c r="L946" s="53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651635753.201604</v>
      </c>
      <c r="M946" s="53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837510226.301547</v>
      </c>
      <c r="N946" s="53" t="n">
        <f aca="false">IF(COUNT('Business Case'!B11:G11)=0,"",H946+NPV(G946,I946:M946))</f>
        <v>-938129211.705154</v>
      </c>
      <c r="P946" s="54" t="n">
        <f aca="true">RAND()</f>
        <v>0.261720772657253</v>
      </c>
      <c r="Q946" s="54" t="n">
        <f aca="true">RAND()</f>
        <v>0.733226440313943</v>
      </c>
      <c r="R946" s="54" t="n">
        <f aca="true">RAND()</f>
        <v>0.639645861472408</v>
      </c>
      <c r="S946" s="54" t="n">
        <f aca="true">RAND()</f>
        <v>0.994098608284866</v>
      </c>
      <c r="T946" s="54" t="n">
        <f aca="true">RAND()</f>
        <v>0.980956776144489</v>
      </c>
      <c r="U946" s="54" t="n">
        <f aca="true">RAND()</f>
        <v>0.277317656978686</v>
      </c>
    </row>
    <row r="947" customFormat="false" ht="15" hidden="false" customHeight="false" outlineLevel="0" collapsed="false">
      <c r="A947" s="50" t="n">
        <v>867</v>
      </c>
      <c r="B947" s="51" t="n">
        <f aca="false">1+IF($G$6=$E$6,$F$6,IF(P947&lt;($F$6-$E$6)/($G$6-$E$6),$E$6+SQRT(P947*($G$6-$E$6)*($F$6-$E$6)),$G$6-SQRT((1-P947)*($G$6-$E$6)*($G$6-$F$6))))</f>
        <v>0.94181465449389</v>
      </c>
      <c r="C947" s="51" t="n">
        <f aca="false">1+IF($G$7=$E$7,$F$7,IF(Q947&lt;($F$7-$E$7)/($G$7-$E$7),$E$7+SQRT(Q947*($G$7-$E$7)*($F$7-$E$7)),$G$7-SQRT((1-Q947)*($G$7-$E$7)*($G$7-$F$7))))</f>
        <v>0.981377410588402</v>
      </c>
      <c r="D947" s="51" t="n">
        <f aca="false">1+IF($G$8=$E$8,$F$8,IF(R947&lt;($F$8-$E$8)/($G$8-$E$8),$E$8+SQRT(R947*($G$8-$E$8)*($F$8-$E$8)),$G$8-SQRT((1-R947)*($G$8-$E$8)*($G$8-$F$8))))</f>
        <v>0.979812493352595</v>
      </c>
      <c r="E947" s="51" t="n">
        <f aca="false">1+IF($G$9=$E$9,$F$9,IF(S947&lt;($F$9-$E$9)/($G$9-$E$9),$E$9+SQRT(S947*($G$9-$E$9)*($F$9-$E$9)),$G$9-SQRT((1-S947)*($G$9-$E$9)*($G$9-$F$9))))</f>
        <v>1.05894210239667</v>
      </c>
      <c r="F947" s="51" t="n">
        <f aca="false">1+IF($G$10=$E$10,$F$10,IF(T947&lt;($F$10-$E$10)/($G$10-$E$10),$E$10+SQRT(T947*($G$10-$E$10)*($F$10-$E$10)),$G$10-SQRT((1-T947)*($G$10-$E$10)*($G$10-$F$10))))</f>
        <v>1.08796714342529</v>
      </c>
      <c r="G947" s="52" t="n">
        <f aca="false">IF($G$11=$E$11,$F$11,IF(U947&lt;($F$11-$E$11)/($G$11-$E$11),$E$11+SQRT(U947*($G$11-$E$11)*($F$11-$E$11)),$G$11-SQRT((1-U947)*($G$11-$E$11)*($G$11-$F$11))))</f>
        <v>0.104634724788063</v>
      </c>
      <c r="H947" s="53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-2175934286.85058</v>
      </c>
      <c r="I947" s="53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-42489232.2373699</v>
      </c>
      <c r="J947" s="53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222314265.326129</v>
      </c>
      <c r="K947" s="53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541516120.060892</v>
      </c>
      <c r="L947" s="53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661726918.24708</v>
      </c>
      <c r="M947" s="53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837413229.404701</v>
      </c>
      <c r="N947" s="53" t="n">
        <f aca="false">IF(COUNT('Business Case'!B11:G11)=0,"",H947+NPV(G947,I947:M947))</f>
        <v>-676875649.934943</v>
      </c>
      <c r="P947" s="54" t="n">
        <f aca="true">RAND()</f>
        <v>0.11656435536289</v>
      </c>
      <c r="Q947" s="54" t="n">
        <f aca="true">RAND()</f>
        <v>0.586468497699514</v>
      </c>
      <c r="R947" s="54" t="n">
        <f aca="true">RAND()</f>
        <v>0.118504634653137</v>
      </c>
      <c r="S947" s="54" t="n">
        <f aca="true">RAND()</f>
        <v>0.778892247574975</v>
      </c>
      <c r="T947" s="54" t="n">
        <f aca="true">RAND()</f>
        <v>0.649938045203188</v>
      </c>
      <c r="U947" s="54" t="n">
        <f aca="true">RAND()</f>
        <v>0.571068542281784</v>
      </c>
    </row>
    <row r="948" customFormat="false" ht="15" hidden="false" customHeight="false" outlineLevel="0" collapsed="false">
      <c r="A948" s="50" t="n">
        <v>868</v>
      </c>
      <c r="B948" s="51" t="n">
        <f aca="false">1+IF($G$6=$E$6,$F$6,IF(P948&lt;($F$6-$E$6)/($G$6-$E$6),$E$6+SQRT(P948*($G$6-$E$6)*($F$6-$E$6)),$G$6-SQRT((1-P948)*($G$6-$E$6)*($G$6-$F$6))))</f>
        <v>0.958738824064386</v>
      </c>
      <c r="C948" s="51" t="n">
        <f aca="false">1+IF($G$7=$E$7,$F$7,IF(Q948&lt;($F$7-$E$7)/($G$7-$E$7),$E$7+SQRT(Q948*($G$7-$E$7)*($F$7-$E$7)),$G$7-SQRT((1-Q948)*($G$7-$E$7)*($G$7-$F$7))))</f>
        <v>0.982925480749963</v>
      </c>
      <c r="D948" s="51" t="n">
        <f aca="false">1+IF($G$8=$E$8,$F$8,IF(R948&lt;($F$8-$E$8)/($G$8-$E$8),$E$8+SQRT(R948*($G$8-$E$8)*($F$8-$E$8)),$G$8-SQRT((1-R948)*($G$8-$E$8)*($G$8-$F$8))))</f>
        <v>0.98461074199442</v>
      </c>
      <c r="E948" s="51" t="n">
        <f aca="false">1+IF($G$9=$E$9,$F$9,IF(S948&lt;($F$9-$E$9)/($G$9-$E$9),$E$9+SQRT(S948*($G$9-$E$9)*($F$9-$E$9)),$G$9-SQRT((1-S948)*($G$9-$E$9)*($G$9-$F$9))))</f>
        <v>1.10357376834343</v>
      </c>
      <c r="F948" s="51" t="n">
        <f aca="false">1+IF($G$10=$E$10,$F$10,IF(T948&lt;($F$10-$E$10)/($G$10-$E$10),$E$10+SQRT(T948*($G$10-$E$10)*($F$10-$E$10)),$G$10-SQRT((1-T948)*($G$10-$E$10)*($G$10-$F$10))))</f>
        <v>1.04995640774049</v>
      </c>
      <c r="G948" s="52" t="n">
        <f aca="false">IF($G$11=$E$11,$F$11,IF(U948&lt;($F$11-$E$11)/($G$11-$E$11),$E$11+SQRT(U948*($G$11-$E$11)*($F$11-$E$11)),$G$11-SQRT((1-U948)*($G$11-$E$11)*($G$11-$F$11))))</f>
        <v>0.106737440320925</v>
      </c>
      <c r="H948" s="53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-2099912815.48097</v>
      </c>
      <c r="I948" s="53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-34343973.8534048</v>
      </c>
      <c r="J948" s="53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242088282.531516</v>
      </c>
      <c r="K948" s="53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571018359.303462</v>
      </c>
      <c r="L948" s="53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695730711.168997</v>
      </c>
      <c r="M948" s="53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874856176.390418</v>
      </c>
      <c r="N948" s="53" t="n">
        <f aca="false">IF(COUNT('Business Case'!B11:G11)=0,"",H948+NPV(G948,I948:M948))</f>
        <v>-521463295.996626</v>
      </c>
      <c r="P948" s="54" t="n">
        <f aca="true">RAND()</f>
        <v>0.230016630164457</v>
      </c>
      <c r="Q948" s="54" t="n">
        <f aca="true">RAND()</f>
        <v>0.592939464130353</v>
      </c>
      <c r="R948" s="54" t="n">
        <f aca="true">RAND()</f>
        <v>0.159720461520579</v>
      </c>
      <c r="S948" s="54" t="n">
        <f aca="true">RAND()</f>
        <v>0.942522800377872</v>
      </c>
      <c r="T948" s="54" t="n">
        <f aca="true">RAND()</f>
        <v>0.466434149278786</v>
      </c>
      <c r="U948" s="54" t="n">
        <f aca="true">RAND()</f>
        <v>0.639235544784971</v>
      </c>
    </row>
    <row r="949" customFormat="false" ht="15" hidden="false" customHeight="false" outlineLevel="0" collapsed="false">
      <c r="A949" s="50" t="n">
        <v>869</v>
      </c>
      <c r="B949" s="51" t="n">
        <f aca="false">1+IF($G$6=$E$6,$F$6,IF(P949&lt;($F$6-$E$6)/($G$6-$E$6),$E$6+SQRT(P949*($G$6-$E$6)*($F$6-$E$6)),$G$6-SQRT((1-P949)*($G$6-$E$6)*($G$6-$F$6))))</f>
        <v>0.96674252331088</v>
      </c>
      <c r="C949" s="51" t="n">
        <f aca="false">1+IF($G$7=$E$7,$F$7,IF(Q949&lt;($F$7-$E$7)/($G$7-$E$7),$E$7+SQRT(Q949*($G$7-$E$7)*($F$7-$E$7)),$G$7-SQRT((1-Q949)*($G$7-$E$7)*($G$7-$F$7))))</f>
        <v>1.0368886476089</v>
      </c>
      <c r="D949" s="51" t="n">
        <f aca="false">1+IF($G$8=$E$8,$F$8,IF(R949&lt;($F$8-$E$8)/($G$8-$E$8),$E$8+SQRT(R949*($G$8-$E$8)*($F$8-$E$8)),$G$8-SQRT((1-R949)*($G$8-$E$8)*($G$8-$F$8))))</f>
        <v>1.03145058583247</v>
      </c>
      <c r="E949" s="51" t="n">
        <f aca="false">1+IF($G$9=$E$9,$F$9,IF(S949&lt;($F$9-$E$9)/($G$9-$E$9),$E$9+SQRT(S949*($G$9-$E$9)*($F$9-$E$9)),$G$9-SQRT((1-S949)*($G$9-$E$9)*($G$9-$F$9))))</f>
        <v>0.954025010716851</v>
      </c>
      <c r="F949" s="51" t="n">
        <f aca="false">1+IF($G$10=$E$10,$F$10,IF(T949&lt;($F$10-$E$10)/($G$10-$E$10),$E$10+SQRT(T949*($G$10-$E$10)*($F$10-$E$10)),$G$10-SQRT((1-T949)*($G$10-$E$10)*($G$10-$F$10))))</f>
        <v>1.14557200610993</v>
      </c>
      <c r="G949" s="52" t="n">
        <f aca="false">IF($G$11=$E$11,$F$11,IF(U949&lt;($F$11-$E$11)/($G$11-$E$11),$E$11+SQRT(U949*($G$11-$E$11)*($F$11-$E$11)),$G$11-SQRT((1-U949)*($G$11-$E$11)*($G$11-$F$11))))</f>
        <v>0.113940671960762</v>
      </c>
      <c r="H949" s="53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-2291144012.21985</v>
      </c>
      <c r="I949" s="53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-28640999.1246334</v>
      </c>
      <c r="J949" s="53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244902200.264304</v>
      </c>
      <c r="K949" s="53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575723999.958738</v>
      </c>
      <c r="L949" s="53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701548160.674145</v>
      </c>
      <c r="M949" s="53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892085179.062499</v>
      </c>
      <c r="N949" s="53" t="n">
        <f aca="false">IF(COUNT('Business Case'!B11:G11)=0,"",H949+NPV(G949,I949:M949))</f>
        <v>-727240783.870145</v>
      </c>
      <c r="P949" s="54" t="n">
        <f aca="true">RAND()</f>
        <v>0.296970961193557</v>
      </c>
      <c r="Q949" s="54" t="n">
        <f aca="true">RAND()</f>
        <v>0.810456621633416</v>
      </c>
      <c r="R949" s="54" t="n">
        <f aca="true">RAND()</f>
        <v>0.686731854485918</v>
      </c>
      <c r="S949" s="54" t="n">
        <f aca="true">RAND()</f>
        <v>0.116748071318234</v>
      </c>
      <c r="T949" s="54" t="n">
        <f aca="true">RAND()</f>
        <v>0.854597254561264</v>
      </c>
      <c r="U949" s="54" t="n">
        <f aca="true">RAND()</f>
        <v>0.828065321952107</v>
      </c>
    </row>
    <row r="950" customFormat="false" ht="15" hidden="false" customHeight="false" outlineLevel="0" collapsed="false">
      <c r="A950" s="50" t="n">
        <v>870</v>
      </c>
      <c r="B950" s="51" t="n">
        <f aca="false">1+IF($G$6=$E$6,$F$6,IF(P950&lt;($F$6-$E$6)/($G$6-$E$6),$E$6+SQRT(P950*($G$6-$E$6)*($F$6-$E$6)),$G$6-SQRT((1-P950)*($G$6-$E$6)*($G$6-$F$6))))</f>
        <v>0.903747493893572</v>
      </c>
      <c r="C950" s="51" t="n">
        <f aca="false">1+IF($G$7=$E$7,$F$7,IF(Q950&lt;($F$7-$E$7)/($G$7-$E$7),$E$7+SQRT(Q950*($G$7-$E$7)*($F$7-$E$7)),$G$7-SQRT((1-Q950)*($G$7-$E$7)*($G$7-$F$7))))</f>
        <v>0.772512886242036</v>
      </c>
      <c r="D950" s="51" t="n">
        <f aca="false">1+IF($G$8=$E$8,$F$8,IF(R950&lt;($F$8-$E$8)/($G$8-$E$8),$E$8+SQRT(R950*($G$8-$E$8)*($F$8-$E$8)),$G$8-SQRT((1-R950)*($G$8-$E$8)*($G$8-$F$8))))</f>
        <v>0.992613094372181</v>
      </c>
      <c r="E950" s="51" t="n">
        <f aca="false">1+IF($G$9=$E$9,$F$9,IF(S950&lt;($F$9-$E$9)/($G$9-$E$9),$E$9+SQRT(S950*($G$9-$E$9)*($F$9-$E$9)),$G$9-SQRT((1-S950)*($G$9-$E$9)*($G$9-$F$9))))</f>
        <v>0.957779987837082</v>
      </c>
      <c r="F950" s="51" t="n">
        <f aca="false">1+IF($G$10=$E$10,$F$10,IF(T950&lt;($F$10-$E$10)/($G$10-$E$10),$E$10+SQRT(T950*($G$10-$E$10)*($F$10-$E$10)),$G$10-SQRT((1-T950)*($G$10-$E$10)*($G$10-$F$10))))</f>
        <v>1.01995207750321</v>
      </c>
      <c r="G950" s="52" t="n">
        <f aca="false">IF($G$11=$E$11,$F$11,IF(U950&lt;($F$11-$E$11)/($G$11-$E$11),$E$11+SQRT(U950*($G$11-$E$11)*($F$11-$E$11)),$G$11-SQRT((1-U950)*($G$11-$E$11)*($G$11-$F$11))))</f>
        <v>0.115739936600765</v>
      </c>
      <c r="H950" s="53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-2039904155.00641</v>
      </c>
      <c r="I950" s="53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-95086984.6352307</v>
      </c>
      <c r="J950" s="53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84209990.1136717</v>
      </c>
      <c r="K950" s="53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314504568.737734</v>
      </c>
      <c r="L950" s="53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398398518.562954</v>
      </c>
      <c r="M950" s="53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531104122.228679</v>
      </c>
      <c r="N950" s="53" t="n">
        <f aca="false">IF(COUNT('Business Case'!B11:G11)=0,"",H950+NPV(G950,I950:M950))</f>
        <v>-1266811373.9867</v>
      </c>
      <c r="P950" s="54" t="n">
        <f aca="true">RAND()</f>
        <v>0.000936247365490727</v>
      </c>
      <c r="Q950" s="54" t="n">
        <f aca="true">RAND()</f>
        <v>0.0389490271937075</v>
      </c>
      <c r="R950" s="54" t="n">
        <f aca="true">RAND()</f>
        <v>0.242116774929654</v>
      </c>
      <c r="S950" s="54" t="n">
        <f aca="true">RAND()</f>
        <v>0.133541079778134</v>
      </c>
      <c r="T950" s="54" t="n">
        <f aca="true">RAND()</f>
        <v>0.294372711398791</v>
      </c>
      <c r="U950" s="54" t="n">
        <f aca="true">RAND()</f>
        <v>0.864433727899864</v>
      </c>
    </row>
    <row r="951" customFormat="false" ht="15" hidden="false" customHeight="false" outlineLevel="0" collapsed="false">
      <c r="A951" s="50" t="n">
        <v>871</v>
      </c>
      <c r="B951" s="51" t="n">
        <f aca="false">1+IF($G$6=$E$6,$F$6,IF(P951&lt;($F$6-$E$6)/($G$6-$E$6),$E$6+SQRT(P951*($G$6-$E$6)*($F$6-$E$6)),$G$6-SQRT((1-P951)*($G$6-$E$6)*($G$6-$F$6))))</f>
        <v>0.988599534369206</v>
      </c>
      <c r="C951" s="51" t="n">
        <f aca="false">1+IF($G$7=$E$7,$F$7,IF(Q951&lt;($F$7-$E$7)/($G$7-$E$7),$E$7+SQRT(Q951*($G$7-$E$7)*($F$7-$E$7)),$G$7-SQRT((1-Q951)*($G$7-$E$7)*($G$7-$F$7))))</f>
        <v>1.09800499652098</v>
      </c>
      <c r="D951" s="51" t="n">
        <f aca="false">1+IF($G$8=$E$8,$F$8,IF(R951&lt;($F$8-$E$8)/($G$8-$E$8),$E$8+SQRT(R951*($G$8-$E$8)*($F$8-$E$8)),$G$8-SQRT((1-R951)*($G$8-$E$8)*($G$8-$F$8))))</f>
        <v>1.04862743783314</v>
      </c>
      <c r="E951" s="51" t="n">
        <f aca="false">1+IF($G$9=$E$9,$F$9,IF(S951&lt;($F$9-$E$9)/($G$9-$E$9),$E$9+SQRT(S951*($G$9-$E$9)*($F$9-$E$9)),$G$9-SQRT((1-S951)*($G$9-$E$9)*($G$9-$F$9))))</f>
        <v>1.02759154225687</v>
      </c>
      <c r="F951" s="51" t="n">
        <f aca="false">1+IF($G$10=$E$10,$F$10,IF(T951&lt;($F$10-$E$10)/($G$10-$E$10),$E$10+SQRT(T951*($G$10-$E$10)*($F$10-$E$10)),$G$10-SQRT((1-T951)*($G$10-$E$10)*($G$10-$F$10))))</f>
        <v>1.00521225646297</v>
      </c>
      <c r="G951" s="52" t="n">
        <f aca="false">IF($G$11=$E$11,$F$11,IF(U951&lt;($F$11-$E$11)/($G$11-$E$11),$E$11+SQRT(U951*($G$11-$E$11)*($F$11-$E$11)),$G$11-SQRT((1-U951)*($G$11-$E$11)*($G$11-$F$11))))</f>
        <v>0.0923787931161225</v>
      </c>
      <c r="H951" s="53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-2010424512.92593</v>
      </c>
      <c r="I951" s="53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-3247955.07180263</v>
      </c>
      <c r="J951" s="53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296420490.726468</v>
      </c>
      <c r="K951" s="53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646349549.347887</v>
      </c>
      <c r="L951" s="53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783753469.890544</v>
      </c>
      <c r="M951" s="53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990082882.244991</v>
      </c>
      <c r="N951" s="53" t="n">
        <f aca="false">IF(COUNT('Business Case'!B11:G11)=0,"",H951+NPV(G951,I951:M951))</f>
        <v>-82224861.580431</v>
      </c>
      <c r="P951" s="54" t="n">
        <f aca="true">RAND()</f>
        <v>0.523325166029344</v>
      </c>
      <c r="Q951" s="54" t="n">
        <f aca="true">RAND()</f>
        <v>0.959948438714326</v>
      </c>
      <c r="R951" s="54" t="n">
        <f aca="true">RAND()</f>
        <v>0.824057323760787</v>
      </c>
      <c r="S951" s="54" t="n">
        <f aca="true">RAND()</f>
        <v>0.60043118594531</v>
      </c>
      <c r="T951" s="54" t="n">
        <f aca="true">RAND()</f>
        <v>0.201052808187299</v>
      </c>
      <c r="U951" s="54" t="n">
        <f aca="true">RAND()</f>
        <v>0.153234519011761</v>
      </c>
    </row>
    <row r="952" customFormat="false" ht="15" hidden="false" customHeight="false" outlineLevel="0" collapsed="false">
      <c r="A952" s="50" t="n">
        <v>872</v>
      </c>
      <c r="B952" s="51" t="n">
        <f aca="false">1+IF($G$6=$E$6,$F$6,IF(P952&lt;($F$6-$E$6)/($G$6-$E$6),$E$6+SQRT(P952*($G$6-$E$6)*($F$6-$E$6)),$G$6-SQRT((1-P952)*($G$6-$E$6)*($G$6-$F$6))))</f>
        <v>0.935358121587298</v>
      </c>
      <c r="C952" s="51" t="n">
        <f aca="false">1+IF($G$7=$E$7,$F$7,IF(Q952&lt;($F$7-$E$7)/($G$7-$E$7),$E$7+SQRT(Q952*($G$7-$E$7)*($F$7-$E$7)),$G$7-SQRT((1-Q952)*($G$7-$E$7)*($G$7-$F$7))))</f>
        <v>1.10839865425789</v>
      </c>
      <c r="D952" s="51" t="n">
        <f aca="false">1+IF($G$8=$E$8,$F$8,IF(R952&lt;($F$8-$E$8)/($G$8-$E$8),$E$8+SQRT(R952*($G$8-$E$8)*($F$8-$E$8)),$G$8-SQRT((1-R952)*($G$8-$E$8)*($G$8-$F$8))))</f>
        <v>1.04705499287332</v>
      </c>
      <c r="E952" s="51" t="n">
        <f aca="false">1+IF($G$9=$E$9,$F$9,IF(S952&lt;($F$9-$E$9)/($G$9-$E$9),$E$9+SQRT(S952*($G$9-$E$9)*($F$9-$E$9)),$G$9-SQRT((1-S952)*($G$9-$E$9)*($G$9-$F$9))))</f>
        <v>1.02950449060556</v>
      </c>
      <c r="F952" s="51" t="n">
        <f aca="false">1+IF($G$10=$E$10,$F$10,IF(T952&lt;($F$10-$E$10)/($G$10-$E$10),$E$10+SQRT(T952*($G$10-$E$10)*($F$10-$E$10)),$G$10-SQRT((1-T952)*($G$10-$E$10)*($G$10-$F$10))))</f>
        <v>1.13431608466525</v>
      </c>
      <c r="G952" s="52" t="n">
        <f aca="false">IF($G$11=$E$11,$F$11,IF(U952&lt;($F$11-$E$11)/($G$11-$E$11),$E$11+SQRT(U952*($G$11-$E$11)*($F$11-$E$11)),$G$11-SQRT((1-U952)*($G$11-$E$11)*($G$11-$F$11))))</f>
        <v>0.0987896590328251</v>
      </c>
      <c r="H952" s="53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-2268632169.33049</v>
      </c>
      <c r="I952" s="53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-58510594.3872485</v>
      </c>
      <c r="J952" s="53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196551061.834083</v>
      </c>
      <c r="K952" s="53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508328522.288678</v>
      </c>
      <c r="L952" s="53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629179143.414419</v>
      </c>
      <c r="M952" s="53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826244523.20022</v>
      </c>
      <c r="N952" s="53" t="n">
        <f aca="false">IF(COUNT('Business Case'!B11:G11)=0,"",H952+NPV(G952,I952:M952))</f>
        <v>-828407990.158962</v>
      </c>
      <c r="P952" s="54" t="n">
        <f aca="true">RAND()</f>
        <v>0.0833464508121414</v>
      </c>
      <c r="Q952" s="54" t="n">
        <f aca="true">RAND()</f>
        <v>0.974360415295484</v>
      </c>
      <c r="R952" s="54" t="n">
        <f aca="true">RAND()</f>
        <v>0.813121748023736</v>
      </c>
      <c r="S952" s="54" t="n">
        <f aca="true">RAND()</f>
        <v>0.612822192420622</v>
      </c>
      <c r="T952" s="54" t="n">
        <f aca="true">RAND()</f>
        <v>0.821563089770953</v>
      </c>
      <c r="U952" s="54" t="n">
        <f aca="true">RAND()</f>
        <v>0.353051286569827</v>
      </c>
    </row>
    <row r="953" customFormat="false" ht="15" hidden="false" customHeight="false" outlineLevel="0" collapsed="false">
      <c r="A953" s="50" t="n">
        <v>873</v>
      </c>
      <c r="B953" s="51" t="n">
        <f aca="false">1+IF($G$6=$E$6,$F$6,IF(P953&lt;($F$6-$E$6)/($G$6-$E$6),$E$6+SQRT(P953*($G$6-$E$6)*($F$6-$E$6)),$G$6-SQRT((1-P953)*($G$6-$E$6)*($G$6-$F$6))))</f>
        <v>1.00373629103616</v>
      </c>
      <c r="C953" s="51" t="n">
        <f aca="false">1+IF($G$7=$E$7,$F$7,IF(Q953&lt;($F$7-$E$7)/($G$7-$E$7),$E$7+SQRT(Q953*($G$7-$E$7)*($F$7-$E$7)),$G$7-SQRT((1-Q953)*($G$7-$E$7)*($G$7-$F$7))))</f>
        <v>0.824670082247144</v>
      </c>
      <c r="D953" s="51" t="n">
        <f aca="false">1+IF($G$8=$E$8,$F$8,IF(R953&lt;($F$8-$E$8)/($G$8-$E$8),$E$8+SQRT(R953*($G$8-$E$8)*($F$8-$E$8)),$G$8-SQRT((1-R953)*($G$8-$E$8)*($G$8-$F$8))))</f>
        <v>0.98013418142458</v>
      </c>
      <c r="E953" s="51" t="n">
        <f aca="false">1+IF($G$9=$E$9,$F$9,IF(S953&lt;($F$9-$E$9)/($G$9-$E$9),$E$9+SQRT(S953*($G$9-$E$9)*($F$9-$E$9)),$G$9-SQRT((1-S953)*($G$9-$E$9)*($G$9-$F$9))))</f>
        <v>1.02022732152987</v>
      </c>
      <c r="F953" s="51" t="n">
        <f aca="false">1+IF($G$10=$E$10,$F$10,IF(T953&lt;($F$10-$E$10)/($G$10-$E$10),$E$10+SQRT(T953*($G$10-$E$10)*($F$10-$E$10)),$G$10-SQRT((1-T953)*($G$10-$E$10)*($G$10-$F$10))))</f>
        <v>1.20186812584889</v>
      </c>
      <c r="G953" s="52" t="n">
        <f aca="false">IF($G$11=$E$11,$F$11,IF(U953&lt;($F$11-$E$11)/($G$11-$E$11),$E$11+SQRT(U953*($G$11-$E$11)*($F$11-$E$11)),$G$11-SQRT((1-U953)*($G$11-$E$11)*($G$11-$F$11))))</f>
        <v>0.119675850955058</v>
      </c>
      <c r="H953" s="53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-2403736251.69778</v>
      </c>
      <c r="I953" s="53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-43964313.2697363</v>
      </c>
      <c r="J953" s="53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220245138.024143</v>
      </c>
      <c r="K953" s="53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544547995.610467</v>
      </c>
      <c r="L953" s="53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661224897.27988</v>
      </c>
      <c r="M953" s="53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818563862.422869</v>
      </c>
      <c r="N953" s="53" t="n">
        <f aca="false">IF(COUNT('Business Case'!B11:G11)=0,"",H953+NPV(G953,I953:M953))</f>
        <v>-993531430.199416</v>
      </c>
      <c r="P953" s="54" t="n">
        <f aca="true">RAND()</f>
        <v>0.714622564387884</v>
      </c>
      <c r="Q953" s="54" t="n">
        <f aca="true">RAND()</f>
        <v>0.115130588203775</v>
      </c>
      <c r="R953" s="54" t="n">
        <f aca="true">RAND()</f>
        <v>0.121075852017269</v>
      </c>
      <c r="S953" s="54" t="n">
        <f aca="true">RAND()</f>
        <v>0.550908051271702</v>
      </c>
      <c r="T953" s="54" t="n">
        <f aca="true">RAND()</f>
        <v>0.969110969209358</v>
      </c>
      <c r="U953" s="54" t="n">
        <f aca="true">RAND()</f>
        <v>0.928941297665218</v>
      </c>
    </row>
    <row r="954" customFormat="false" ht="15" hidden="false" customHeight="false" outlineLevel="0" collapsed="false">
      <c r="A954" s="50" t="n">
        <v>874</v>
      </c>
      <c r="B954" s="51" t="n">
        <f aca="false">1+IF($G$6=$E$6,$F$6,IF(P954&lt;($F$6-$E$6)/($G$6-$E$6),$E$6+SQRT(P954*($G$6-$E$6)*($F$6-$E$6)),$G$6-SQRT((1-P954)*($G$6-$E$6)*($G$6-$F$6))))</f>
        <v>0.974721697829616</v>
      </c>
      <c r="C954" s="51" t="n">
        <f aca="false">1+IF($G$7=$E$7,$F$7,IF(Q954&lt;($F$7-$E$7)/($G$7-$E$7),$E$7+SQRT(Q954*($G$7-$E$7)*($F$7-$E$7)),$G$7-SQRT((1-Q954)*($G$7-$E$7)*($G$7-$F$7))))</f>
        <v>1.03173084348761</v>
      </c>
      <c r="D954" s="51" t="n">
        <f aca="false">1+IF($G$8=$E$8,$F$8,IF(R954&lt;($F$8-$E$8)/($G$8-$E$8),$E$8+SQRT(R954*($G$8-$E$8)*($F$8-$E$8)),$G$8-SQRT((1-R954)*($G$8-$E$8)*($G$8-$F$8))))</f>
        <v>0.984004909659994</v>
      </c>
      <c r="E954" s="51" t="n">
        <f aca="false">1+IF($G$9=$E$9,$F$9,IF(S954&lt;($F$9-$E$9)/($G$9-$E$9),$E$9+SQRT(S954*($G$9-$E$9)*($F$9-$E$9)),$G$9-SQRT((1-S954)*($G$9-$E$9)*($G$9-$F$9))))</f>
        <v>0.915207972719879</v>
      </c>
      <c r="F954" s="51" t="n">
        <f aca="false">1+IF($G$10=$E$10,$F$10,IF(T954&lt;($F$10-$E$10)/($G$10-$E$10),$E$10+SQRT(T954*($G$10-$E$10)*($F$10-$E$10)),$G$10-SQRT((1-T954)*($G$10-$E$10)*($G$10-$F$10))))</f>
        <v>0.987438298717388</v>
      </c>
      <c r="G954" s="52" t="n">
        <f aca="false">IF($G$11=$E$11,$F$11,IF(U954&lt;($F$11-$E$11)/($G$11-$E$11),$E$11+SQRT(U954*($G$11-$E$11)*($F$11-$E$11)),$G$11-SQRT((1-U954)*($G$11-$E$11)*($G$11-$F$11))))</f>
        <v>0.104997894961802</v>
      </c>
      <c r="H954" s="53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-1974876597.43478</v>
      </c>
      <c r="I954" s="53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22965166.3332008</v>
      </c>
      <c r="J954" s="53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326949655.040899</v>
      </c>
      <c r="K954" s="53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680306058.684466</v>
      </c>
      <c r="L954" s="53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816389500.775026</v>
      </c>
      <c r="M954" s="53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1007543536.30899</v>
      </c>
      <c r="N954" s="53" t="n">
        <f aca="false">IF(COUNT('Business Case'!B11:G11)=0,"",H954+NPV(G954,I954:M954))</f>
        <v>-22936403.8267505</v>
      </c>
      <c r="P954" s="54" t="n">
        <f aca="true">RAND()</f>
        <v>0.372222141769364</v>
      </c>
      <c r="Q954" s="54" t="n">
        <f aca="true">RAND()</f>
        <v>0.792776394338497</v>
      </c>
      <c r="R954" s="54" t="n">
        <f aca="true">RAND()</f>
        <v>0.154177850797916</v>
      </c>
      <c r="S954" s="54" t="n">
        <f aca="true">RAND()</f>
        <v>0.0092512973699435</v>
      </c>
      <c r="T954" s="54" t="n">
        <f aca="true">RAND()</f>
        <v>0.0934417473901604</v>
      </c>
      <c r="U954" s="54" t="n">
        <f aca="true">RAND()</f>
        <v>0.583263162439264</v>
      </c>
    </row>
    <row r="955" customFormat="false" ht="15" hidden="false" customHeight="false" outlineLevel="0" collapsed="false">
      <c r="A955" s="50" t="n">
        <v>875</v>
      </c>
      <c r="B955" s="51" t="n">
        <f aca="false">1+IF($G$6=$E$6,$F$6,IF(P955&lt;($F$6-$E$6)/($G$6-$E$6),$E$6+SQRT(P955*($G$6-$E$6)*($F$6-$E$6)),$G$6-SQRT((1-P955)*($G$6-$E$6)*($G$6-$F$6))))</f>
        <v>1.01245035954886</v>
      </c>
      <c r="C955" s="51" t="n">
        <f aca="false">1+IF($G$7=$E$7,$F$7,IF(Q955&lt;($F$7-$E$7)/($G$7-$E$7),$E$7+SQRT(Q955*($G$7-$E$7)*($F$7-$E$7)),$G$7-SQRT((1-Q955)*($G$7-$E$7)*($G$7-$F$7))))</f>
        <v>0.815708409429039</v>
      </c>
      <c r="D955" s="51" t="n">
        <f aca="false">1+IF($G$8=$E$8,$F$8,IF(R955&lt;($F$8-$E$8)/($G$8-$E$8),$E$8+SQRT(R955*($G$8-$E$8)*($F$8-$E$8)),$G$8-SQRT((1-R955)*($G$8-$E$8)*($G$8-$F$8))))</f>
        <v>1.0628264228713</v>
      </c>
      <c r="E955" s="51" t="n">
        <f aca="false">1+IF($G$9=$E$9,$F$9,IF(S955&lt;($F$9-$E$9)/($G$9-$E$9),$E$9+SQRT(S955*($G$9-$E$9)*($F$9-$E$9)),$G$9-SQRT((1-S955)*($G$9-$E$9)*($G$9-$F$9))))</f>
        <v>1.04127919264508</v>
      </c>
      <c r="F955" s="51" t="n">
        <f aca="false">1+IF($G$10=$E$10,$F$10,IF(T955&lt;($F$10-$E$10)/($G$10-$E$10),$E$10+SQRT(T955*($G$10-$E$10)*($F$10-$E$10)),$G$10-SQRT((1-T955)*($G$10-$E$10)*($G$10-$F$10))))</f>
        <v>1.20602489090643</v>
      </c>
      <c r="G955" s="52" t="n">
        <f aca="false">IF($G$11=$E$11,$F$11,IF(U955&lt;($F$11-$E$11)/($G$11-$E$11),$E$11+SQRT(U955*($G$11-$E$11)*($F$11-$E$11)),$G$11-SQRT((1-U955)*($G$11-$E$11)*($G$11-$F$11))))</f>
        <v>0.124904861863099</v>
      </c>
      <c r="H955" s="53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-2412049781.81287</v>
      </c>
      <c r="I955" s="53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-78855239.1769229</v>
      </c>
      <c r="J955" s="53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153774715.812842</v>
      </c>
      <c r="K955" s="53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446705915.347929</v>
      </c>
      <c r="L955" s="53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552791102.93246</v>
      </c>
      <c r="M955" s="53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709771383.832811</v>
      </c>
      <c r="N955" s="53" t="n">
        <f aca="false">IF(COUNT('Business Case'!B11:G11)=0,"",H955+NPV(G955,I955:M955))</f>
        <v>-1307551435.77098</v>
      </c>
      <c r="P955" s="54" t="n">
        <f aca="true">RAND()</f>
        <v>0.812003266932011</v>
      </c>
      <c r="Q955" s="54" t="n">
        <f aca="true">RAND()</f>
        <v>0.09917360009332</v>
      </c>
      <c r="R955" s="54" t="n">
        <f aca="true">RAND()</f>
        <v>0.907875010897081</v>
      </c>
      <c r="S955" s="54" t="n">
        <f aca="true">RAND()</f>
        <v>0.684794294615867</v>
      </c>
      <c r="T955" s="54" t="n">
        <f aca="true">RAND()</f>
        <v>0.974215863736121</v>
      </c>
      <c r="U955" s="54" t="n">
        <f aca="true">RAND()</f>
        <v>0.9826930449106</v>
      </c>
    </row>
    <row r="956" customFormat="false" ht="15" hidden="false" customHeight="false" outlineLevel="0" collapsed="false">
      <c r="A956" s="50" t="n">
        <v>876</v>
      </c>
      <c r="B956" s="51" t="n">
        <f aca="false">1+IF($G$6=$E$6,$F$6,IF(P956&lt;($F$6-$E$6)/($G$6-$E$6),$E$6+SQRT(P956*($G$6-$E$6)*($F$6-$E$6)),$G$6-SQRT((1-P956)*($G$6-$E$6)*($G$6-$F$6))))</f>
        <v>0.928780461518128</v>
      </c>
      <c r="C956" s="51" t="n">
        <f aca="false">1+IF($G$7=$E$7,$F$7,IF(Q956&lt;($F$7-$E$7)/($G$7-$E$7),$E$7+SQRT(Q956*($G$7-$E$7)*($F$7-$E$7)),$G$7-SQRT((1-Q956)*($G$7-$E$7)*($G$7-$F$7))))</f>
        <v>0.974169008654799</v>
      </c>
      <c r="D956" s="51" t="n">
        <f aca="false">1+IF($G$8=$E$8,$F$8,IF(R956&lt;($F$8-$E$8)/($G$8-$E$8),$E$8+SQRT(R956*($G$8-$E$8)*($F$8-$E$8)),$G$8-SQRT((1-R956)*($G$8-$E$8)*($G$8-$F$8))))</f>
        <v>1.02978284008043</v>
      </c>
      <c r="E956" s="51" t="n">
        <f aca="false">1+IF($G$9=$E$9,$F$9,IF(S956&lt;($F$9-$E$9)/($G$9-$E$9),$E$9+SQRT(S956*($G$9-$E$9)*($F$9-$E$9)),$G$9-SQRT((1-S956)*($G$9-$E$9)*($G$9-$F$9))))</f>
        <v>0.951943799840787</v>
      </c>
      <c r="F956" s="51" t="n">
        <f aca="false">1+IF($G$10=$E$10,$F$10,IF(T956&lt;($F$10-$E$10)/($G$10-$E$10),$E$10+SQRT(T956*($G$10-$E$10)*($F$10-$E$10)),$G$10-SQRT((1-T956)*($G$10-$E$10)*($G$10-$F$10))))</f>
        <v>0.994992591094522</v>
      </c>
      <c r="G956" s="52" t="n">
        <f aca="false">IF($G$11=$E$11,$F$11,IF(U956&lt;($F$11-$E$11)/($G$11-$E$11),$E$11+SQRT(U956*($G$11-$E$11)*($F$11-$E$11)),$G$11-SQRT((1-U956)*($G$11-$E$11)*($G$11-$F$11))))</f>
        <v>0.113640744767326</v>
      </c>
      <c r="H956" s="53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-1989985182.18904</v>
      </c>
      <c r="I956" s="53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-54231684.8345363</v>
      </c>
      <c r="J956" s="53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173306566.87077</v>
      </c>
      <c r="K956" s="53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450594448.130802</v>
      </c>
      <c r="L956" s="53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557710044.761258</v>
      </c>
      <c r="M956" s="53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729692364.769036</v>
      </c>
      <c r="N956" s="53" t="n">
        <f aca="false">IF(COUNT('Business Case'!B11:G11)=0,"",H956+NPV(G956,I956:M956))</f>
        <v>-784086803.983327</v>
      </c>
      <c r="P956" s="54" t="n">
        <f aca="true">RAND()</f>
        <v>0.0552209976797634</v>
      </c>
      <c r="Q956" s="54" t="n">
        <f aca="true">RAND()</f>
        <v>0.55680478005004</v>
      </c>
      <c r="R956" s="54" t="n">
        <f aca="true">RAND()</f>
        <v>0.671303363521998</v>
      </c>
      <c r="S956" s="54" t="n">
        <f aca="true">RAND()</f>
        <v>0.107926333675991</v>
      </c>
      <c r="T956" s="54" t="n">
        <f aca="true">RAND()</f>
        <v>0.134955550226588</v>
      </c>
      <c r="U956" s="54" t="n">
        <f aca="true">RAND()</f>
        <v>0.821583178821475</v>
      </c>
    </row>
    <row r="957" customFormat="false" ht="15" hidden="false" customHeight="false" outlineLevel="0" collapsed="false">
      <c r="A957" s="50" t="n">
        <v>877</v>
      </c>
      <c r="B957" s="51" t="n">
        <f aca="false">1+IF($G$6=$E$6,$F$6,IF(P957&lt;($F$6-$E$6)/($G$6-$E$6),$E$6+SQRT(P957*($G$6-$E$6)*($F$6-$E$6)),$G$6-SQRT((1-P957)*($G$6-$E$6)*($G$6-$F$6))))</f>
        <v>1.01497378900295</v>
      </c>
      <c r="C957" s="51" t="n">
        <f aca="false">1+IF($G$7=$E$7,$F$7,IF(Q957&lt;($F$7-$E$7)/($G$7-$E$7),$E$7+SQRT(Q957*($G$7-$E$7)*($F$7-$E$7)),$G$7-SQRT((1-Q957)*($G$7-$E$7)*($G$7-$F$7))))</f>
        <v>0.74464190724049</v>
      </c>
      <c r="D957" s="51" t="n">
        <f aca="false">1+IF($G$8=$E$8,$F$8,IF(R957&lt;($F$8-$E$8)/($G$8-$E$8),$E$8+SQRT(R957*($G$8-$E$8)*($F$8-$E$8)),$G$8-SQRT((1-R957)*($G$8-$E$8)*($G$8-$F$8))))</f>
        <v>0.99611303312023</v>
      </c>
      <c r="E957" s="51" t="n">
        <f aca="false">1+IF($G$9=$E$9,$F$9,IF(S957&lt;($F$9-$E$9)/($G$9-$E$9),$E$9+SQRT(S957*($G$9-$E$9)*($F$9-$E$9)),$G$9-SQRT((1-S957)*($G$9-$E$9)*($G$9-$F$9))))</f>
        <v>0.959727110262297</v>
      </c>
      <c r="F957" s="51" t="n">
        <f aca="false">1+IF($G$10=$E$10,$F$10,IF(T957&lt;($F$10-$E$10)/($G$10-$E$10),$E$10+SQRT(T957*($G$10-$E$10)*($F$10-$E$10)),$G$10-SQRT((1-T957)*($G$10-$E$10)*($G$10-$F$10))))</f>
        <v>1.05494488427663</v>
      </c>
      <c r="G957" s="52" t="n">
        <f aca="false">IF($G$11=$E$11,$F$11,IF(U957&lt;($F$11-$E$11)/($G$11-$E$11),$E$11+SQRT(U957*($G$11-$E$11)*($F$11-$E$11)),$G$11-SQRT((1-U957)*($G$11-$E$11)*($G$11-$F$11))))</f>
        <v>0.122584017538579</v>
      </c>
      <c r="H957" s="53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-2109889768.55327</v>
      </c>
      <c r="I957" s="53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-41815246.6302509</v>
      </c>
      <c r="J957" s="53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197517448.461771</v>
      </c>
      <c r="K957" s="53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489597387.767625</v>
      </c>
      <c r="L957" s="53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595495124.941839</v>
      </c>
      <c r="M957" s="53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739156071.731313</v>
      </c>
      <c r="N957" s="53" t="n">
        <f aca="false">IF(COUNT('Business Case'!B11:G11)=0,"",H957+NPV(G957,I957:M957))</f>
        <v>-854731011.416359</v>
      </c>
      <c r="P957" s="54" t="n">
        <f aca="true">RAND()</f>
        <v>0.836421939092016</v>
      </c>
      <c r="Q957" s="54" t="n">
        <f aca="true">RAND()</f>
        <v>0.0147622213486559</v>
      </c>
      <c r="R957" s="54" t="n">
        <f aca="true">RAND()</f>
        <v>0.283521576472984</v>
      </c>
      <c r="S957" s="54" t="n">
        <f aca="true">RAND()</f>
        <v>0.142693108011381</v>
      </c>
      <c r="T957" s="54" t="n">
        <f aca="true">RAND()</f>
        <v>0.492713357735251</v>
      </c>
      <c r="U957" s="54" t="n">
        <f aca="true">RAND()</f>
        <v>0.963335469421263</v>
      </c>
    </row>
    <row r="958" customFormat="false" ht="15" hidden="false" customHeight="false" outlineLevel="0" collapsed="false">
      <c r="A958" s="50" t="n">
        <v>878</v>
      </c>
      <c r="B958" s="51" t="n">
        <f aca="false">1+IF($G$6=$E$6,$F$6,IF(P958&lt;($F$6-$E$6)/($G$6-$E$6),$E$6+SQRT(P958*($G$6-$E$6)*($F$6-$E$6)),$G$6-SQRT((1-P958)*($G$6-$E$6)*($G$6-$F$6))))</f>
        <v>0.929228545994822</v>
      </c>
      <c r="C958" s="51" t="n">
        <f aca="false">1+IF($G$7=$E$7,$F$7,IF(Q958&lt;($F$7-$E$7)/($G$7-$E$7),$E$7+SQRT(Q958*($G$7-$E$7)*($F$7-$E$7)),$G$7-SQRT((1-Q958)*($G$7-$E$7)*($G$7-$F$7))))</f>
        <v>0.806279864171004</v>
      </c>
      <c r="D958" s="51" t="n">
        <f aca="false">1+IF($G$8=$E$8,$F$8,IF(R958&lt;($F$8-$E$8)/($G$8-$E$8),$E$8+SQRT(R958*($G$8-$E$8)*($F$8-$E$8)),$G$8-SQRT((1-R958)*($G$8-$E$8)*($G$8-$F$8))))</f>
        <v>0.978120330170822</v>
      </c>
      <c r="E958" s="51" t="n">
        <f aca="false">1+IF($G$9=$E$9,$F$9,IF(S958&lt;($F$9-$E$9)/($G$9-$E$9),$E$9+SQRT(S958*($G$9-$E$9)*($F$9-$E$9)),$G$9-SQRT((1-S958)*($G$9-$E$9)*($G$9-$F$9))))</f>
        <v>1.08690051601469</v>
      </c>
      <c r="F958" s="51" t="n">
        <f aca="false">1+IF($G$10=$E$10,$F$10,IF(T958&lt;($F$10-$E$10)/($G$10-$E$10),$E$10+SQRT(T958*($G$10-$E$10)*($F$10-$E$10)),$G$10-SQRT((1-T958)*($G$10-$E$10)*($G$10-$F$10))))</f>
        <v>1.14882626848357</v>
      </c>
      <c r="G958" s="52" t="n">
        <f aca="false">IF($G$11=$E$11,$F$11,IF(U958&lt;($F$11-$E$11)/($G$11-$E$11),$E$11+SQRT(U958*($G$11-$E$11)*($F$11-$E$11)),$G$11-SQRT((1-U958)*($G$11-$E$11)*($G$11-$F$11))))</f>
        <v>0.0947815377267333</v>
      </c>
      <c r="H958" s="53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-2297652536.96714</v>
      </c>
      <c r="I958" s="53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-98335588.7839452</v>
      </c>
      <c r="J958" s="53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111608177.559344</v>
      </c>
      <c r="K958" s="53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378993257.326811</v>
      </c>
      <c r="L958" s="53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474867496.042299</v>
      </c>
      <c r="M958" s="53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617278904.014787</v>
      </c>
      <c r="N958" s="53" t="n">
        <f aca="false">IF(COUNT('Business Case'!B11:G11)=0,"",H958+NPV(G958,I958:M958))</f>
        <v>-1282447165.00331</v>
      </c>
      <c r="P958" s="54" t="n">
        <f aca="true">RAND()</f>
        <v>0.0569538600647603</v>
      </c>
      <c r="Q958" s="54" t="n">
        <f aca="true">RAND()</f>
        <v>0.0836697002089415</v>
      </c>
      <c r="R958" s="54" t="n">
        <f aca="true">RAND()</f>
        <v>0.105433729188801</v>
      </c>
      <c r="S958" s="54" t="n">
        <f aca="true">RAND()</f>
        <v>0.893825469887685</v>
      </c>
      <c r="T958" s="54" t="n">
        <f aca="true">RAND()</f>
        <v>0.863518347347215</v>
      </c>
      <c r="U958" s="54" t="n">
        <f aca="true">RAND()</f>
        <v>0.218493857566839</v>
      </c>
    </row>
    <row r="959" customFormat="false" ht="15" hidden="false" customHeight="false" outlineLevel="0" collapsed="false">
      <c r="A959" s="50" t="n">
        <v>879</v>
      </c>
      <c r="B959" s="51" t="n">
        <f aca="false">1+IF($G$6=$E$6,$F$6,IF(P959&lt;($F$6-$E$6)/($G$6-$E$6),$E$6+SQRT(P959*($G$6-$E$6)*($F$6-$E$6)),$G$6-SQRT((1-P959)*($G$6-$E$6)*($G$6-$F$6))))</f>
        <v>0.95731300467873</v>
      </c>
      <c r="C959" s="51" t="n">
        <f aca="false">1+IF($G$7=$E$7,$F$7,IF(Q959&lt;($F$7-$E$7)/($G$7-$E$7),$E$7+SQRT(Q959*($G$7-$E$7)*($F$7-$E$7)),$G$7-SQRT((1-Q959)*($G$7-$E$7)*($G$7-$F$7))))</f>
        <v>1.00085031546388</v>
      </c>
      <c r="D959" s="51" t="n">
        <f aca="false">1+IF($G$8=$E$8,$F$8,IF(R959&lt;($F$8-$E$8)/($G$8-$E$8),$E$8+SQRT(R959*($G$8-$E$8)*($F$8-$E$8)),$G$8-SQRT((1-R959)*($G$8-$E$8)*($G$8-$F$8))))</f>
        <v>0.999083835472402</v>
      </c>
      <c r="E959" s="51" t="n">
        <f aca="false">1+IF($G$9=$E$9,$F$9,IF(S959&lt;($F$9-$E$9)/($G$9-$E$9),$E$9+SQRT(S959*($G$9-$E$9)*($F$9-$E$9)),$G$9-SQRT((1-S959)*($G$9-$E$9)*($G$9-$F$9))))</f>
        <v>1.00899852365355</v>
      </c>
      <c r="F959" s="51" t="n">
        <f aca="false">1+IF($G$10=$E$10,$F$10,IF(T959&lt;($F$10-$E$10)/($G$10-$E$10),$E$10+SQRT(T959*($G$10-$E$10)*($F$10-$E$10)),$G$10-SQRT((1-T959)*($G$10-$E$10)*($G$10-$F$10))))</f>
        <v>1.16693912220175</v>
      </c>
      <c r="G959" s="52" t="n">
        <f aca="false">IF($G$11=$E$11,$F$11,IF(U959&lt;($F$11-$E$11)/($G$11-$E$11),$E$11+SQRT(U959*($G$11-$E$11)*($F$11-$E$11)),$G$11-SQRT((1-U959)*($G$11-$E$11)*($G$11-$F$11))))</f>
        <v>0.101844860862799</v>
      </c>
      <c r="H959" s="53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-2333878244.40349</v>
      </c>
      <c r="I959" s="53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-36953682.127077</v>
      </c>
      <c r="J959" s="53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235935442.887899</v>
      </c>
      <c r="K959" s="53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567171524.012962</v>
      </c>
      <c r="L959" s="53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691247435.590182</v>
      </c>
      <c r="M959" s="53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873368220.070774</v>
      </c>
      <c r="N959" s="53" t="n">
        <f aca="false">IF(COUNT('Business Case'!B11:G11)=0,"",H959+NPV(G959,I959:M959))</f>
        <v>-742347753.21256</v>
      </c>
      <c r="P959" s="54" t="n">
        <f aca="true">RAND()</f>
        <v>0.218985367020276</v>
      </c>
      <c r="Q959" s="54" t="n">
        <f aca="true">RAND()</f>
        <v>0.670435134855956</v>
      </c>
      <c r="R959" s="54" t="n">
        <f aca="true">RAND()</f>
        <v>0.321229720624242</v>
      </c>
      <c r="S959" s="54" t="n">
        <f aca="true">RAND()</f>
        <v>0.469828897816586</v>
      </c>
      <c r="T959" s="54" t="n">
        <f aca="true">RAND()</f>
        <v>0.908011874391779</v>
      </c>
      <c r="U959" s="54" t="n">
        <f aca="true">RAND()</f>
        <v>0.47152542677656</v>
      </c>
    </row>
    <row r="960" customFormat="false" ht="15" hidden="false" customHeight="false" outlineLevel="0" collapsed="false">
      <c r="A960" s="50" t="n">
        <v>880</v>
      </c>
      <c r="B960" s="51" t="n">
        <f aca="false">1+IF($G$6=$E$6,$F$6,IF(P960&lt;($F$6-$E$6)/($G$6-$E$6),$E$6+SQRT(P960*($G$6-$E$6)*($F$6-$E$6)),$G$6-SQRT((1-P960)*($G$6-$E$6)*($G$6-$F$6))))</f>
        <v>0.92052249903875</v>
      </c>
      <c r="C960" s="51" t="n">
        <f aca="false">1+IF($G$7=$E$7,$F$7,IF(Q960&lt;($F$7-$E$7)/($G$7-$E$7),$E$7+SQRT(Q960*($G$7-$E$7)*($F$7-$E$7)),$G$7-SQRT((1-Q960)*($G$7-$E$7)*($G$7-$F$7))))</f>
        <v>0.788668995101482</v>
      </c>
      <c r="D960" s="51" t="n">
        <f aca="false">1+IF($G$8=$E$8,$F$8,IF(R960&lt;($F$8-$E$8)/($G$8-$E$8),$E$8+SQRT(R960*($G$8-$E$8)*($F$8-$E$8)),$G$8-SQRT((1-R960)*($G$8-$E$8)*($G$8-$F$8))))</f>
        <v>0.997590541432181</v>
      </c>
      <c r="E960" s="51" t="n">
        <f aca="false">1+IF($G$9=$E$9,$F$9,IF(S960&lt;($F$9-$E$9)/($G$9-$E$9),$E$9+SQRT(S960*($G$9-$E$9)*($F$9-$E$9)),$G$9-SQRT((1-S960)*($G$9-$E$9)*($G$9-$F$9))))</f>
        <v>1.01526258469746</v>
      </c>
      <c r="F960" s="51" t="n">
        <f aca="false">1+IF($G$10=$E$10,$F$10,IF(T960&lt;($F$10-$E$10)/($G$10-$E$10),$E$10+SQRT(T960*($G$10-$E$10)*($F$10-$E$10)),$G$10-SQRT((1-T960)*($G$10-$E$10)*($G$10-$F$10))))</f>
        <v>1.13522666673627</v>
      </c>
      <c r="G960" s="52" t="n">
        <f aca="false">IF($G$11=$E$11,$F$11,IF(U960&lt;($F$11-$E$11)/($G$11-$E$11),$E$11+SQRT(U960*($G$11-$E$11)*($F$11-$E$11)),$G$11-SQRT((1-U960)*($G$11-$E$11)*($G$11-$F$11))))</f>
        <v>0.109618935302455</v>
      </c>
      <c r="H960" s="53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-2270453333.47253</v>
      </c>
      <c r="I960" s="53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-103654771.144919</v>
      </c>
      <c r="J960" s="53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88218658.7419124</v>
      </c>
      <c r="K960" s="53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336853421.965557</v>
      </c>
      <c r="L960" s="53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425901361.80393</v>
      </c>
      <c r="M960" s="53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563897076.122461</v>
      </c>
      <c r="N960" s="53" t="n">
        <f aca="false">IF(COUNT('Business Case'!B11:G11)=0,"",H960+NPV(G960,I960:M960))</f>
        <v>-1429499996.58029</v>
      </c>
      <c r="P960" s="54" t="n">
        <f aca="true">RAND()</f>
        <v>0.0280781977863666</v>
      </c>
      <c r="Q960" s="54" t="n">
        <f aca="true">RAND()</f>
        <v>0.0582384495726422</v>
      </c>
      <c r="R960" s="54" t="n">
        <f aca="true">RAND()</f>
        <v>0.301981284507757</v>
      </c>
      <c r="S960" s="54" t="n">
        <f aca="true">RAND()</f>
        <v>0.515888771135752</v>
      </c>
      <c r="T960" s="54" t="n">
        <f aca="true">RAND()</f>
        <v>0.824361092953759</v>
      </c>
      <c r="U960" s="54" t="n">
        <f aca="true">RAND()</f>
        <v>0.723074801196336</v>
      </c>
    </row>
    <row r="961" customFormat="false" ht="15" hidden="false" customHeight="false" outlineLevel="0" collapsed="false">
      <c r="A961" s="50" t="n">
        <v>881</v>
      </c>
      <c r="B961" s="51" t="n">
        <f aca="false">1+IF($G$6=$E$6,$F$6,IF(P961&lt;($F$6-$E$6)/($G$6-$E$6),$E$6+SQRT(P961*($G$6-$E$6)*($F$6-$E$6)),$G$6-SQRT((1-P961)*($G$6-$E$6)*($G$6-$F$6))))</f>
        <v>1.00264396940188</v>
      </c>
      <c r="C961" s="51" t="n">
        <f aca="false">1+IF($G$7=$E$7,$F$7,IF(Q961&lt;($F$7-$E$7)/($G$7-$E$7),$E$7+SQRT(Q961*($G$7-$E$7)*($F$7-$E$7)),$G$7-SQRT((1-Q961)*($G$7-$E$7)*($G$7-$F$7))))</f>
        <v>1.00219039857556</v>
      </c>
      <c r="D961" s="51" t="n">
        <f aca="false">1+IF($G$8=$E$8,$F$8,IF(R961&lt;($F$8-$E$8)/($G$8-$E$8),$E$8+SQRT(R961*($G$8-$E$8)*($F$8-$E$8)),$G$8-SQRT((1-R961)*($G$8-$E$8)*($G$8-$F$8))))</f>
        <v>1.00203791891415</v>
      </c>
      <c r="E961" s="51" t="n">
        <f aca="false">1+IF($G$9=$E$9,$F$9,IF(S961&lt;($F$9-$E$9)/($G$9-$E$9),$E$9+SQRT(S961*($G$9-$E$9)*($F$9-$E$9)),$G$9-SQRT((1-S961)*($G$9-$E$9)*($G$9-$F$9))))</f>
        <v>0.963909733833682</v>
      </c>
      <c r="F961" s="51" t="n">
        <f aca="false">1+IF($G$10=$E$10,$F$10,IF(T961&lt;($F$10-$E$10)/($G$10-$E$10),$E$10+SQRT(T961*($G$10-$E$10)*($F$10-$E$10)),$G$10-SQRT((1-T961)*($G$10-$E$10)*($G$10-$F$10))))</f>
        <v>1.13819351983936</v>
      </c>
      <c r="G961" s="52" t="n">
        <f aca="false">IF($G$11=$E$11,$F$11,IF(U961&lt;($F$11-$E$11)/($G$11-$E$11),$E$11+SQRT(U961*($G$11-$E$11)*($F$11-$E$11)),$G$11-SQRT((1-U961)*($G$11-$E$11)*($G$11-$F$11))))</f>
        <v>0.101324649135349</v>
      </c>
      <c r="H961" s="53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-2276387039.67873</v>
      </c>
      <c r="I961" s="53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5971363.55775432</v>
      </c>
      <c r="J961" s="53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314920957.109964</v>
      </c>
      <c r="K961" s="53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680780226.654141</v>
      </c>
      <c r="L961" s="53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818490700.411125</v>
      </c>
      <c r="M961" s="53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1009490717.89548</v>
      </c>
      <c r="N961" s="53" t="n">
        <f aca="false">IF(COUNT('Business Case'!B11:G11)=0,"",H961+NPV(G961,I961:M961))</f>
        <v>-322279439.535394</v>
      </c>
      <c r="P961" s="54" t="n">
        <f aca="true">RAND()</f>
        <v>0.700987515465298</v>
      </c>
      <c r="Q961" s="54" t="n">
        <f aca="true">RAND()</f>
        <v>0.676330692248128</v>
      </c>
      <c r="R961" s="54" t="n">
        <f aca="true">RAND()</f>
        <v>0.360228711288609</v>
      </c>
      <c r="S961" s="54" t="n">
        <f aca="true">RAND()</f>
        <v>0.163378163147683</v>
      </c>
      <c r="T961" s="54" t="n">
        <f aca="true">RAND()</f>
        <v>0.833324146587854</v>
      </c>
      <c r="U961" s="54" t="n">
        <f aca="true">RAND()</f>
        <v>0.451816168526091</v>
      </c>
    </row>
    <row r="962" customFormat="false" ht="15" hidden="false" customHeight="false" outlineLevel="0" collapsed="false">
      <c r="A962" s="50" t="n">
        <v>882</v>
      </c>
      <c r="B962" s="51" t="n">
        <f aca="false">1+IF($G$6=$E$6,$F$6,IF(P962&lt;($F$6-$E$6)/($G$6-$E$6),$E$6+SQRT(P962*($G$6-$E$6)*($F$6-$E$6)),$G$6-SQRT((1-P962)*($G$6-$E$6)*($G$6-$F$6))))</f>
        <v>0.997299284090294</v>
      </c>
      <c r="C962" s="51" t="n">
        <f aca="false">1+IF($G$7=$E$7,$F$7,IF(Q962&lt;($F$7-$E$7)/($G$7-$E$7),$E$7+SQRT(Q962*($G$7-$E$7)*($F$7-$E$7)),$G$7-SQRT((1-Q962)*($G$7-$E$7)*($G$7-$F$7))))</f>
        <v>0.970364017950013</v>
      </c>
      <c r="D962" s="51" t="n">
        <f aca="false">1+IF($G$8=$E$8,$F$8,IF(R962&lt;($F$8-$E$8)/($G$8-$E$8),$E$8+SQRT(R962*($G$8-$E$8)*($F$8-$E$8)),$G$8-SQRT((1-R962)*($G$8-$E$8)*($G$8-$F$8))))</f>
        <v>1.02799946829575</v>
      </c>
      <c r="E962" s="51" t="n">
        <f aca="false">1+IF($G$9=$E$9,$F$9,IF(S962&lt;($F$9-$E$9)/($G$9-$E$9),$E$9+SQRT(S962*($G$9-$E$9)*($F$9-$E$9)),$G$9-SQRT((1-S962)*($G$9-$E$9)*($G$9-$F$9))))</f>
        <v>1.06426558209115</v>
      </c>
      <c r="F962" s="51" t="n">
        <f aca="false">1+IF($G$10=$E$10,$F$10,IF(T962&lt;($F$10-$E$10)/($G$10-$E$10),$E$10+SQRT(T962*($G$10-$E$10)*($F$10-$E$10)),$G$10-SQRT((1-T962)*($G$10-$E$10)*($G$10-$F$10))))</f>
        <v>0.988948625867355</v>
      </c>
      <c r="G962" s="52" t="n">
        <f aca="false">IF($G$11=$E$11,$F$11,IF(U962&lt;($F$11-$E$11)/($G$11-$E$11),$E$11+SQRT(U962*($G$11-$E$11)*($F$11-$E$11)),$G$11-SQRT((1-U962)*($G$11-$E$11)*($G$11-$F$11))))</f>
        <v>0.101164600452294</v>
      </c>
      <c r="H962" s="53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-1977897251.73471</v>
      </c>
      <c r="I962" s="53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-18407218.7032637</v>
      </c>
      <c r="J962" s="53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263586805.720348</v>
      </c>
      <c r="K962" s="53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595028261.437328</v>
      </c>
      <c r="L962" s="53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722471479.423051</v>
      </c>
      <c r="M962" s="53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906420133.567904</v>
      </c>
      <c r="N962" s="53" t="n">
        <f aca="false">IF(COUNT('Business Case'!B11:G11)=0,"",H962+NPV(G962,I962:M962))</f>
        <v>-280377774.693447</v>
      </c>
      <c r="P962" s="54" t="n">
        <f aca="true">RAND()</f>
        <v>0.631143378965578</v>
      </c>
      <c r="Q962" s="54" t="n">
        <f aca="true">RAND()</f>
        <v>0.541457053348702</v>
      </c>
      <c r="R962" s="54" t="n">
        <f aca="true">RAND()</f>
        <v>0.654394895620377</v>
      </c>
      <c r="S962" s="54" t="n">
        <f aca="true">RAND()</f>
        <v>0.8039895889555</v>
      </c>
      <c r="T962" s="54" t="n">
        <f aca="true">RAND()</f>
        <v>0.101133030463682</v>
      </c>
      <c r="U962" s="54" t="n">
        <f aca="true">RAND()</f>
        <v>0.445679821949426</v>
      </c>
    </row>
    <row r="963" customFormat="false" ht="15" hidden="false" customHeight="false" outlineLevel="0" collapsed="false">
      <c r="A963" s="50" t="n">
        <v>883</v>
      </c>
      <c r="B963" s="51" t="n">
        <f aca="false">1+IF($G$6=$E$6,$F$6,IF(P963&lt;($F$6-$E$6)/($G$6-$E$6),$E$6+SQRT(P963*($G$6-$E$6)*($F$6-$E$6)),$G$6-SQRT((1-P963)*($G$6-$E$6)*($G$6-$F$6))))</f>
        <v>1.03175608604076</v>
      </c>
      <c r="C963" s="51" t="n">
        <f aca="false">1+IF($G$7=$E$7,$F$7,IF(Q963&lt;($F$7-$E$7)/($G$7-$E$7),$E$7+SQRT(Q963*($G$7-$E$7)*($F$7-$E$7)),$G$7-SQRT((1-Q963)*($G$7-$E$7)*($G$7-$F$7))))</f>
        <v>0.933442134991695</v>
      </c>
      <c r="D963" s="51" t="n">
        <f aca="false">1+IF($G$8=$E$8,$F$8,IF(R963&lt;($F$8-$E$8)/($G$8-$E$8),$E$8+SQRT(R963*($G$8-$E$8)*($F$8-$E$8)),$G$8-SQRT((1-R963)*($G$8-$E$8)*($G$8-$F$8))))</f>
        <v>1.05874461435625</v>
      </c>
      <c r="E963" s="51" t="n">
        <f aca="false">1+IF($G$9=$E$9,$F$9,IF(S963&lt;($F$9-$E$9)/($G$9-$E$9),$E$9+SQRT(S963*($G$9-$E$9)*($F$9-$E$9)),$G$9-SQRT((1-S963)*($G$9-$E$9)*($G$9-$F$9))))</f>
        <v>0.996295412749752</v>
      </c>
      <c r="F963" s="51" t="n">
        <f aca="false">1+IF($G$10=$E$10,$F$10,IF(T963&lt;($F$10-$E$10)/($G$10-$E$10),$E$10+SQRT(T963*($G$10-$E$10)*($F$10-$E$10)),$G$10-SQRT((1-T963)*($G$10-$E$10)*($G$10-$F$10))))</f>
        <v>1.11245985497995</v>
      </c>
      <c r="G963" s="52" t="n">
        <f aca="false">IF($G$11=$E$11,$F$11,IF(U963&lt;($F$11-$E$11)/($G$11-$E$11),$E$11+SQRT(U963*($G$11-$E$11)*($F$11-$E$11)),$G$11-SQRT((1-U963)*($G$11-$E$11)*($G$11-$F$11))))</f>
        <v>0.110552301822109</v>
      </c>
      <c r="H963" s="53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-2224919709.9599</v>
      </c>
      <c r="I963" s="53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-19928542.9608623</v>
      </c>
      <c r="J963" s="53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262988413.127403</v>
      </c>
      <c r="K963" s="53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601528361.964666</v>
      </c>
      <c r="L963" s="53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729118217.8995</v>
      </c>
      <c r="M963" s="53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912181339.379266</v>
      </c>
      <c r="N963" s="53" t="n">
        <f aca="false">IF(COUNT('Business Case'!B11:G11)=0,"",H963+NPV(G963,I963:M963))</f>
        <v>-571124410.484435</v>
      </c>
      <c r="P963" s="54" t="n">
        <f aca="true">RAND()</f>
        <v>0.955621280459704</v>
      </c>
      <c r="Q963" s="54" t="n">
        <f aca="true">RAND()</f>
        <v>0.403668373255412</v>
      </c>
      <c r="R963" s="54" t="n">
        <f aca="true">RAND()</f>
        <v>0.886532877025715</v>
      </c>
      <c r="S963" s="54" t="n">
        <f aca="true">RAND()</f>
        <v>0.370912260665804</v>
      </c>
      <c r="T963" s="54" t="n">
        <f aca="true">RAND()</f>
        <v>0.747769446771517</v>
      </c>
      <c r="U963" s="54" t="n">
        <f aca="true">RAND()</f>
        <v>0.747858023721104</v>
      </c>
    </row>
    <row r="964" customFormat="false" ht="15" hidden="false" customHeight="false" outlineLevel="0" collapsed="false">
      <c r="A964" s="50" t="n">
        <v>884</v>
      </c>
      <c r="B964" s="51" t="n">
        <f aca="false">1+IF($G$6=$E$6,$F$6,IF(P964&lt;($F$6-$E$6)/($G$6-$E$6),$E$6+SQRT(P964*($G$6-$E$6)*($F$6-$E$6)),$G$6-SQRT((1-P964)*($G$6-$E$6)*($G$6-$F$6))))</f>
        <v>1.02740354465959</v>
      </c>
      <c r="C964" s="51" t="n">
        <f aca="false">1+IF($G$7=$E$7,$F$7,IF(Q964&lt;($F$7-$E$7)/($G$7-$E$7),$E$7+SQRT(Q964*($G$7-$E$7)*($F$7-$E$7)),$G$7-SQRT((1-Q964)*($G$7-$E$7)*($G$7-$F$7))))</f>
        <v>0.985498684686541</v>
      </c>
      <c r="D964" s="51" t="n">
        <f aca="false">1+IF($G$8=$E$8,$F$8,IF(R964&lt;($F$8-$E$8)/($G$8-$E$8),$E$8+SQRT(R964*($G$8-$E$8)*($F$8-$E$8)),$G$8-SQRT((1-R964)*($G$8-$E$8)*($G$8-$F$8))))</f>
        <v>0.991012836558172</v>
      </c>
      <c r="E964" s="51" t="n">
        <f aca="false">1+IF($G$9=$E$9,$F$9,IF(S964&lt;($F$9-$E$9)/($G$9-$E$9),$E$9+SQRT(S964*($G$9-$E$9)*($F$9-$E$9)),$G$9-SQRT((1-S964)*($G$9-$E$9)*($G$9-$F$9))))</f>
        <v>0.946982850310333</v>
      </c>
      <c r="F964" s="51" t="n">
        <f aca="false">1+IF($G$10=$E$10,$F$10,IF(T964&lt;($F$10-$E$10)/($G$10-$E$10),$E$10+SQRT(T964*($G$10-$E$10)*($F$10-$E$10)),$G$10-SQRT((1-T964)*($G$10-$E$10)*($G$10-$F$10))))</f>
        <v>1.08820101654406</v>
      </c>
      <c r="G964" s="52" t="n">
        <f aca="false">IF($G$11=$E$11,$F$11,IF(U964&lt;($F$11-$E$11)/($G$11-$E$11),$E$11+SQRT(U964*($G$11-$E$11)*($F$11-$E$11)),$G$11-SQRT((1-U964)*($G$11-$E$11)*($G$11-$F$11))))</f>
        <v>0.113930482361282</v>
      </c>
      <c r="H964" s="53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-2176402033.08812</v>
      </c>
      <c r="I964" s="53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33382557.6121435</v>
      </c>
      <c r="J964" s="53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362734429.197142</v>
      </c>
      <c r="K964" s="53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746496351.609344</v>
      </c>
      <c r="L964" s="53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891272476.140556</v>
      </c>
      <c r="M964" s="53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1083729396.48973</v>
      </c>
      <c r="N964" s="53" t="n">
        <f aca="false">IF(COUNT('Business Case'!B11:G11)=0,"",H964+NPV(G964,I964:M964))</f>
        <v>-103290085.254055</v>
      </c>
      <c r="P964" s="54" t="n">
        <f aca="true">RAND()</f>
        <v>0.931920027473157</v>
      </c>
      <c r="Q964" s="54" t="n">
        <f aca="true">RAND()</f>
        <v>0.603774066353666</v>
      </c>
      <c r="R964" s="54" t="n">
        <f aca="true">RAND()</f>
        <v>0.224273701672973</v>
      </c>
      <c r="S964" s="54" t="n">
        <f aca="true">RAND()</f>
        <v>0.0882955289313277</v>
      </c>
      <c r="T964" s="54" t="n">
        <f aca="true">RAND()</f>
        <v>0.650947852701664</v>
      </c>
      <c r="U964" s="54" t="n">
        <f aca="true">RAND()</f>
        <v>0.827847068572617</v>
      </c>
    </row>
    <row r="965" customFormat="false" ht="15" hidden="false" customHeight="false" outlineLevel="0" collapsed="false">
      <c r="A965" s="50" t="n">
        <v>885</v>
      </c>
      <c r="B965" s="51" t="n">
        <f aca="false">1+IF($G$6=$E$6,$F$6,IF(P965&lt;($F$6-$E$6)/($G$6-$E$6),$E$6+SQRT(P965*($G$6-$E$6)*($F$6-$E$6)),$G$6-SQRT((1-P965)*($G$6-$E$6)*($G$6-$F$6))))</f>
        <v>0.983725491816273</v>
      </c>
      <c r="C965" s="51" t="n">
        <f aca="false">1+IF($G$7=$E$7,$F$7,IF(Q965&lt;($F$7-$E$7)/($G$7-$E$7),$E$7+SQRT(Q965*($G$7-$E$7)*($F$7-$E$7)),$G$7-SQRT((1-Q965)*($G$7-$E$7)*($G$7-$F$7))))</f>
        <v>0.848400653944453</v>
      </c>
      <c r="D965" s="51" t="n">
        <f aca="false">1+IF($G$8=$E$8,$F$8,IF(R965&lt;($F$8-$E$8)/($G$8-$E$8),$E$8+SQRT(R965*($G$8-$E$8)*($F$8-$E$8)),$G$8-SQRT((1-R965)*($G$8-$E$8)*($G$8-$F$8))))</f>
        <v>0.989258242456325</v>
      </c>
      <c r="E965" s="51" t="n">
        <f aca="false">1+IF($G$9=$E$9,$F$9,IF(S965&lt;($F$9-$E$9)/($G$9-$E$9),$E$9+SQRT(S965*($G$9-$E$9)*($F$9-$E$9)),$G$9-SQRT((1-S965)*($G$9-$E$9)*($G$9-$F$9))))</f>
        <v>0.955705688607397</v>
      </c>
      <c r="F965" s="51" t="n">
        <f aca="false">1+IF($G$10=$E$10,$F$10,IF(T965&lt;($F$10-$E$10)/($G$10-$E$10),$E$10+SQRT(T965*($G$10-$E$10)*($F$10-$E$10)),$G$10-SQRT((1-T965)*($G$10-$E$10)*($G$10-$F$10))))</f>
        <v>1.132834952664</v>
      </c>
      <c r="G965" s="52" t="n">
        <f aca="false">IF($G$11=$E$11,$F$11,IF(U965&lt;($F$11-$E$11)/($G$11-$E$11),$E$11+SQRT(U965*($G$11-$E$11)*($F$11-$E$11)),$G$11-SQRT((1-U965)*($G$11-$E$11)*($G$11-$F$11))))</f>
        <v>0.098716425396959</v>
      </c>
      <c r="H965" s="53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-2265669905.328</v>
      </c>
      <c r="I965" s="53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-38506093.6510737</v>
      </c>
      <c r="J965" s="53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215437976.177191</v>
      </c>
      <c r="K965" s="53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526023793.638655</v>
      </c>
      <c r="L965" s="53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639515363.110054</v>
      </c>
      <c r="M965" s="53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798154867.184262</v>
      </c>
      <c r="N965" s="53" t="n">
        <f aca="false">IF(COUNT('Business Case'!B11:G11)=0,"",H965+NPV(G965,I965:M965))</f>
        <v>-788320633.868476</v>
      </c>
      <c r="P965" s="54" t="n">
        <f aca="true">RAND()</f>
        <v>0.467330531991786</v>
      </c>
      <c r="Q965" s="54" t="n">
        <f aca="true">RAND()</f>
        <v>0.163131511786232</v>
      </c>
      <c r="R965" s="54" t="n">
        <f aca="true">RAND()</f>
        <v>0.20549461343461</v>
      </c>
      <c r="S965" s="54" t="n">
        <f aca="true">RAND()</f>
        <v>0.124124949728972</v>
      </c>
      <c r="T965" s="54" t="n">
        <f aca="true">RAND()</f>
        <v>0.816964689103378</v>
      </c>
      <c r="U965" s="54" t="n">
        <f aca="true">RAND()</f>
        <v>0.350304579639931</v>
      </c>
    </row>
    <row r="966" customFormat="false" ht="15" hidden="false" customHeight="false" outlineLevel="0" collapsed="false">
      <c r="A966" s="50" t="n">
        <v>886</v>
      </c>
      <c r="B966" s="51" t="n">
        <f aca="false">1+IF($G$6=$E$6,$F$6,IF(P966&lt;($F$6-$E$6)/($G$6-$E$6),$E$6+SQRT(P966*($G$6-$E$6)*($F$6-$E$6)),$G$6-SQRT((1-P966)*($G$6-$E$6)*($G$6-$F$6))))</f>
        <v>1.00344077006173</v>
      </c>
      <c r="C966" s="51" t="n">
        <f aca="false">1+IF($G$7=$E$7,$F$7,IF(Q966&lt;($F$7-$E$7)/($G$7-$E$7),$E$7+SQRT(Q966*($G$7-$E$7)*($F$7-$E$7)),$G$7-SQRT((1-Q966)*($G$7-$E$7)*($G$7-$F$7))))</f>
        <v>0.940269634452153</v>
      </c>
      <c r="D966" s="51" t="n">
        <f aca="false">1+IF($G$8=$E$8,$F$8,IF(R966&lt;($F$8-$E$8)/($G$8-$E$8),$E$8+SQRT(R966*($G$8-$E$8)*($F$8-$E$8)),$G$8-SQRT((1-R966)*($G$8-$E$8)*($G$8-$F$8))))</f>
        <v>0.986388785185066</v>
      </c>
      <c r="E966" s="51" t="n">
        <f aca="false">1+IF($G$9=$E$9,$F$9,IF(S966&lt;($F$9-$E$9)/($G$9-$E$9),$E$9+SQRT(S966*($G$9-$E$9)*($F$9-$E$9)),$G$9-SQRT((1-S966)*($G$9-$E$9)*($G$9-$F$9))))</f>
        <v>1.02665204308594</v>
      </c>
      <c r="F966" s="51" t="n">
        <f aca="false">1+IF($G$10=$E$10,$F$10,IF(T966&lt;($F$10-$E$10)/($G$10-$E$10),$E$10+SQRT(T966*($G$10-$E$10)*($F$10-$E$10)),$G$10-SQRT((1-T966)*($G$10-$E$10)*($G$10-$F$10))))</f>
        <v>1.08506870627368</v>
      </c>
      <c r="G966" s="52" t="n">
        <f aca="false">IF($G$11=$E$11,$F$11,IF(U966&lt;($F$11-$E$11)/($G$11-$E$11),$E$11+SQRT(U966*($G$11-$E$11)*($F$11-$E$11)),$G$11-SQRT((1-U966)*($G$11-$E$11)*($G$11-$F$11))))</f>
        <v>0.104917007656733</v>
      </c>
      <c r="H966" s="53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-2170137412.54736</v>
      </c>
      <c r="I966" s="53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-5400821.00507259</v>
      </c>
      <c r="J966" s="53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292606442.437411</v>
      </c>
      <c r="K966" s="53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644867141.193579</v>
      </c>
      <c r="L966" s="53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776810424.536651</v>
      </c>
      <c r="M966" s="53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956151833.278998</v>
      </c>
      <c r="N966" s="53" t="n">
        <f aca="false">IF(COUNT('Business Case'!B11:G11)=0,"",H966+NPV(G966,I966:M966))</f>
        <v>-355498179.935337</v>
      </c>
      <c r="P966" s="54" t="n">
        <f aca="true">RAND()</f>
        <v>0.710965081007314</v>
      </c>
      <c r="Q966" s="54" t="n">
        <f aca="true">RAND()</f>
        <v>0.427625905479785</v>
      </c>
      <c r="R966" s="54" t="n">
        <f aca="true">RAND()</f>
        <v>0.176552491632653</v>
      </c>
      <c r="S966" s="54" t="n">
        <f aca="true">RAND()</f>
        <v>0.594274174003414</v>
      </c>
      <c r="T966" s="54" t="n">
        <f aca="true">RAND()</f>
        <v>0.637302244663493</v>
      </c>
      <c r="U966" s="54" t="n">
        <f aca="true">RAND()</f>
        <v>0.580562330071747</v>
      </c>
    </row>
    <row r="967" customFormat="false" ht="15" hidden="false" customHeight="false" outlineLevel="0" collapsed="false">
      <c r="A967" s="50" t="n">
        <v>887</v>
      </c>
      <c r="B967" s="51" t="n">
        <f aca="false">1+IF($G$6=$E$6,$F$6,IF(P967&lt;($F$6-$E$6)/($G$6-$E$6),$E$6+SQRT(P967*($G$6-$E$6)*($F$6-$E$6)),$G$6-SQRT((1-P967)*($G$6-$E$6)*($G$6-$F$6))))</f>
        <v>0.969823525559928</v>
      </c>
      <c r="C967" s="51" t="n">
        <f aca="false">1+IF($G$7=$E$7,$F$7,IF(Q967&lt;($F$7-$E$7)/($G$7-$E$7),$E$7+SQRT(Q967*($G$7-$E$7)*($F$7-$E$7)),$G$7-SQRT((1-Q967)*($G$7-$E$7)*($G$7-$F$7))))</f>
        <v>1.0201012852336</v>
      </c>
      <c r="D967" s="51" t="n">
        <f aca="false">1+IF($G$8=$E$8,$F$8,IF(R967&lt;($F$8-$E$8)/($G$8-$E$8),$E$8+SQRT(R967*($G$8-$E$8)*($F$8-$E$8)),$G$8-SQRT((1-R967)*($G$8-$E$8)*($G$8-$F$8))))</f>
        <v>1.00585318527027</v>
      </c>
      <c r="E967" s="51" t="n">
        <f aca="false">1+IF($G$9=$E$9,$F$9,IF(S967&lt;($F$9-$E$9)/($G$9-$E$9),$E$9+SQRT(S967*($G$9-$E$9)*($F$9-$E$9)),$G$9-SQRT((1-S967)*($G$9-$E$9)*($G$9-$F$9))))</f>
        <v>0.965203323440853</v>
      </c>
      <c r="F967" s="51" t="n">
        <f aca="false">1+IF($G$10=$E$10,$F$10,IF(T967&lt;($F$10-$E$10)/($G$10-$E$10),$E$10+SQRT(T967*($G$10-$E$10)*($F$10-$E$10)),$G$10-SQRT((1-T967)*($G$10-$E$10)*($G$10-$F$10))))</f>
        <v>1.01563907701626</v>
      </c>
      <c r="G967" s="52" t="n">
        <f aca="false">IF($G$11=$E$11,$F$11,IF(U967&lt;($F$11-$E$11)/($G$11-$E$11),$E$11+SQRT(U967*($G$11-$E$11)*($F$11-$E$11)),$G$11-SQRT((1-U967)*($G$11-$E$11)*($G$11-$F$11))))</f>
        <v>0.116091572068639</v>
      </c>
      <c r="H967" s="53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-2031278154.03252</v>
      </c>
      <c r="I967" s="53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-5046063.26849479</v>
      </c>
      <c r="J967" s="53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280009950.535366</v>
      </c>
      <c r="K967" s="53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615847918.19004</v>
      </c>
      <c r="L967" s="53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745057427.30962</v>
      </c>
      <c r="M967" s="53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933107035.493568</v>
      </c>
      <c r="N967" s="53" t="n">
        <f aca="false">IF(COUNT('Business Case'!B11:G11)=0,"",H967+NPV(G967,I967:M967))</f>
        <v>-349070521.498871</v>
      </c>
      <c r="P967" s="54" t="n">
        <f aca="true">RAND()</f>
        <v>0.325021648107861</v>
      </c>
      <c r="Q967" s="54" t="n">
        <f aca="true">RAND()</f>
        <v>0.750019613363516</v>
      </c>
      <c r="R967" s="54" t="n">
        <f aca="true">RAND()</f>
        <v>0.409091818416349</v>
      </c>
      <c r="S967" s="54" t="n">
        <f aca="true">RAND()</f>
        <v>0.170058935509299</v>
      </c>
      <c r="T967" s="54" t="n">
        <f aca="true">RAND()</f>
        <v>0.267666103709448</v>
      </c>
      <c r="U967" s="54" t="n">
        <f aca="true">RAND()</f>
        <v>0.871037088318755</v>
      </c>
    </row>
    <row r="968" customFormat="false" ht="15" hidden="false" customHeight="false" outlineLevel="0" collapsed="false">
      <c r="A968" s="50" t="n">
        <v>888</v>
      </c>
      <c r="B968" s="51" t="n">
        <f aca="false">1+IF($G$6=$E$6,$F$6,IF(P968&lt;($F$6-$E$6)/($G$6-$E$6),$E$6+SQRT(P968*($G$6-$E$6)*($F$6-$E$6)),$G$6-SQRT((1-P968)*($G$6-$E$6)*($G$6-$F$6))))</f>
        <v>1.02593516996185</v>
      </c>
      <c r="C968" s="51" t="n">
        <f aca="false">1+IF($G$7=$E$7,$F$7,IF(Q968&lt;($F$7-$E$7)/($G$7-$E$7),$E$7+SQRT(Q968*($G$7-$E$7)*($F$7-$E$7)),$G$7-SQRT((1-Q968)*($G$7-$E$7)*($G$7-$F$7))))</f>
        <v>0.893420282275004</v>
      </c>
      <c r="D968" s="51" t="n">
        <f aca="false">1+IF($G$8=$E$8,$F$8,IF(R968&lt;($F$8-$E$8)/($G$8-$E$8),$E$8+SQRT(R968*($G$8-$E$8)*($F$8-$E$8)),$G$8-SQRT((1-R968)*($G$8-$E$8)*($G$8-$F$8))))</f>
        <v>0.963481130003096</v>
      </c>
      <c r="E968" s="51" t="n">
        <f aca="false">1+IF($G$9=$E$9,$F$9,IF(S968&lt;($F$9-$E$9)/($G$9-$E$9),$E$9+SQRT(S968*($G$9-$E$9)*($F$9-$E$9)),$G$9-SQRT((1-S968)*($G$9-$E$9)*($G$9-$F$9))))</f>
        <v>0.944591666039248</v>
      </c>
      <c r="F968" s="51" t="n">
        <f aca="false">1+IF($G$10=$E$10,$F$10,IF(T968&lt;($F$10-$E$10)/($G$10-$E$10),$E$10+SQRT(T968*($G$10-$E$10)*($F$10-$E$10)),$G$10-SQRT((1-T968)*($G$10-$E$10)*($G$10-$F$10))))</f>
        <v>1.12436096063978</v>
      </c>
      <c r="G968" s="52" t="n">
        <f aca="false">IF($G$11=$E$11,$F$11,IF(U968&lt;($F$11-$E$11)/($G$11-$E$11),$E$11+SQRT(U968*($G$11-$E$11)*($F$11-$E$11)),$G$11-SQRT((1-U968)*($G$11-$E$11)*($G$11-$F$11))))</f>
        <v>0.0887464673380208</v>
      </c>
      <c r="H968" s="53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-2248721921.27955</v>
      </c>
      <c r="I968" s="53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15823685.899176</v>
      </c>
      <c r="J968" s="53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325920495.202293</v>
      </c>
      <c r="K968" s="53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692235352.537399</v>
      </c>
      <c r="L968" s="53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827278350.591226</v>
      </c>
      <c r="M968" s="53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1001504022.83156</v>
      </c>
      <c r="N968" s="53" t="n">
        <f aca="false">IF(COUNT('Business Case'!B11:G11)=0,"",H968+NPV(G968,I968:M968))</f>
        <v>-179420873.03397</v>
      </c>
      <c r="P968" s="54" t="n">
        <f aca="true">RAND()</f>
        <v>0.922784527364681</v>
      </c>
      <c r="Q968" s="54" t="n">
        <f aca="true">RAND()</f>
        <v>0.277121522928461</v>
      </c>
      <c r="R968" s="54" t="n">
        <f aca="true">RAND()</f>
        <v>0.0242321154880484</v>
      </c>
      <c r="S968" s="54" t="n">
        <f aca="true">RAND()</f>
        <v>0.0795366672062337</v>
      </c>
      <c r="T968" s="54" t="n">
        <f aca="true">RAND()</f>
        <v>0.789531090515205</v>
      </c>
      <c r="U968" s="54" t="n">
        <f aca="true">RAND()</f>
        <v>0.0765006908950643</v>
      </c>
    </row>
    <row r="969" customFormat="false" ht="15" hidden="false" customHeight="false" outlineLevel="0" collapsed="false">
      <c r="A969" s="50" t="n">
        <v>889</v>
      </c>
      <c r="B969" s="51" t="n">
        <f aca="false">1+IF($G$6=$E$6,$F$6,IF(P969&lt;($F$6-$E$6)/($G$6-$E$6),$E$6+SQRT(P969*($G$6-$E$6)*($F$6-$E$6)),$G$6-SQRT((1-P969)*($G$6-$E$6)*($G$6-$F$6))))</f>
        <v>1.02110037973205</v>
      </c>
      <c r="C969" s="51" t="n">
        <f aca="false">1+IF($G$7=$E$7,$F$7,IF(Q969&lt;($F$7-$E$7)/($G$7-$E$7),$E$7+SQRT(Q969*($G$7-$E$7)*($F$7-$E$7)),$G$7-SQRT((1-Q969)*($G$7-$E$7)*($G$7-$F$7))))</f>
        <v>0.819831816593091</v>
      </c>
      <c r="D969" s="51" t="n">
        <f aca="false">1+IF($G$8=$E$8,$F$8,IF(R969&lt;($F$8-$E$8)/($G$8-$E$8),$E$8+SQRT(R969*($G$8-$E$8)*($F$8-$E$8)),$G$8-SQRT((1-R969)*($G$8-$E$8)*($G$8-$F$8))))</f>
        <v>1.01014363396275</v>
      </c>
      <c r="E969" s="51" t="n">
        <f aca="false">1+IF($G$9=$E$9,$F$9,IF(S969&lt;($F$9-$E$9)/($G$9-$E$9),$E$9+SQRT(S969*($G$9-$E$9)*($F$9-$E$9)),$G$9-SQRT((1-S969)*($G$9-$E$9)*($G$9-$F$9))))</f>
        <v>0.99933376376559</v>
      </c>
      <c r="F969" s="51" t="n">
        <f aca="false">1+IF($G$10=$E$10,$F$10,IF(T969&lt;($F$10-$E$10)/($G$10-$E$10),$E$10+SQRT(T969*($G$10-$E$10)*($F$10-$E$10)),$G$10-SQRT((1-T969)*($G$10-$E$10)*($G$10-$F$10))))</f>
        <v>1.08098755520295</v>
      </c>
      <c r="G969" s="52" t="n">
        <f aca="false">IF($G$11=$E$11,$F$11,IF(U969&lt;($F$11-$E$11)/($G$11-$E$11),$E$11+SQRT(U969*($G$11-$E$11)*($F$11-$E$11)),$G$11-SQRT((1-U969)*($G$11-$E$11)*($G$11-$F$11))))</f>
        <v>0.0856208458260078</v>
      </c>
      <c r="H969" s="53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-2161975110.40589</v>
      </c>
      <c r="I969" s="53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-31876116.2365828</v>
      </c>
      <c r="J969" s="53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229848633.482378</v>
      </c>
      <c r="K969" s="53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545622760.961486</v>
      </c>
      <c r="L969" s="53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661795577.019661</v>
      </c>
      <c r="M969" s="53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820917357.521528</v>
      </c>
      <c r="N969" s="53" t="n">
        <f aca="false">IF(COUNT('Business Case'!B11:G11)=0,"",H969+NPV(G969,I969:M969))</f>
        <v>-549043044.101388</v>
      </c>
      <c r="P969" s="54" t="n">
        <f aca="true">RAND()</f>
        <v>0.888641593115783</v>
      </c>
      <c r="Q969" s="54" t="n">
        <f aca="true">RAND()</f>
        <v>0.106367883466668</v>
      </c>
      <c r="R969" s="54" t="n">
        <f aca="true">RAND()</f>
        <v>0.461722232171933</v>
      </c>
      <c r="S969" s="54" t="n">
        <f aca="true">RAND()</f>
        <v>0.394687864953518</v>
      </c>
      <c r="T969" s="54" t="n">
        <f aca="true">RAND()</f>
        <v>0.619130580049639</v>
      </c>
      <c r="U969" s="54" t="n">
        <f aca="true">RAND()</f>
        <v>0.031593907799749</v>
      </c>
    </row>
    <row r="970" customFormat="false" ht="15" hidden="false" customHeight="false" outlineLevel="0" collapsed="false">
      <c r="A970" s="50" t="n">
        <v>890</v>
      </c>
      <c r="B970" s="51" t="n">
        <f aca="false">1+IF($G$6=$E$6,$F$6,IF(P970&lt;($F$6-$E$6)/($G$6-$E$6),$E$6+SQRT(P970*($G$6-$E$6)*($F$6-$E$6)),$G$6-SQRT((1-P970)*($G$6-$E$6)*($G$6-$F$6))))</f>
        <v>1.01096216118081</v>
      </c>
      <c r="C970" s="51" t="n">
        <f aca="false">1+IF($G$7=$E$7,$F$7,IF(Q970&lt;($F$7-$E$7)/($G$7-$E$7),$E$7+SQRT(Q970*($G$7-$E$7)*($F$7-$E$7)),$G$7-SQRT((1-Q970)*($G$7-$E$7)*($G$7-$F$7))))</f>
        <v>0.753328446675981</v>
      </c>
      <c r="D970" s="51" t="n">
        <f aca="false">1+IF($G$8=$E$8,$F$8,IF(R970&lt;($F$8-$E$8)/($G$8-$E$8),$E$8+SQRT(R970*($G$8-$E$8)*($F$8-$E$8)),$G$8-SQRT((1-R970)*($G$8-$E$8)*($G$8-$F$8))))</f>
        <v>1.03043788226373</v>
      </c>
      <c r="E970" s="51" t="n">
        <f aca="false">1+IF($G$9=$E$9,$F$9,IF(S970&lt;($F$9-$E$9)/($G$9-$E$9),$E$9+SQRT(S970*($G$9-$E$9)*($F$9-$E$9)),$G$9-SQRT((1-S970)*($G$9-$E$9)*($G$9-$F$9))))</f>
        <v>1.09512733046851</v>
      </c>
      <c r="F970" s="51" t="n">
        <f aca="false">1+IF($G$10=$E$10,$F$10,IF(T970&lt;($F$10-$E$10)/($G$10-$E$10),$E$10+SQRT(T970*($G$10-$E$10)*($F$10-$E$10)),$G$10-SQRT((1-T970)*($G$10-$E$10)*($G$10-$F$10))))</f>
        <v>1.02778374854174</v>
      </c>
      <c r="G970" s="52" t="n">
        <f aca="false">IF($G$11=$E$11,$F$11,IF(U970&lt;($F$11-$E$11)/($G$11-$E$11),$E$11+SQRT(U970*($G$11-$E$11)*($F$11-$E$11)),$G$11-SQRT((1-U970)*($G$11-$E$11)*($G$11-$F$11))))</f>
        <v>0.104920346215986</v>
      </c>
      <c r="H970" s="53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-2055567497.08349</v>
      </c>
      <c r="I970" s="53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-71573987.8395009</v>
      </c>
      <c r="J970" s="53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154838152.554657</v>
      </c>
      <c r="K970" s="53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432639480.375902</v>
      </c>
      <c r="L970" s="53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534430625.165196</v>
      </c>
      <c r="M970" s="53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679192997.450359</v>
      </c>
      <c r="N970" s="53" t="n">
        <f aca="false">IF(COUNT('Business Case'!B11:G11)=0,"",H970+NPV(G970,I970:M970))</f>
        <v>-901808100.886134</v>
      </c>
      <c r="P970" s="54" t="n">
        <f aca="true">RAND()</f>
        <v>0.796806285376888</v>
      </c>
      <c r="Q970" s="54" t="n">
        <f aca="true">RAND()</f>
        <v>0.0210660979620221</v>
      </c>
      <c r="R970" s="54" t="n">
        <f aca="true">RAND()</f>
        <v>0.677407451736309</v>
      </c>
      <c r="S970" s="54" t="n">
        <f aca="true">RAND()</f>
        <v>0.919706403693001</v>
      </c>
      <c r="T970" s="54" t="n">
        <f aca="true">RAND()</f>
        <v>0.341599167837884</v>
      </c>
      <c r="U970" s="54" t="n">
        <f aca="true">RAND()</f>
        <v>0.580673977382673</v>
      </c>
    </row>
    <row r="971" customFormat="false" ht="15" hidden="false" customHeight="false" outlineLevel="0" collapsed="false">
      <c r="A971" s="50" t="n">
        <v>891</v>
      </c>
      <c r="B971" s="51" t="n">
        <f aca="false">1+IF($G$6=$E$6,$F$6,IF(P971&lt;($F$6-$E$6)/($G$6-$E$6),$E$6+SQRT(P971*($G$6-$E$6)*($F$6-$E$6)),$G$6-SQRT((1-P971)*($G$6-$E$6)*($G$6-$F$6))))</f>
        <v>1.03422746476431</v>
      </c>
      <c r="C971" s="51" t="n">
        <f aca="false">1+IF($G$7=$E$7,$F$7,IF(Q971&lt;($F$7-$E$7)/($G$7-$E$7),$E$7+SQRT(Q971*($G$7-$E$7)*($F$7-$E$7)),$G$7-SQRT((1-Q971)*($G$7-$E$7)*($G$7-$F$7))))</f>
        <v>1.11942699819106</v>
      </c>
      <c r="D971" s="51" t="n">
        <f aca="false">1+IF($G$8=$E$8,$F$8,IF(R971&lt;($F$8-$E$8)/($G$8-$E$8),$E$8+SQRT(R971*($G$8-$E$8)*($F$8-$E$8)),$G$8-SQRT((1-R971)*($G$8-$E$8)*($G$8-$F$8))))</f>
        <v>0.976526819614404</v>
      </c>
      <c r="E971" s="51" t="n">
        <f aca="false">1+IF($G$9=$E$9,$F$9,IF(S971&lt;($F$9-$E$9)/($G$9-$E$9),$E$9+SQRT(S971*($G$9-$E$9)*($F$9-$E$9)),$G$9-SQRT((1-S971)*($G$9-$E$9)*($G$9-$F$9))))</f>
        <v>0.917928484248209</v>
      </c>
      <c r="F971" s="51" t="n">
        <f aca="false">1+IF($G$10=$E$10,$F$10,IF(T971&lt;($F$10-$E$10)/($G$10-$E$10),$E$10+SQRT(T971*($G$10-$E$10)*($F$10-$E$10)),$G$10-SQRT((1-T971)*($G$10-$E$10)*($G$10-$F$10))))</f>
        <v>1.03508058675594</v>
      </c>
      <c r="G971" s="52" t="n">
        <f aca="false">IF($G$11=$E$11,$F$11,IF(U971&lt;($F$11-$E$11)/($G$11-$E$11),$E$11+SQRT(U971*($G$11-$E$11)*($F$11-$E$11)),$G$11-SQRT((1-U971)*($G$11-$E$11)*($G$11-$F$11))))</f>
        <v>0.0982169094627141</v>
      </c>
      <c r="H971" s="53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-2070161173.51187</v>
      </c>
      <c r="I971" s="53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94613736.3116185</v>
      </c>
      <c r="J971" s="53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483282314.624562</v>
      </c>
      <c r="K971" s="53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923704922.275303</v>
      </c>
      <c r="L971" s="53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1093272683.62337</v>
      </c>
      <c r="M971" s="53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1313336310.79737</v>
      </c>
      <c r="N971" s="53" t="n">
        <f aca="false">IF(COUNT('Business Case'!B11:G11)=0,"",H971+NPV(G971,I971:M971))</f>
        <v>687776430.522621</v>
      </c>
      <c r="P971" s="54" t="n">
        <f aca="true">RAND()</f>
        <v>0.966830284298518</v>
      </c>
      <c r="Q971" s="54" t="n">
        <f aca="true">RAND()</f>
        <v>0.986152467561339</v>
      </c>
      <c r="R971" s="54" t="n">
        <f aca="true">RAND()</f>
        <v>0.0938229545140164</v>
      </c>
      <c r="S971" s="54" t="n">
        <f aca="true">RAND()</f>
        <v>0.0128572218975311</v>
      </c>
      <c r="T971" s="54" t="n">
        <f aca="true">RAND()</f>
        <v>0.384128610811033</v>
      </c>
      <c r="U971" s="54" t="n">
        <f aca="true">RAND()</f>
        <v>0.331855790372721</v>
      </c>
    </row>
    <row r="972" customFormat="false" ht="15" hidden="false" customHeight="false" outlineLevel="0" collapsed="false">
      <c r="A972" s="50" t="n">
        <v>892</v>
      </c>
      <c r="B972" s="51" t="n">
        <f aca="false">1+IF($G$6=$E$6,$F$6,IF(P972&lt;($F$6-$E$6)/($G$6-$E$6),$E$6+SQRT(P972*($G$6-$E$6)*($F$6-$E$6)),$G$6-SQRT((1-P972)*($G$6-$E$6)*($G$6-$F$6))))</f>
        <v>0.953820959184991</v>
      </c>
      <c r="C972" s="51" t="n">
        <f aca="false">1+IF($G$7=$E$7,$F$7,IF(Q972&lt;($F$7-$E$7)/($G$7-$E$7),$E$7+SQRT(Q972*($G$7-$E$7)*($F$7-$E$7)),$G$7-SQRT((1-Q972)*($G$7-$E$7)*($G$7-$F$7))))</f>
        <v>1.03491970585977</v>
      </c>
      <c r="D972" s="51" t="n">
        <f aca="false">1+IF($G$8=$E$8,$F$8,IF(R972&lt;($F$8-$E$8)/($G$8-$E$8),$E$8+SQRT(R972*($G$8-$E$8)*($F$8-$E$8)),$G$8-SQRT((1-R972)*($G$8-$E$8)*($G$8-$F$8))))</f>
        <v>0.990302991089166</v>
      </c>
      <c r="E972" s="51" t="n">
        <f aca="false">1+IF($G$9=$E$9,$F$9,IF(S972&lt;($F$9-$E$9)/($G$9-$E$9),$E$9+SQRT(S972*($G$9-$E$9)*($F$9-$E$9)),$G$9-SQRT((1-S972)*($G$9-$E$9)*($G$9-$F$9))))</f>
        <v>0.986338268018271</v>
      </c>
      <c r="F972" s="51" t="n">
        <f aca="false">1+IF($G$10=$E$10,$F$10,IF(T972&lt;($F$10-$E$10)/($G$10-$E$10),$E$10+SQRT(T972*($G$10-$E$10)*($F$10-$E$10)),$G$10-SQRT((1-T972)*($G$10-$E$10)*($G$10-$F$10))))</f>
        <v>1.05405937903425</v>
      </c>
      <c r="G972" s="52" t="n">
        <f aca="false">IF($G$11=$E$11,$F$11,IF(U972&lt;($F$11-$E$11)/($G$11-$E$11),$E$11+SQRT(U972*($G$11-$E$11)*($F$11-$E$11)),$G$11-SQRT((1-U972)*($G$11-$E$11)*($G$11-$F$11))))</f>
        <v>0.0965952737317632</v>
      </c>
      <c r="H972" s="53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-2108118758.06851</v>
      </c>
      <c r="I972" s="53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-12965626.5536709</v>
      </c>
      <c r="J972" s="53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270904707.550414</v>
      </c>
      <c r="K972" s="53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607478010.606212</v>
      </c>
      <c r="L972" s="53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736216602.668995</v>
      </c>
      <c r="M972" s="53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923849913.156813</v>
      </c>
      <c r="N972" s="53" t="n">
        <f aca="false">IF(COUNT('Business Case'!B11:G11)=0,"",H972+NPV(G972,I972:M972))</f>
        <v>-342271315.23043</v>
      </c>
      <c r="P972" s="54" t="n">
        <f aca="true">RAND()</f>
        <v>0.193113043172834</v>
      </c>
      <c r="Q972" s="54" t="n">
        <f aca="true">RAND()</f>
        <v>0.803800383712557</v>
      </c>
      <c r="R972" s="54" t="n">
        <f aca="true">RAND()</f>
        <v>0.216577478764455</v>
      </c>
      <c r="S972" s="54" t="n">
        <f aca="true">RAND()</f>
        <v>0.29817186097579</v>
      </c>
      <c r="T972" s="54" t="n">
        <f aca="true">RAND()</f>
        <v>0.488096974074106</v>
      </c>
      <c r="U972" s="54" t="n">
        <f aca="true">RAND()</f>
        <v>0.27540311023215</v>
      </c>
    </row>
    <row r="973" customFormat="false" ht="15" hidden="false" customHeight="false" outlineLevel="0" collapsed="false">
      <c r="A973" s="50" t="n">
        <v>893</v>
      </c>
      <c r="B973" s="51" t="n">
        <f aca="false">1+IF($G$6=$E$6,$F$6,IF(P973&lt;($F$6-$E$6)/($G$6-$E$6),$E$6+SQRT(P973*($G$6-$E$6)*($F$6-$E$6)),$G$6-SQRT((1-P973)*($G$6-$E$6)*($G$6-$F$6))))</f>
        <v>0.981623597978981</v>
      </c>
      <c r="C973" s="51" t="n">
        <f aca="false">1+IF($G$7=$E$7,$F$7,IF(Q973&lt;($F$7-$E$7)/($G$7-$E$7),$E$7+SQRT(Q973*($G$7-$E$7)*($F$7-$E$7)),$G$7-SQRT((1-Q973)*($G$7-$E$7)*($G$7-$F$7))))</f>
        <v>1.03675122376787</v>
      </c>
      <c r="D973" s="51" t="n">
        <f aca="false">1+IF($G$8=$E$8,$F$8,IF(R973&lt;($F$8-$E$8)/($G$8-$E$8),$E$8+SQRT(R973*($G$8-$E$8)*($F$8-$E$8)),$G$8-SQRT((1-R973)*($G$8-$E$8)*($G$8-$F$8))))</f>
        <v>1.00892714741065</v>
      </c>
      <c r="E973" s="51" t="n">
        <f aca="false">1+IF($G$9=$E$9,$F$9,IF(S973&lt;($F$9-$E$9)/($G$9-$E$9),$E$9+SQRT(S973*($G$9-$E$9)*($F$9-$E$9)),$G$9-SQRT((1-S973)*($G$9-$E$9)*($G$9-$F$9))))</f>
        <v>1.04803623488541</v>
      </c>
      <c r="F973" s="51" t="n">
        <f aca="false">1+IF($G$10=$E$10,$F$10,IF(T973&lt;($F$10-$E$10)/($G$10-$E$10),$E$10+SQRT(T973*($G$10-$E$10)*($F$10-$E$10)),$G$10-SQRT((1-T973)*($G$10-$E$10)*($G$10-$F$10))))</f>
        <v>1.05058268251905</v>
      </c>
      <c r="G973" s="52" t="n">
        <f aca="false">IF($G$11=$E$11,$F$11,IF(U973&lt;($F$11-$E$11)/($G$11-$E$11),$E$11+SQRT(U973*($G$11-$E$11)*($F$11-$E$11)),$G$11-SQRT((1-U973)*($G$11-$E$11)*($G$11-$F$11))))</f>
        <v>0.122299427369518</v>
      </c>
      <c r="H973" s="53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-2101165365.03811</v>
      </c>
      <c r="I973" s="53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-8749048.10923412</v>
      </c>
      <c r="J973" s="53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289348464.97668</v>
      </c>
      <c r="K973" s="53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639975112.188546</v>
      </c>
      <c r="L973" s="53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774512643.445542</v>
      </c>
      <c r="M973" s="53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967956958.034846</v>
      </c>
      <c r="N973" s="53" t="n">
        <f aca="false">IF(COUNT('Business Case'!B11:G11)=0,"",H973+NPV(G973,I973:M973))</f>
        <v>-394674519.709768</v>
      </c>
      <c r="P973" s="54" t="n">
        <f aca="true">RAND()</f>
        <v>0.444160783135617</v>
      </c>
      <c r="Q973" s="54" t="n">
        <f aca="true">RAND()</f>
        <v>0.809995773065571</v>
      </c>
      <c r="R973" s="54" t="n">
        <f aca="true">RAND()</f>
        <v>0.447049034749249</v>
      </c>
      <c r="S973" s="54" t="n">
        <f aca="true">RAND()</f>
        <v>0.722757082764177</v>
      </c>
      <c r="T973" s="54" t="n">
        <f aca="true">RAND()</f>
        <v>0.469769779849382</v>
      </c>
      <c r="U973" s="54" t="n">
        <f aca="true">RAND()</f>
        <v>0.960467454108445</v>
      </c>
    </row>
    <row r="974" customFormat="false" ht="15" hidden="false" customHeight="false" outlineLevel="0" collapsed="false">
      <c r="A974" s="50" t="n">
        <v>894</v>
      </c>
      <c r="B974" s="51" t="n">
        <f aca="false">1+IF($G$6=$E$6,$F$6,IF(P974&lt;($F$6-$E$6)/($G$6-$E$6),$E$6+SQRT(P974*($G$6-$E$6)*($F$6-$E$6)),$G$6-SQRT((1-P974)*($G$6-$E$6)*($G$6-$F$6))))</f>
        <v>1.02133734497014</v>
      </c>
      <c r="C974" s="51" t="n">
        <f aca="false">1+IF($G$7=$E$7,$F$7,IF(Q974&lt;($F$7-$E$7)/($G$7-$E$7),$E$7+SQRT(Q974*($G$7-$E$7)*($F$7-$E$7)),$G$7-SQRT((1-Q974)*($G$7-$E$7)*($G$7-$F$7))))</f>
        <v>0.884396300513094</v>
      </c>
      <c r="D974" s="51" t="n">
        <f aca="false">1+IF($G$8=$E$8,$F$8,IF(R974&lt;($F$8-$E$8)/($G$8-$E$8),$E$8+SQRT(R974*($G$8-$E$8)*($F$8-$E$8)),$G$8-SQRT((1-R974)*($G$8-$E$8)*($G$8-$F$8))))</f>
        <v>1.08200339659497</v>
      </c>
      <c r="E974" s="51" t="n">
        <f aca="false">1+IF($G$9=$E$9,$F$9,IF(S974&lt;($F$9-$E$9)/($G$9-$E$9),$E$9+SQRT(S974*($G$9-$E$9)*($F$9-$E$9)),$G$9-SQRT((1-S974)*($G$9-$E$9)*($G$9-$F$9))))</f>
        <v>1.06895419692474</v>
      </c>
      <c r="F974" s="51" t="n">
        <f aca="false">1+IF($G$10=$E$10,$F$10,IF(T974&lt;($F$10-$E$10)/($G$10-$E$10),$E$10+SQRT(T974*($G$10-$E$10)*($F$10-$E$10)),$G$10-SQRT((1-T974)*($G$10-$E$10)*($G$10-$F$10))))</f>
        <v>0.988224458449075</v>
      </c>
      <c r="G974" s="52" t="n">
        <f aca="false">IF($G$11=$E$11,$F$11,IF(U974&lt;($F$11-$E$11)/($G$11-$E$11),$E$11+SQRT(U974*($G$11-$E$11)*($F$11-$E$11)),$G$11-SQRT((1-U974)*($G$11-$E$11)*($G$11-$F$11))))</f>
        <v>0.105639456898858</v>
      </c>
      <c r="H974" s="53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-1976448916.89815</v>
      </c>
      <c r="I974" s="53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-47678793.7037544</v>
      </c>
      <c r="J974" s="53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202295504.93729</v>
      </c>
      <c r="K974" s="53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501681026.500789</v>
      </c>
      <c r="L974" s="53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616222699.179266</v>
      </c>
      <c r="M974" s="53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787915684.73564</v>
      </c>
      <c r="N974" s="53" t="n">
        <f aca="false">IF(COUNT('Business Case'!B11:G11)=0,"",H974+NPV(G974,I974:M974))</f>
        <v>-593654854.59682</v>
      </c>
      <c r="P974" s="54" t="n">
        <f aca="true">RAND()</f>
        <v>0.890460294218573</v>
      </c>
      <c r="Q974" s="54" t="n">
        <f aca="true">RAND()</f>
        <v>0.251866634391966</v>
      </c>
      <c r="R974" s="54" t="n">
        <f aca="true">RAND()</f>
        <v>0.978408151058813</v>
      </c>
      <c r="S974" s="54" t="n">
        <f aca="true">RAND()</f>
        <v>0.824842074770317</v>
      </c>
      <c r="T974" s="54" t="n">
        <f aca="true">RAND()</f>
        <v>0.0974072815816696</v>
      </c>
      <c r="U974" s="54" t="n">
        <f aca="true">RAND()</f>
        <v>0.604375959878255</v>
      </c>
    </row>
    <row r="975" customFormat="false" ht="15" hidden="false" customHeight="false" outlineLevel="0" collapsed="false">
      <c r="A975" s="50" t="n">
        <v>895</v>
      </c>
      <c r="B975" s="51" t="n">
        <f aca="false">1+IF($G$6=$E$6,$F$6,IF(P975&lt;($F$6-$E$6)/($G$6-$E$6),$E$6+SQRT(P975*($G$6-$E$6)*($F$6-$E$6)),$G$6-SQRT((1-P975)*($G$6-$E$6)*($G$6-$F$6))))</f>
        <v>0.93673333833209</v>
      </c>
      <c r="C975" s="51" t="n">
        <f aca="false">1+IF($G$7=$E$7,$F$7,IF(Q975&lt;($F$7-$E$7)/($G$7-$E$7),$E$7+SQRT(Q975*($G$7-$E$7)*($F$7-$E$7)),$G$7-SQRT((1-Q975)*($G$7-$E$7)*($G$7-$F$7))))</f>
        <v>1.05133806336772</v>
      </c>
      <c r="D975" s="51" t="n">
        <f aca="false">1+IF($G$8=$E$8,$F$8,IF(R975&lt;($F$8-$E$8)/($G$8-$E$8),$E$8+SQRT(R975*($G$8-$E$8)*($F$8-$E$8)),$G$8-SQRT((1-R975)*($G$8-$E$8)*($G$8-$F$8))))</f>
        <v>1.00232138134765</v>
      </c>
      <c r="E975" s="51" t="n">
        <f aca="false">1+IF($G$9=$E$9,$F$9,IF(S975&lt;($F$9-$E$9)/($G$9-$E$9),$E$9+SQRT(S975*($G$9-$E$9)*($F$9-$E$9)),$G$9-SQRT((1-S975)*($G$9-$E$9)*($G$9-$F$9))))</f>
        <v>1.00424080111502</v>
      </c>
      <c r="F975" s="51" t="n">
        <f aca="false">1+IF($G$10=$E$10,$F$10,IF(T975&lt;($F$10-$E$10)/($G$10-$E$10),$E$10+SQRT(T975*($G$10-$E$10)*($F$10-$E$10)),$G$10-SQRT((1-T975)*($G$10-$E$10)*($G$10-$F$10))))</f>
        <v>0.972773613671916</v>
      </c>
      <c r="G975" s="52" t="n">
        <f aca="false">IF($G$11=$E$11,$F$11,IF(U975&lt;($F$11-$E$11)/($G$11-$E$11),$E$11+SQRT(U975*($G$11-$E$11)*($F$11-$E$11)),$G$11-SQRT((1-U975)*($G$11-$E$11)*($G$11-$F$11))))</f>
        <v>0.0992964160387193</v>
      </c>
      <c r="H975" s="53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-1945547227.34383</v>
      </c>
      <c r="I975" s="53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-23942716.9770846</v>
      </c>
      <c r="J975" s="53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243248215.103699</v>
      </c>
      <c r="K975" s="53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559077827.868078</v>
      </c>
      <c r="L975" s="53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682176969.076419</v>
      </c>
      <c r="M975" s="53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869372203.574192</v>
      </c>
      <c r="N975" s="53" t="n">
        <f aca="false">IF(COUNT('Business Case'!B11:G11)=0,"",H975+NPV(G975,I975:M975))</f>
        <v>-336516298.601404</v>
      </c>
      <c r="P975" s="54" t="n">
        <f aca="true">RAND()</f>
        <v>0.0899558763346549</v>
      </c>
      <c r="Q975" s="54" t="n">
        <f aca="true">RAND()</f>
        <v>0.855789959406936</v>
      </c>
      <c r="R975" s="54" t="n">
        <f aca="true">RAND()</f>
        <v>0.36392583054457</v>
      </c>
      <c r="S975" s="54" t="n">
        <f aca="true">RAND()</f>
        <v>0.433446825077606</v>
      </c>
      <c r="T975" s="54" t="n">
        <f aca="true">RAND()</f>
        <v>0.0345758319785105</v>
      </c>
      <c r="U975" s="54" t="n">
        <f aca="true">RAND()</f>
        <v>0.372351671939343</v>
      </c>
    </row>
    <row r="976" customFormat="false" ht="15" hidden="false" customHeight="false" outlineLevel="0" collapsed="false">
      <c r="A976" s="50" t="n">
        <v>896</v>
      </c>
      <c r="B976" s="51" t="n">
        <f aca="false">1+IF($G$6=$E$6,$F$6,IF(P976&lt;($F$6-$E$6)/($G$6-$E$6),$E$6+SQRT(P976*($G$6-$E$6)*($F$6-$E$6)),$G$6-SQRT((1-P976)*($G$6-$E$6)*($G$6-$F$6))))</f>
        <v>1.02185041764795</v>
      </c>
      <c r="C976" s="51" t="n">
        <f aca="false">1+IF($G$7=$E$7,$F$7,IF(Q976&lt;($F$7-$E$7)/($G$7-$E$7),$E$7+SQRT(Q976*($G$7-$E$7)*($F$7-$E$7)),$G$7-SQRT((1-Q976)*($G$7-$E$7)*($G$7-$F$7))))</f>
        <v>0.996060524733214</v>
      </c>
      <c r="D976" s="51" t="n">
        <f aca="false">1+IF($G$8=$E$8,$F$8,IF(R976&lt;($F$8-$E$8)/($G$8-$E$8),$E$8+SQRT(R976*($G$8-$E$8)*($F$8-$E$8)),$G$8-SQRT((1-R976)*($G$8-$E$8)*($G$8-$F$8))))</f>
        <v>0.997835854305625</v>
      </c>
      <c r="E976" s="51" t="n">
        <f aca="false">1+IF($G$9=$E$9,$F$9,IF(S976&lt;($F$9-$E$9)/($G$9-$E$9),$E$9+SQRT(S976*($G$9-$E$9)*($F$9-$E$9)),$G$9-SQRT((1-S976)*($G$9-$E$9)*($G$9-$F$9))))</f>
        <v>1.01316938034641</v>
      </c>
      <c r="F976" s="51" t="n">
        <f aca="false">1+IF($G$10=$E$10,$F$10,IF(T976&lt;($F$10-$E$10)/($G$10-$E$10),$E$10+SQRT(T976*($G$10-$E$10)*($F$10-$E$10)),$G$10-SQRT((1-T976)*($G$10-$E$10)*($G$10-$F$10))))</f>
        <v>1.09867100618825</v>
      </c>
      <c r="G976" s="52" t="n">
        <f aca="false">IF($G$11=$E$11,$F$11,IF(U976&lt;($F$11-$E$11)/($G$11-$E$11),$E$11+SQRT(U976*($G$11-$E$11)*($F$11-$E$11)),$G$11-SQRT((1-U976)*($G$11-$E$11)*($G$11-$F$11))))</f>
        <v>0.106865323116246</v>
      </c>
      <c r="H976" s="53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-2197342012.37649</v>
      </c>
      <c r="I976" s="53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18168220.1576384</v>
      </c>
      <c r="J976" s="53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343040267.727715</v>
      </c>
      <c r="K976" s="53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722845865.607204</v>
      </c>
      <c r="L976" s="53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866312575.402798</v>
      </c>
      <c r="M976" s="53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1059780725.4001</v>
      </c>
      <c r="N976" s="53" t="n">
        <f aca="false">IF(COUNT('Business Case'!B11:G11)=0,"",H976+NPV(G976,I976:M976))</f>
        <v>-152843976.785108</v>
      </c>
      <c r="P976" s="54" t="n">
        <f aca="true">RAND()</f>
        <v>0.894346801787346</v>
      </c>
      <c r="Q976" s="54" t="n">
        <f aca="true">RAND()</f>
        <v>0.64927284670597</v>
      </c>
      <c r="R976" s="54" t="n">
        <f aca="true">RAND()</f>
        <v>0.30510252761986</v>
      </c>
      <c r="S976" s="54" t="n">
        <f aca="true">RAND()</f>
        <v>0.500730174005727</v>
      </c>
      <c r="T976" s="54" t="n">
        <f aca="true">RAND()</f>
        <v>0.694660475092294</v>
      </c>
      <c r="U976" s="54" t="n">
        <f aca="true">RAND()</f>
        <v>0.643191150322878</v>
      </c>
    </row>
    <row r="977" customFormat="false" ht="15" hidden="false" customHeight="false" outlineLevel="0" collapsed="false">
      <c r="A977" s="50" t="n">
        <v>897</v>
      </c>
      <c r="B977" s="51" t="n">
        <f aca="false">1+IF($G$6=$E$6,$F$6,IF(P977&lt;($F$6-$E$6)/($G$6-$E$6),$E$6+SQRT(P977*($G$6-$E$6)*($F$6-$E$6)),$G$6-SQRT((1-P977)*($G$6-$E$6)*($G$6-$F$6))))</f>
        <v>0.984406528581884</v>
      </c>
      <c r="C977" s="51" t="n">
        <f aca="false">1+IF($G$7=$E$7,$F$7,IF(Q977&lt;($F$7-$E$7)/($G$7-$E$7),$E$7+SQRT(Q977*($G$7-$E$7)*($F$7-$E$7)),$G$7-SQRT((1-Q977)*($G$7-$E$7)*($G$7-$F$7))))</f>
        <v>0.941465628471704</v>
      </c>
      <c r="D977" s="51" t="n">
        <f aca="false">1+IF($G$8=$E$8,$F$8,IF(R977&lt;($F$8-$E$8)/($G$8-$E$8),$E$8+SQRT(R977*($G$8-$E$8)*($F$8-$E$8)),$G$8-SQRT((1-R977)*($G$8-$E$8)*($G$8-$F$8))))</f>
        <v>0.975866803077139</v>
      </c>
      <c r="E977" s="51" t="n">
        <f aca="false">1+IF($G$9=$E$9,$F$9,IF(S977&lt;($F$9-$E$9)/($G$9-$E$9),$E$9+SQRT(S977*($G$9-$E$9)*($F$9-$E$9)),$G$9-SQRT((1-S977)*($G$9-$E$9)*($G$9-$F$9))))</f>
        <v>1.02506430939411</v>
      </c>
      <c r="F977" s="51" t="n">
        <f aca="false">1+IF($G$10=$E$10,$F$10,IF(T977&lt;($F$10-$E$10)/($G$10-$E$10),$E$10+SQRT(T977*($G$10-$E$10)*($F$10-$E$10)),$G$10-SQRT((1-T977)*($G$10-$E$10)*($G$10-$F$10))))</f>
        <v>1.0406502948214</v>
      </c>
      <c r="G977" s="52" t="n">
        <f aca="false">IF($G$11=$E$11,$F$11,IF(U977&lt;($F$11-$E$11)/($G$11-$E$11),$E$11+SQRT(U977*($G$11-$E$11)*($F$11-$E$11)),$G$11-SQRT((1-U977)*($G$11-$E$11)*($G$11-$F$11))))</f>
        <v>0.117342343682079</v>
      </c>
      <c r="H977" s="53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-2081300589.6428</v>
      </c>
      <c r="I977" s="53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-9094100.92697616</v>
      </c>
      <c r="J977" s="53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279685502.215609</v>
      </c>
      <c r="K977" s="53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620497620.099264</v>
      </c>
      <c r="L977" s="53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748787174.341179</v>
      </c>
      <c r="M977" s="53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924950450.243635</v>
      </c>
      <c r="N977" s="53" t="n">
        <f aca="false">IF(COUNT('Business Case'!B11:G11)=0,"",H977+NPV(G977,I977:M977))</f>
        <v>-409072399.318939</v>
      </c>
      <c r="P977" s="54" t="n">
        <f aca="true">RAND()</f>
        <v>0.474964137816296</v>
      </c>
      <c r="Q977" s="54" t="n">
        <f aca="true">RAND()</f>
        <v>0.431893701727668</v>
      </c>
      <c r="R977" s="54" t="n">
        <f aca="true">RAND()</f>
        <v>0.0892122001908645</v>
      </c>
      <c r="S977" s="54" t="n">
        <f aca="true">RAND()</f>
        <v>0.583761952342118</v>
      </c>
      <c r="T977" s="54" t="n">
        <f aca="true">RAND()</f>
        <v>0.415636012555099</v>
      </c>
      <c r="U977" s="54" t="n">
        <f aca="true">RAND()</f>
        <v>0.893189157691593</v>
      </c>
    </row>
    <row r="978" customFormat="false" ht="15" hidden="false" customHeight="false" outlineLevel="0" collapsed="false">
      <c r="A978" s="50" t="n">
        <v>898</v>
      </c>
      <c r="B978" s="51" t="n">
        <f aca="false">1+IF($G$6=$E$6,$F$6,IF(P978&lt;($F$6-$E$6)/($G$6-$E$6),$E$6+SQRT(P978*($G$6-$E$6)*($F$6-$E$6)),$G$6-SQRT((1-P978)*($G$6-$E$6)*($G$6-$F$6))))</f>
        <v>0.988469084450893</v>
      </c>
      <c r="C978" s="51" t="n">
        <f aca="false">1+IF($G$7=$E$7,$F$7,IF(Q978&lt;($F$7-$E$7)/($G$7-$E$7),$E$7+SQRT(Q978*($G$7-$E$7)*($F$7-$E$7)),$G$7-SQRT((1-Q978)*($G$7-$E$7)*($G$7-$F$7))))</f>
        <v>0.843858143437789</v>
      </c>
      <c r="D978" s="51" t="n">
        <f aca="false">1+IF($G$8=$E$8,$F$8,IF(R978&lt;($F$8-$E$8)/($G$8-$E$8),$E$8+SQRT(R978*($G$8-$E$8)*($F$8-$E$8)),$G$8-SQRT((1-R978)*($G$8-$E$8)*($G$8-$F$8))))</f>
        <v>0.992040671751554</v>
      </c>
      <c r="E978" s="51" t="n">
        <f aca="false">1+IF($G$9=$E$9,$F$9,IF(S978&lt;($F$9-$E$9)/($G$9-$E$9),$E$9+SQRT(S978*($G$9-$E$9)*($F$9-$E$9)),$G$9-SQRT((1-S978)*($G$9-$E$9)*($G$9-$F$9))))</f>
        <v>1.01248777838502</v>
      </c>
      <c r="F978" s="51" t="n">
        <f aca="false">1+IF($G$10=$E$10,$F$10,IF(T978&lt;($F$10-$E$10)/($G$10-$E$10),$E$10+SQRT(T978*($G$10-$E$10)*($F$10-$E$10)),$G$10-SQRT((1-T978)*($G$10-$E$10)*($G$10-$F$10))))</f>
        <v>1.08148090840046</v>
      </c>
      <c r="G978" s="52" t="n">
        <f aca="false">IF($G$11=$E$11,$F$11,IF(U978&lt;($F$11-$E$11)/($G$11-$E$11),$E$11+SQRT(U978*($G$11-$E$11)*($F$11-$E$11)),$G$11-SQRT((1-U978)*($G$11-$E$11)*($G$11-$F$11))))</f>
        <v>0.0919060973068652</v>
      </c>
      <c r="H978" s="53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-2162961816.80092</v>
      </c>
      <c r="I978" s="53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-40703927.4010083</v>
      </c>
      <c r="J978" s="53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213957177.389967</v>
      </c>
      <c r="K978" s="53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522692327.600965</v>
      </c>
      <c r="L978" s="53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636406815.375015</v>
      </c>
      <c r="M978" s="53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794957806.015504</v>
      </c>
      <c r="N978" s="53" t="n">
        <f aca="false">IF(COUNT('Business Case'!B11:G11)=0,"",H978+NPV(G978,I978:M978))</f>
        <v>-659399161.873323</v>
      </c>
      <c r="P978" s="54" t="n">
        <f aca="true">RAND()</f>
        <v>0.521785260238619</v>
      </c>
      <c r="Q978" s="54" t="n">
        <f aca="true">RAND()</f>
        <v>0.153297521728647</v>
      </c>
      <c r="R978" s="54" t="n">
        <f aca="true">RAND()</f>
        <v>0.235655744176255</v>
      </c>
      <c r="S978" s="54" t="n">
        <f aca="true">RAND()</f>
        <v>0.495743704173653</v>
      </c>
      <c r="T978" s="54" t="n">
        <f aca="true">RAND()</f>
        <v>0.621350876886216</v>
      </c>
      <c r="U978" s="54" t="n">
        <f aca="true">RAND()</f>
        <v>0.141755153080543</v>
      </c>
    </row>
    <row r="979" customFormat="false" ht="15" hidden="false" customHeight="false" outlineLevel="0" collapsed="false">
      <c r="A979" s="50" t="n">
        <v>899</v>
      </c>
      <c r="B979" s="51" t="n">
        <f aca="false">1+IF($G$6=$E$6,$F$6,IF(P979&lt;($F$6-$E$6)/($G$6-$E$6),$E$6+SQRT(P979*($G$6-$E$6)*($F$6-$E$6)),$G$6-SQRT((1-P979)*($G$6-$E$6)*($G$6-$F$6))))</f>
        <v>0.93939718287296</v>
      </c>
      <c r="C979" s="51" t="n">
        <f aca="false">1+IF($G$7=$E$7,$F$7,IF(Q979&lt;($F$7-$E$7)/($G$7-$E$7),$E$7+SQRT(Q979*($G$7-$E$7)*($F$7-$E$7)),$G$7-SQRT((1-Q979)*($G$7-$E$7)*($G$7-$F$7))))</f>
        <v>1.04534872449537</v>
      </c>
      <c r="D979" s="51" t="n">
        <f aca="false">1+IF($G$8=$E$8,$F$8,IF(R979&lt;($F$8-$E$8)/($G$8-$E$8),$E$8+SQRT(R979*($G$8-$E$8)*($F$8-$E$8)),$G$8-SQRT((1-R979)*($G$8-$E$8)*($G$8-$F$8))))</f>
        <v>1.037289948611</v>
      </c>
      <c r="E979" s="51" t="n">
        <f aca="false">1+IF($G$9=$E$9,$F$9,IF(S979&lt;($F$9-$E$9)/($G$9-$E$9),$E$9+SQRT(S979*($G$9-$E$9)*($F$9-$E$9)),$G$9-SQRT((1-S979)*($G$9-$E$9)*($G$9-$F$9))))</f>
        <v>0.995520650183878</v>
      </c>
      <c r="F979" s="51" t="n">
        <f aca="false">1+IF($G$10=$E$10,$F$10,IF(T979&lt;($F$10-$E$10)/($G$10-$E$10),$E$10+SQRT(T979*($G$10-$E$10)*($F$10-$E$10)),$G$10-SQRT((1-T979)*($G$10-$E$10)*($G$10-$F$10))))</f>
        <v>1.14480639823468</v>
      </c>
      <c r="G979" s="52" t="n">
        <f aca="false">IF($G$11=$E$11,$F$11,IF(U979&lt;($F$11-$E$11)/($G$11-$E$11),$E$11+SQRT(U979*($G$11-$E$11)*($F$11-$E$11)),$G$11-SQRT((1-U979)*($G$11-$E$11)*($G$11-$F$11))))</f>
        <v>0.115519881252039</v>
      </c>
      <c r="H979" s="53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-2289612796.46935</v>
      </c>
      <c r="I979" s="53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-57713730.3197138</v>
      </c>
      <c r="J979" s="53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191522973.656043</v>
      </c>
      <c r="K979" s="53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497999997.543533</v>
      </c>
      <c r="L979" s="53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615016737.546022</v>
      </c>
      <c r="M979" s="53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801674850.270824</v>
      </c>
      <c r="N979" s="53" t="n">
        <f aca="false">IF(COUNT('Business Case'!B11:G11)=0,"",H979+NPV(G979,I979:M979))</f>
        <v>-967414286.772483</v>
      </c>
      <c r="P979" s="54" t="n">
        <f aca="true">RAND()</f>
        <v>0.103475867888362</v>
      </c>
      <c r="Q979" s="54" t="n">
        <f aca="true">RAND()</f>
        <v>0.837749785707453</v>
      </c>
      <c r="R979" s="54" t="n">
        <f aca="true">RAND()</f>
        <v>0.737829963652581</v>
      </c>
      <c r="S979" s="54" t="n">
        <f aca="true">RAND()</f>
        <v>0.36496778446203</v>
      </c>
      <c r="T979" s="54" t="n">
        <f aca="true">RAND()</f>
        <v>0.852457415301848</v>
      </c>
      <c r="U979" s="54" t="n">
        <f aca="true">RAND()</f>
        <v>0.860217440696627</v>
      </c>
    </row>
    <row r="980" customFormat="false" ht="15" hidden="false" customHeight="false" outlineLevel="0" collapsed="false">
      <c r="A980" s="50" t="n">
        <v>900</v>
      </c>
      <c r="B980" s="51" t="n">
        <f aca="false">1+IF($G$6=$E$6,$F$6,IF(P980&lt;($F$6-$E$6)/($G$6-$E$6),$E$6+SQRT(P980*($G$6-$E$6)*($F$6-$E$6)),$G$6-SQRT((1-P980)*($G$6-$E$6)*($G$6-$F$6))))</f>
        <v>1.00659006605809</v>
      </c>
      <c r="C980" s="51" t="n">
        <f aca="false">1+IF($G$7=$E$7,$F$7,IF(Q980&lt;($F$7-$E$7)/($G$7-$E$7),$E$7+SQRT(Q980*($G$7-$E$7)*($F$7-$E$7)),$G$7-SQRT((1-Q980)*($G$7-$E$7)*($G$7-$F$7))))</f>
        <v>1.07366409925718</v>
      </c>
      <c r="D980" s="51" t="n">
        <f aca="false">1+IF($G$8=$E$8,$F$8,IF(R980&lt;($F$8-$E$8)/($G$8-$E$8),$E$8+SQRT(R980*($G$8-$E$8)*($F$8-$E$8)),$G$8-SQRT((1-R980)*($G$8-$E$8)*($G$8-$F$8))))</f>
        <v>1.0670339718985</v>
      </c>
      <c r="E980" s="51" t="n">
        <f aca="false">1+IF($G$9=$E$9,$F$9,IF(S980&lt;($F$9-$E$9)/($G$9-$E$9),$E$9+SQRT(S980*($G$9-$E$9)*($F$9-$E$9)),$G$9-SQRT((1-S980)*($G$9-$E$9)*($G$9-$F$9))))</f>
        <v>0.952493079378535</v>
      </c>
      <c r="F980" s="51" t="n">
        <f aca="false">1+IF($G$10=$E$10,$F$10,IF(T980&lt;($F$10-$E$10)/($G$10-$E$10),$E$10+SQRT(T980*($G$10-$E$10)*($F$10-$E$10)),$G$10-SQRT((1-T980)*($G$10-$E$10)*($G$10-$F$10))))</f>
        <v>0.988133308002798</v>
      </c>
      <c r="G980" s="52" t="n">
        <f aca="false">IF($G$11=$E$11,$F$11,IF(U980&lt;($F$11-$E$11)/($G$11-$E$11),$E$11+SQRT(U980*($G$11-$E$11)*($F$11-$E$11)),$G$11-SQRT((1-U980)*($G$11-$E$11)*($G$11-$F$11))))</f>
        <v>0.121180781214187</v>
      </c>
      <c r="H980" s="53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-1976266616.0056</v>
      </c>
      <c r="I980" s="53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8446154.7399552</v>
      </c>
      <c r="J980" s="53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307175697.892128</v>
      </c>
      <c r="K980" s="53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655311906.444441</v>
      </c>
      <c r="L980" s="53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792238781.978038</v>
      </c>
      <c r="M980" s="53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997665768.300509</v>
      </c>
      <c r="N980" s="53" t="n">
        <f aca="false">IF(COUNT('Business Case'!B11:G11)=0,"",H980+NPV(G980,I980:M980))</f>
        <v>-194912285.340164</v>
      </c>
      <c r="P980" s="54" t="n">
        <f aca="true">RAND()</f>
        <v>0.748743684687907</v>
      </c>
      <c r="Q980" s="54" t="n">
        <f aca="true">RAND()</f>
        <v>0.91367155937455</v>
      </c>
      <c r="R980" s="54" t="n">
        <f aca="true">RAND()</f>
        <v>0.92754939941409</v>
      </c>
      <c r="S980" s="54" t="n">
        <f aca="true">RAND()</f>
        <v>0.110220935305647</v>
      </c>
      <c r="T980" s="54" t="n">
        <f aca="true">RAND()</f>
        <v>0.0969432786157526</v>
      </c>
      <c r="U980" s="54" t="n">
        <f aca="true">RAND()</f>
        <v>0.948147586671979</v>
      </c>
    </row>
    <row r="981" customFormat="false" ht="15" hidden="false" customHeight="false" outlineLevel="0" collapsed="false">
      <c r="A981" s="50" t="n">
        <v>901</v>
      </c>
      <c r="B981" s="51" t="n">
        <f aca="false">1+IF($G$6=$E$6,$F$6,IF(P981&lt;($F$6-$E$6)/($G$6-$E$6),$E$6+SQRT(P981*($G$6-$E$6)*($F$6-$E$6)),$G$6-SQRT((1-P981)*($G$6-$E$6)*($G$6-$F$6))))</f>
        <v>0.976062640628978</v>
      </c>
      <c r="C981" s="51" t="n">
        <f aca="false">1+IF($G$7=$E$7,$F$7,IF(Q981&lt;($F$7-$E$7)/($G$7-$E$7),$E$7+SQRT(Q981*($G$7-$E$7)*($F$7-$E$7)),$G$7-SQRT((1-Q981)*($G$7-$E$7)*($G$7-$F$7))))</f>
        <v>0.869944090443105</v>
      </c>
      <c r="D981" s="51" t="n">
        <f aca="false">1+IF($G$8=$E$8,$F$8,IF(R981&lt;($F$8-$E$8)/($G$8-$E$8),$E$8+SQRT(R981*($G$8-$E$8)*($F$8-$E$8)),$G$8-SQRT((1-R981)*($G$8-$E$8)*($G$8-$F$8))))</f>
        <v>1.00313801161573</v>
      </c>
      <c r="E981" s="51" t="n">
        <f aca="false">1+IF($G$9=$E$9,$F$9,IF(S981&lt;($F$9-$E$9)/($G$9-$E$9),$E$9+SQRT(S981*($G$9-$E$9)*($F$9-$E$9)),$G$9-SQRT((1-S981)*($G$9-$E$9)*($G$9-$F$9))))</f>
        <v>1.05141941997262</v>
      </c>
      <c r="F981" s="51" t="n">
        <f aca="false">1+IF($G$10=$E$10,$F$10,IF(T981&lt;($F$10-$E$10)/($G$10-$E$10),$E$10+SQRT(T981*($G$10-$E$10)*($F$10-$E$10)),$G$10-SQRT((1-T981)*($G$10-$E$10)*($G$10-$F$10))))</f>
        <v>1.05343410767987</v>
      </c>
      <c r="G981" s="52" t="n">
        <f aca="false">IF($G$11=$E$11,$F$11,IF(U981&lt;($F$11-$E$11)/($G$11-$E$11),$E$11+SQRT(U981*($G$11-$E$11)*($F$11-$E$11)),$G$11-SQRT((1-U981)*($G$11-$E$11)*($G$11-$F$11))))</f>
        <v>0.105328136756268</v>
      </c>
      <c r="H981" s="53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-2106868215.35975</v>
      </c>
      <c r="I981" s="53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-50122539.5875505</v>
      </c>
      <c r="J981" s="53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198628550.082923</v>
      </c>
      <c r="K981" s="53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500051345.137391</v>
      </c>
      <c r="L981" s="53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612313959.674169</v>
      </c>
      <c r="M981" s="53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773714675.230578</v>
      </c>
      <c r="N981" s="53" t="n">
        <f aca="false">IF(COUNT('Business Case'!B11:G11)=0,"",H981+NPV(G981,I981:M981))</f>
        <v>-740187504.395785</v>
      </c>
      <c r="P981" s="54" t="n">
        <f aca="true">RAND()</f>
        <v>0.385701686630205</v>
      </c>
      <c r="Q981" s="54" t="n">
        <f aca="true">RAND()</f>
        <v>0.213933287974328</v>
      </c>
      <c r="R981" s="54" t="n">
        <f aca="true">RAND()</f>
        <v>0.37451701374974</v>
      </c>
      <c r="S981" s="54" t="n">
        <f aca="true">RAND()</f>
        <v>0.740849846439092</v>
      </c>
      <c r="T981" s="54" t="n">
        <f aca="true">RAND()</f>
        <v>0.484824666351903</v>
      </c>
      <c r="U981" s="54" t="n">
        <f aca="true">RAND()</f>
        <v>0.594199442721711</v>
      </c>
    </row>
    <row r="982" customFormat="false" ht="15" hidden="false" customHeight="false" outlineLevel="0" collapsed="false">
      <c r="A982" s="50" t="n">
        <v>902</v>
      </c>
      <c r="B982" s="51" t="n">
        <f aca="false">1+IF($G$6=$E$6,$F$6,IF(P982&lt;($F$6-$E$6)/($G$6-$E$6),$E$6+SQRT(P982*($G$6-$E$6)*($F$6-$E$6)),$G$6-SQRT((1-P982)*($G$6-$E$6)*($G$6-$F$6))))</f>
        <v>1.0114588368347</v>
      </c>
      <c r="C982" s="51" t="n">
        <f aca="false">1+IF($G$7=$E$7,$F$7,IF(Q982&lt;($F$7-$E$7)/($G$7-$E$7),$E$7+SQRT(Q982*($G$7-$E$7)*($F$7-$E$7)),$G$7-SQRT((1-Q982)*($G$7-$E$7)*($G$7-$F$7))))</f>
        <v>0.897502829689469</v>
      </c>
      <c r="D982" s="51" t="n">
        <f aca="false">1+IF($G$8=$E$8,$F$8,IF(R982&lt;($F$8-$E$8)/($G$8-$E$8),$E$8+SQRT(R982*($G$8-$E$8)*($F$8-$E$8)),$G$8-SQRT((1-R982)*($G$8-$E$8)*($G$8-$F$8))))</f>
        <v>1.06524196662124</v>
      </c>
      <c r="E982" s="51" t="n">
        <f aca="false">1+IF($G$9=$E$9,$F$9,IF(S982&lt;($F$9-$E$9)/($G$9-$E$9),$E$9+SQRT(S982*($G$9-$E$9)*($F$9-$E$9)),$G$9-SQRT((1-S982)*($G$9-$E$9)*($G$9-$F$9))))</f>
        <v>0.990818065300789</v>
      </c>
      <c r="F982" s="51" t="n">
        <f aca="false">1+IF($G$10=$E$10,$F$10,IF(T982&lt;($F$10-$E$10)/($G$10-$E$10),$E$10+SQRT(T982*($G$10-$E$10)*($F$10-$E$10)),$G$10-SQRT((1-T982)*($G$10-$E$10)*($G$10-$F$10))))</f>
        <v>0.991429880042785</v>
      </c>
      <c r="G982" s="52" t="n">
        <f aca="false">IF($G$11=$E$11,$F$11,IF(U982&lt;($F$11-$E$11)/($G$11-$E$11),$E$11+SQRT(U982*($G$11-$E$11)*($F$11-$E$11)),$G$11-SQRT((1-U982)*($G$11-$E$11)*($G$11-$F$11))))</f>
        <v>0.118759613022381</v>
      </c>
      <c r="H982" s="53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-1982859760.08557</v>
      </c>
      <c r="I982" s="53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-32978999.4889928</v>
      </c>
      <c r="J982" s="53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221139004.710183</v>
      </c>
      <c r="K982" s="53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524828502.911497</v>
      </c>
      <c r="L982" s="53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640907628.843301</v>
      </c>
      <c r="M982" s="53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813459813.769731</v>
      </c>
      <c r="N982" s="53" t="n">
        <f aca="false">IF(COUNT('Business Case'!B11:G11)=0,"",H982+NPV(G982,I982:M982))</f>
        <v>-587588513.631355</v>
      </c>
      <c r="P982" s="54" t="n">
        <f aca="true">RAND()</f>
        <v>0.801943832248749</v>
      </c>
      <c r="Q982" s="54" t="n">
        <f aca="true">RAND()</f>
        <v>0.288943464706277</v>
      </c>
      <c r="R982" s="54" t="n">
        <f aca="true">RAND()</f>
        <v>0.919458607709399</v>
      </c>
      <c r="S982" s="54" t="n">
        <f aca="true">RAND()</f>
        <v>0.329916839399137</v>
      </c>
      <c r="T982" s="54" t="n">
        <f aca="true">RAND()</f>
        <v>0.114428997357306</v>
      </c>
      <c r="U982" s="54" t="n">
        <f aca="true">RAND()</f>
        <v>0.915769133728919</v>
      </c>
    </row>
    <row r="983" customFormat="false" ht="15" hidden="false" customHeight="false" outlineLevel="0" collapsed="false">
      <c r="A983" s="50" t="n">
        <v>903</v>
      </c>
      <c r="B983" s="51" t="n">
        <f aca="false">1+IF($G$6=$E$6,$F$6,IF(P983&lt;($F$6-$E$6)/($G$6-$E$6),$E$6+SQRT(P983*($G$6-$E$6)*($F$6-$E$6)),$G$6-SQRT((1-P983)*($G$6-$E$6)*($G$6-$F$6))))</f>
        <v>1.03230058225706</v>
      </c>
      <c r="C983" s="51" t="n">
        <f aca="false">1+IF($G$7=$E$7,$F$7,IF(Q983&lt;($F$7-$E$7)/($G$7-$E$7),$E$7+SQRT(Q983*($G$7-$E$7)*($F$7-$E$7)),$G$7-SQRT((1-Q983)*($G$7-$E$7)*($G$7-$F$7))))</f>
        <v>1.00183837232502</v>
      </c>
      <c r="D983" s="51" t="n">
        <f aca="false">1+IF($G$8=$E$8,$F$8,IF(R983&lt;($F$8-$E$8)/($G$8-$E$8),$E$8+SQRT(R983*($G$8-$E$8)*($F$8-$E$8)),$G$8-SQRT((1-R983)*($G$8-$E$8)*($G$8-$F$8))))</f>
        <v>1.05548733078271</v>
      </c>
      <c r="E983" s="51" t="n">
        <f aca="false">1+IF($G$9=$E$9,$F$9,IF(S983&lt;($F$9-$E$9)/($G$9-$E$9),$E$9+SQRT(S983*($G$9-$E$9)*($F$9-$E$9)),$G$9-SQRT((1-S983)*($G$9-$E$9)*($G$9-$F$9))))</f>
        <v>0.990344982147846</v>
      </c>
      <c r="F983" s="51" t="n">
        <f aca="false">1+IF($G$10=$E$10,$F$10,IF(T983&lt;($F$10-$E$10)/($G$10-$E$10),$E$10+SQRT(T983*($G$10-$E$10)*($F$10-$E$10)),$G$10-SQRT((1-T983)*($G$10-$E$10)*($G$10-$F$10))))</f>
        <v>1.15298690476475</v>
      </c>
      <c r="G983" s="52" t="n">
        <f aca="false">IF($G$11=$E$11,$F$11,IF(U983&lt;($F$11-$E$11)/($G$11-$E$11),$E$11+SQRT(U983*($G$11-$E$11)*($F$11-$E$11)),$G$11-SQRT((1-U983)*($G$11-$E$11)*($G$11-$F$11))))</f>
        <v>0.0918337199477132</v>
      </c>
      <c r="H983" s="53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-2305973809.52951</v>
      </c>
      <c r="I983" s="53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-3974082.9564155</v>
      </c>
      <c r="J983" s="53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301790422.715542</v>
      </c>
      <c r="K983" s="53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665204273.625737</v>
      </c>
      <c r="L983" s="53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802867669.976705</v>
      </c>
      <c r="M983" s="53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999448089.508442</v>
      </c>
      <c r="N983" s="53" t="n">
        <f aca="false">IF(COUNT('Business Case'!B11:G11)=0,"",H983+NPV(G983,I983:M983))</f>
        <v>-336282563.475107</v>
      </c>
      <c r="P983" s="54" t="n">
        <f aca="true">RAND()</f>
        <v>0.958230748208118</v>
      </c>
      <c r="Q983" s="54" t="n">
        <f aca="true">RAND()</f>
        <v>0.674787141995562</v>
      </c>
      <c r="R983" s="54" t="n">
        <f aca="true">RAND()</f>
        <v>0.867908151943459</v>
      </c>
      <c r="S983" s="54" t="n">
        <f aca="true">RAND()</f>
        <v>0.326488631971785</v>
      </c>
      <c r="T983" s="54" t="n">
        <f aca="true">RAND()</f>
        <v>0.874512791371691</v>
      </c>
      <c r="U983" s="54" t="n">
        <f aca="true">RAND()</f>
        <v>0.140036927800904</v>
      </c>
    </row>
    <row r="984" customFormat="false" ht="15" hidden="false" customHeight="false" outlineLevel="0" collapsed="false">
      <c r="A984" s="50" t="n">
        <v>904</v>
      </c>
      <c r="B984" s="51" t="n">
        <f aca="false">1+IF($G$6=$E$6,$F$6,IF(P984&lt;($F$6-$E$6)/($G$6-$E$6),$E$6+SQRT(P984*($G$6-$E$6)*($F$6-$E$6)),$G$6-SQRT((1-P984)*($G$6-$E$6)*($G$6-$F$6))))</f>
        <v>1.00514504537685</v>
      </c>
      <c r="C984" s="51" t="n">
        <f aca="false">1+IF($G$7=$E$7,$F$7,IF(Q984&lt;($F$7-$E$7)/($G$7-$E$7),$E$7+SQRT(Q984*($G$7-$E$7)*($F$7-$E$7)),$G$7-SQRT((1-Q984)*($G$7-$E$7)*($G$7-$F$7))))</f>
        <v>0.883898057546028</v>
      </c>
      <c r="D984" s="51" t="n">
        <f aca="false">1+IF($G$8=$E$8,$F$8,IF(R984&lt;($F$8-$E$8)/($G$8-$E$8),$E$8+SQRT(R984*($G$8-$E$8)*($F$8-$E$8)),$G$8-SQRT((1-R984)*($G$8-$E$8)*($G$8-$F$8))))</f>
        <v>1.03376933607135</v>
      </c>
      <c r="E984" s="51" t="n">
        <f aca="false">1+IF($G$9=$E$9,$F$9,IF(S984&lt;($F$9-$E$9)/($G$9-$E$9),$E$9+SQRT(S984*($G$9-$E$9)*($F$9-$E$9)),$G$9-SQRT((1-S984)*($G$9-$E$9)*($G$9-$F$9))))</f>
        <v>1.064292082643</v>
      </c>
      <c r="F984" s="51" t="n">
        <f aca="false">1+IF($G$10=$E$10,$F$10,IF(T984&lt;($F$10-$E$10)/($G$10-$E$10),$E$10+SQRT(T984*($G$10-$E$10)*($F$10-$E$10)),$G$10-SQRT((1-T984)*($G$10-$E$10)*($G$10-$F$10))))</f>
        <v>1.02142541485235</v>
      </c>
      <c r="G984" s="52" t="n">
        <f aca="false">IF($G$11=$E$11,$F$11,IF(U984&lt;($F$11-$E$11)/($G$11-$E$11),$E$11+SQRT(U984*($G$11-$E$11)*($F$11-$E$11)),$G$11-SQRT((1-U984)*($G$11-$E$11)*($G$11-$F$11))))</f>
        <v>0.105392709459754</v>
      </c>
      <c r="H984" s="53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-2042850829.7047</v>
      </c>
      <c r="I984" s="53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-39606078.3608004</v>
      </c>
      <c r="J984" s="53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220329746.759315</v>
      </c>
      <c r="K984" s="53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531336842.622047</v>
      </c>
      <c r="L984" s="53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648686802.891316</v>
      </c>
      <c r="M984" s="53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817562571.652085</v>
      </c>
      <c r="N984" s="53" t="n">
        <f aca="false">IF(COUNT('Business Case'!B11:G11)=0,"",H984+NPV(G984,I984:M984))</f>
        <v>-575116838.51386</v>
      </c>
      <c r="P984" s="54" t="n">
        <f aca="true">RAND()</f>
        <v>0.731737739434047</v>
      </c>
      <c r="Q984" s="54" t="n">
        <f aca="true">RAND()</f>
        <v>0.250507374586683</v>
      </c>
      <c r="R984" s="54" t="n">
        <f aca="true">RAND()</f>
        <v>0.707566610371306</v>
      </c>
      <c r="S984" s="54" t="n">
        <f aca="true">RAND()</f>
        <v>0.804110744062</v>
      </c>
      <c r="T984" s="54" t="n">
        <f aca="true">RAND()</f>
        <v>0.303382120327734</v>
      </c>
      <c r="U984" s="54" t="n">
        <f aca="true">RAND()</f>
        <v>0.596320834845295</v>
      </c>
    </row>
    <row r="985" customFormat="false" ht="15" hidden="false" customHeight="false" outlineLevel="0" collapsed="false">
      <c r="A985" s="50" t="n">
        <v>905</v>
      </c>
      <c r="B985" s="51" t="n">
        <f aca="false">1+IF($G$6=$E$6,$F$6,IF(P985&lt;($F$6-$E$6)/($G$6-$E$6),$E$6+SQRT(P985*($G$6-$E$6)*($F$6-$E$6)),$G$6-SQRT((1-P985)*($G$6-$E$6)*($G$6-$F$6))))</f>
        <v>0.956301467241394</v>
      </c>
      <c r="C985" s="51" t="n">
        <f aca="false">1+IF($G$7=$E$7,$F$7,IF(Q985&lt;($F$7-$E$7)/($G$7-$E$7),$E$7+SQRT(Q985*($G$7-$E$7)*($F$7-$E$7)),$G$7-SQRT((1-Q985)*($G$7-$E$7)*($G$7-$F$7))))</f>
        <v>0.917921507787523</v>
      </c>
      <c r="D985" s="51" t="n">
        <f aca="false">1+IF($G$8=$E$8,$F$8,IF(R985&lt;($F$8-$E$8)/($G$8-$E$8),$E$8+SQRT(R985*($G$8-$E$8)*($F$8-$E$8)),$G$8-SQRT((1-R985)*($G$8-$E$8)*($G$8-$F$8))))</f>
        <v>0.991175963054513</v>
      </c>
      <c r="E985" s="51" t="n">
        <f aca="false">1+IF($G$9=$E$9,$F$9,IF(S985&lt;($F$9-$E$9)/($G$9-$E$9),$E$9+SQRT(S985*($G$9-$E$9)*($F$9-$E$9)),$G$9-SQRT((1-S985)*($G$9-$E$9)*($G$9-$F$9))))</f>
        <v>1.02357327933094</v>
      </c>
      <c r="F985" s="51" t="n">
        <f aca="false">1+IF($G$10=$E$10,$F$10,IF(T985&lt;($F$10-$E$10)/($G$10-$E$10),$E$10+SQRT(T985*($G$10-$E$10)*($F$10-$E$10)),$G$10-SQRT((1-T985)*($G$10-$E$10)*($G$10-$F$10))))</f>
        <v>1.12133167101517</v>
      </c>
      <c r="G985" s="52" t="n">
        <f aca="false">IF($G$11=$E$11,$F$11,IF(U985&lt;($F$11-$E$11)/($G$11-$E$11),$E$11+SQRT(U985*($G$11-$E$11)*($F$11-$E$11)),$G$11-SQRT((1-U985)*($G$11-$E$11)*($G$11-$F$11))))</f>
        <v>0.121699218109258</v>
      </c>
      <c r="H985" s="53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-2242663342.03033</v>
      </c>
      <c r="I985" s="53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-49957549.7232216</v>
      </c>
      <c r="J985" s="53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203275842.031281</v>
      </c>
      <c r="K985" s="53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512575817.336543</v>
      </c>
      <c r="L985" s="53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627324050.624942</v>
      </c>
      <c r="M985" s="53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794178115.494551</v>
      </c>
      <c r="N985" s="53" t="n">
        <f aca="false">IF(COUNT('Business Case'!B11:G11)=0,"",H985+NPV(G985,I985:M985))</f>
        <v>-918954710.765263</v>
      </c>
      <c r="P985" s="54" t="n">
        <f aca="true">RAND()</f>
        <v>0.21132368090225</v>
      </c>
      <c r="Q985" s="54" t="n">
        <f aca="true">RAND()</f>
        <v>0.351776174491758</v>
      </c>
      <c r="R985" s="54" t="n">
        <f aca="true">RAND()</f>
        <v>0.226061324462212</v>
      </c>
      <c r="S985" s="54" t="n">
        <f aca="true">RAND()</f>
        <v>0.573767581356488</v>
      </c>
      <c r="T985" s="54" t="n">
        <f aca="true">RAND()</f>
        <v>0.779259481550005</v>
      </c>
      <c r="U985" s="54" t="n">
        <f aca="true">RAND()</f>
        <v>0.954064680001548</v>
      </c>
    </row>
    <row r="986" customFormat="false" ht="15" hidden="false" customHeight="false" outlineLevel="0" collapsed="false">
      <c r="A986" s="50" t="n">
        <v>906</v>
      </c>
      <c r="B986" s="51" t="n">
        <f aca="false">1+IF($G$6=$E$6,$F$6,IF(P986&lt;($F$6-$E$6)/($G$6-$E$6),$E$6+SQRT(P986*($G$6-$E$6)*($F$6-$E$6)),$G$6-SQRT((1-P986)*($G$6-$E$6)*($G$6-$F$6))))</f>
        <v>0.947537651307222</v>
      </c>
      <c r="C986" s="51" t="n">
        <f aca="false">1+IF($G$7=$E$7,$F$7,IF(Q986&lt;($F$7-$E$7)/($G$7-$E$7),$E$7+SQRT(Q986*($G$7-$E$7)*($F$7-$E$7)),$G$7-SQRT((1-Q986)*($G$7-$E$7)*($G$7-$F$7))))</f>
        <v>0.711777692308475</v>
      </c>
      <c r="D986" s="51" t="n">
        <f aca="false">1+IF($G$8=$E$8,$F$8,IF(R986&lt;($F$8-$E$8)/($G$8-$E$8),$E$8+SQRT(R986*($G$8-$E$8)*($F$8-$E$8)),$G$8-SQRT((1-R986)*($G$8-$E$8)*($G$8-$F$8))))</f>
        <v>0.998665192339918</v>
      </c>
      <c r="E986" s="51" t="n">
        <f aca="false">1+IF($G$9=$E$9,$F$9,IF(S986&lt;($F$9-$E$9)/($G$9-$E$9),$E$9+SQRT(S986*($G$9-$E$9)*($F$9-$E$9)),$G$9-SQRT((1-S986)*($G$9-$E$9)*($G$9-$F$9))))</f>
        <v>0.940043118098865</v>
      </c>
      <c r="F986" s="51" t="n">
        <f aca="false">1+IF($G$10=$E$10,$F$10,IF(T986&lt;($F$10-$E$10)/($G$10-$E$10),$E$10+SQRT(T986*($G$10-$E$10)*($F$10-$E$10)),$G$10-SQRT((1-T986)*($G$10-$E$10)*($G$10-$F$10))))</f>
        <v>1.11356260444456</v>
      </c>
      <c r="G986" s="52" t="n">
        <f aca="false">IF($G$11=$E$11,$F$11,IF(U986&lt;($F$11-$E$11)/($G$11-$E$11),$E$11+SQRT(U986*($G$11-$E$11)*($F$11-$E$11)),$G$11-SQRT((1-U986)*($G$11-$E$11)*($G$11-$F$11))))</f>
        <v>0.112172616996485</v>
      </c>
      <c r="H986" s="53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-2227125208.88911</v>
      </c>
      <c r="I986" s="53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-91468253.8228991</v>
      </c>
      <c r="J986" s="53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97056654.8730523</v>
      </c>
      <c r="K986" s="53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341259693.791232</v>
      </c>
      <c r="L986" s="53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427409843.810373</v>
      </c>
      <c r="M986" s="53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555606669.63974</v>
      </c>
      <c r="N986" s="53" t="n">
        <f aca="false">IF(COUNT('Business Case'!B11:G11)=0,"",H986+NPV(G986,I986:M986))</f>
        <v>-1376963476.37769</v>
      </c>
      <c r="P986" s="54" t="n">
        <f aca="true">RAND()</f>
        <v>0.150655219453802</v>
      </c>
      <c r="Q986" s="54" t="n">
        <f aca="true">RAND()</f>
        <v>0.00102751137861571</v>
      </c>
      <c r="R986" s="54" t="n">
        <f aca="true">RAND()</f>
        <v>0.31577345939749</v>
      </c>
      <c r="S986" s="54" t="n">
        <f aca="true">RAND()</f>
        <v>0.0641380522831872</v>
      </c>
      <c r="T986" s="54" t="n">
        <f aca="true">RAND()</f>
        <v>0.751797827920628</v>
      </c>
      <c r="U986" s="54" t="n">
        <f aca="true">RAND()</f>
        <v>0.788122943497318</v>
      </c>
    </row>
    <row r="987" customFormat="false" ht="15" hidden="false" customHeight="false" outlineLevel="0" collapsed="false">
      <c r="A987" s="50" t="n">
        <v>907</v>
      </c>
      <c r="B987" s="51" t="n">
        <f aca="false">1+IF($G$6=$E$6,$F$6,IF(P987&lt;($F$6-$E$6)/($G$6-$E$6),$E$6+SQRT(P987*($G$6-$E$6)*($F$6-$E$6)),$G$6-SQRT((1-P987)*($G$6-$E$6)*($G$6-$F$6))))</f>
        <v>0.983287017419145</v>
      </c>
      <c r="C987" s="51" t="n">
        <f aca="false">1+IF($G$7=$E$7,$F$7,IF(Q987&lt;($F$7-$E$7)/($G$7-$E$7),$E$7+SQRT(Q987*($G$7-$E$7)*($F$7-$E$7)),$G$7-SQRT((1-Q987)*($G$7-$E$7)*($G$7-$F$7))))</f>
        <v>0.96871095705246</v>
      </c>
      <c r="D987" s="51" t="n">
        <f aca="false">1+IF($G$8=$E$8,$F$8,IF(R987&lt;($F$8-$E$8)/($G$8-$E$8),$E$8+SQRT(R987*($G$8-$E$8)*($F$8-$E$8)),$G$8-SQRT((1-R987)*($G$8-$E$8)*($G$8-$F$8))))</f>
        <v>1.07545706409659</v>
      </c>
      <c r="E987" s="51" t="n">
        <f aca="false">1+IF($G$9=$E$9,$F$9,IF(S987&lt;($F$9-$E$9)/($G$9-$E$9),$E$9+SQRT(S987*($G$9-$E$9)*($F$9-$E$9)),$G$9-SQRT((1-S987)*($G$9-$E$9)*($G$9-$F$9))))</f>
        <v>1.0310808896753</v>
      </c>
      <c r="F987" s="51" t="n">
        <f aca="false">1+IF($G$10=$E$10,$F$10,IF(T987&lt;($F$10-$E$10)/($G$10-$E$10),$E$10+SQRT(T987*($G$10-$E$10)*($F$10-$E$10)),$G$10-SQRT((1-T987)*($G$10-$E$10)*($G$10-$F$10))))</f>
        <v>1.13750682179274</v>
      </c>
      <c r="G987" s="52" t="n">
        <f aca="false">IF($G$11=$E$11,$F$11,IF(U987&lt;($F$11-$E$11)/($G$11-$E$11),$E$11+SQRT(U987*($G$11-$E$11)*($F$11-$E$11)),$G$11-SQRT((1-U987)*($G$11-$E$11)*($G$11-$F$11))))</f>
        <v>0.118432122647865</v>
      </c>
      <c r="H987" s="53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-2275013643.58549</v>
      </c>
      <c r="I987" s="53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-62887724.4871055</v>
      </c>
      <c r="J987" s="53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183973619.57213</v>
      </c>
      <c r="K987" s="53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487710304.721003</v>
      </c>
      <c r="L987" s="53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602916541.977573</v>
      </c>
      <c r="M987" s="53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783971716.113448</v>
      </c>
      <c r="N987" s="53" t="n">
        <f aca="false">IF(COUNT('Business Case'!B11:G11)=0,"",H987+NPV(G987,I987:M987))</f>
        <v>-1002272590.92579</v>
      </c>
      <c r="P987" s="54" t="n">
        <f aca="true">RAND()</f>
        <v>0.46244848470513</v>
      </c>
      <c r="Q987" s="54" t="n">
        <f aca="true">RAND()</f>
        <v>0.534856136592957</v>
      </c>
      <c r="R987" s="54" t="n">
        <f aca="true">RAND()</f>
        <v>0.95984295314942</v>
      </c>
      <c r="S987" s="54" t="n">
        <f aca="true">RAND()</f>
        <v>0.622886538655542</v>
      </c>
      <c r="T987" s="54" t="n">
        <f aca="true">RAND()</f>
        <v>0.831270464757742</v>
      </c>
      <c r="U987" s="54" t="n">
        <f aca="true">RAND()</f>
        <v>0.910789475710647</v>
      </c>
    </row>
    <row r="988" customFormat="false" ht="15" hidden="false" customHeight="false" outlineLevel="0" collapsed="false">
      <c r="A988" s="50" t="n">
        <v>908</v>
      </c>
      <c r="B988" s="51" t="n">
        <f aca="false">1+IF($G$6=$E$6,$F$6,IF(P988&lt;($F$6-$E$6)/($G$6-$E$6),$E$6+SQRT(P988*($G$6-$E$6)*($F$6-$E$6)),$G$6-SQRT((1-P988)*($G$6-$E$6)*($G$6-$F$6))))</f>
        <v>0.933044692695614</v>
      </c>
      <c r="C988" s="51" t="n">
        <f aca="false">1+IF($G$7=$E$7,$F$7,IF(Q988&lt;($F$7-$E$7)/($G$7-$E$7),$E$7+SQRT(Q988*($G$7-$E$7)*($F$7-$E$7)),$G$7-SQRT((1-Q988)*($G$7-$E$7)*($G$7-$F$7))))</f>
        <v>0.950105877890679</v>
      </c>
      <c r="D988" s="51" t="n">
        <f aca="false">1+IF($G$8=$E$8,$F$8,IF(R988&lt;($F$8-$E$8)/($G$8-$E$8),$E$8+SQRT(R988*($G$8-$E$8)*($F$8-$E$8)),$G$8-SQRT((1-R988)*($G$8-$E$8)*($G$8-$F$8))))</f>
        <v>0.998203350795825</v>
      </c>
      <c r="E988" s="51" t="n">
        <f aca="false">1+IF($G$9=$E$9,$F$9,IF(S988&lt;($F$9-$E$9)/($G$9-$E$9),$E$9+SQRT(S988*($G$9-$E$9)*($F$9-$E$9)),$G$9-SQRT((1-S988)*($G$9-$E$9)*($G$9-$F$9))))</f>
        <v>1.00586908266944</v>
      </c>
      <c r="F988" s="51" t="n">
        <f aca="false">1+IF($G$10=$E$10,$F$10,IF(T988&lt;($F$10-$E$10)/($G$10-$E$10),$E$10+SQRT(T988*($G$10-$E$10)*($F$10-$E$10)),$G$10-SQRT((1-T988)*($G$10-$E$10)*($G$10-$F$10))))</f>
        <v>1.03290448415937</v>
      </c>
      <c r="G988" s="52" t="n">
        <f aca="false">IF($G$11=$E$11,$F$11,IF(U988&lt;($F$11-$E$11)/($G$11-$E$11),$E$11+SQRT(U988*($G$11-$E$11)*($F$11-$E$11)),$G$11-SQRT((1-U988)*($G$11-$E$11)*($G$11-$F$11))))</f>
        <v>0.107358174019583</v>
      </c>
      <c r="H988" s="53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-2065808968.31874</v>
      </c>
      <c r="I988" s="53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-51684929.6589761</v>
      </c>
      <c r="J988" s="53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188910878.89105</v>
      </c>
      <c r="K988" s="53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481151911.649044</v>
      </c>
      <c r="L988" s="53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591987651.990701</v>
      </c>
      <c r="M988" s="53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760491908.194763</v>
      </c>
      <c r="N988" s="53" t="n">
        <f aca="false">IF(COUNT('Business Case'!B11:G11)=0,"",H988+NPV(G988,I988:M988))</f>
        <v>-753668734.675463</v>
      </c>
      <c r="P988" s="54" t="n">
        <f aca="true">RAND()</f>
        <v>0.0727967810231726</v>
      </c>
      <c r="Q988" s="54" t="n">
        <f aca="true">RAND()</f>
        <v>0.463355186336792</v>
      </c>
      <c r="R988" s="54" t="n">
        <f aca="true">RAND()</f>
        <v>0.309808403726042</v>
      </c>
      <c r="S988" s="54" t="n">
        <f aca="true">RAND()</f>
        <v>0.446034097851995</v>
      </c>
      <c r="T988" s="54" t="n">
        <f aca="true">RAND()</f>
        <v>0.371593826691875</v>
      </c>
      <c r="U988" s="54" t="n">
        <f aca="true">RAND()</f>
        <v>0.658231810848343</v>
      </c>
    </row>
    <row r="989" customFormat="false" ht="15" hidden="false" customHeight="false" outlineLevel="0" collapsed="false">
      <c r="A989" s="50" t="n">
        <v>909</v>
      </c>
      <c r="B989" s="51" t="n">
        <f aca="false">1+IF($G$6=$E$6,$F$6,IF(P989&lt;($F$6-$E$6)/($G$6-$E$6),$E$6+SQRT(P989*($G$6-$E$6)*($F$6-$E$6)),$G$6-SQRT((1-P989)*($G$6-$E$6)*($G$6-$F$6))))</f>
        <v>0.963007330323103</v>
      </c>
      <c r="C989" s="51" t="n">
        <f aca="false">1+IF($G$7=$E$7,$F$7,IF(Q989&lt;($F$7-$E$7)/($G$7-$E$7),$E$7+SQRT(Q989*($G$7-$E$7)*($F$7-$E$7)),$G$7-SQRT((1-Q989)*($G$7-$E$7)*($G$7-$F$7))))</f>
        <v>0.888639754431555</v>
      </c>
      <c r="D989" s="51" t="n">
        <f aca="false">1+IF($G$8=$E$8,$F$8,IF(R989&lt;($F$8-$E$8)/($G$8-$E$8),$E$8+SQRT(R989*($G$8-$E$8)*($F$8-$E$8)),$G$8-SQRT((1-R989)*($G$8-$E$8)*($G$8-$F$8))))</f>
        <v>1.05467820062201</v>
      </c>
      <c r="E989" s="51" t="n">
        <f aca="false">1+IF($G$9=$E$9,$F$9,IF(S989&lt;($F$9-$E$9)/($G$9-$E$9),$E$9+SQRT(S989*($G$9-$E$9)*($F$9-$E$9)),$G$9-SQRT((1-S989)*($G$9-$E$9)*($G$9-$F$9))))</f>
        <v>1.04430734393513</v>
      </c>
      <c r="F989" s="51" t="n">
        <f aca="false">1+IF($G$10=$E$10,$F$10,IF(T989&lt;($F$10-$E$10)/($G$10-$E$10),$E$10+SQRT(T989*($G$10-$E$10)*($F$10-$E$10)),$G$10-SQRT((1-T989)*($G$10-$E$10)*($G$10-$F$10))))</f>
        <v>1.19580340080854</v>
      </c>
      <c r="G989" s="52" t="n">
        <f aca="false">IF($G$11=$E$11,$F$11,IF(U989&lt;($F$11-$E$11)/($G$11-$E$11),$E$11+SQRT(U989*($G$11-$E$11)*($F$11-$E$11)),$G$11-SQRT((1-U989)*($G$11-$E$11)*($G$11-$F$11))))</f>
        <v>0.112056779901905</v>
      </c>
      <c r="H989" s="53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-2391606801.61707</v>
      </c>
      <c r="I989" s="53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-91295584.239951</v>
      </c>
      <c r="J989" s="53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129852616.324696</v>
      </c>
      <c r="K989" s="53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410790986.929769</v>
      </c>
      <c r="L989" s="53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514082347.395431</v>
      </c>
      <c r="M989" s="53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676746462.254714</v>
      </c>
      <c r="N989" s="53" t="n">
        <f aca="false">IF(COUNT('Business Case'!B11:G11)=0,"",H989+NPV(G989,I989:M989))</f>
        <v>-1335938451.57742</v>
      </c>
      <c r="P989" s="54" t="n">
        <f aca="true">RAND()</f>
        <v>0.264661578296309</v>
      </c>
      <c r="Q989" s="54" t="n">
        <f aca="true">RAND()</f>
        <v>0.263592273718498</v>
      </c>
      <c r="R989" s="54" t="n">
        <f aca="true">RAND()</f>
        <v>0.863062300076063</v>
      </c>
      <c r="S989" s="54" t="n">
        <f aca="true">RAND()</f>
        <v>0.702108332105442</v>
      </c>
      <c r="T989" s="54" t="n">
        <f aca="true">RAND()</f>
        <v>0.960836381814396</v>
      </c>
      <c r="U989" s="54" t="n">
        <f aca="true">RAND()</f>
        <v>0.785360568340871</v>
      </c>
    </row>
    <row r="990" customFormat="false" ht="15" hidden="false" customHeight="false" outlineLevel="0" collapsed="false">
      <c r="A990" s="50" t="n">
        <v>910</v>
      </c>
      <c r="B990" s="51" t="n">
        <f aca="false">1+IF($G$6=$E$6,$F$6,IF(P990&lt;($F$6-$E$6)/($G$6-$E$6),$E$6+SQRT(P990*($G$6-$E$6)*($F$6-$E$6)),$G$6-SQRT((1-P990)*($G$6-$E$6)*($G$6-$F$6))))</f>
        <v>0.967673682501985</v>
      </c>
      <c r="C990" s="51" t="n">
        <f aca="false">1+IF($G$7=$E$7,$F$7,IF(Q990&lt;($F$7-$E$7)/($G$7-$E$7),$E$7+SQRT(Q990*($G$7-$E$7)*($F$7-$E$7)),$G$7-SQRT((1-Q990)*($G$7-$E$7)*($G$7-$F$7))))</f>
        <v>0.972663149071354</v>
      </c>
      <c r="D990" s="51" t="n">
        <f aca="false">1+IF($G$8=$E$8,$F$8,IF(R990&lt;($F$8-$E$8)/($G$8-$E$8),$E$8+SQRT(R990*($G$8-$E$8)*($F$8-$E$8)),$G$8-SQRT((1-R990)*($G$8-$E$8)*($G$8-$F$8))))</f>
        <v>0.993241155780215</v>
      </c>
      <c r="E990" s="51" t="n">
        <f aca="false">1+IF($G$9=$E$9,$F$9,IF(S990&lt;($F$9-$E$9)/($G$9-$E$9),$E$9+SQRT(S990*($G$9-$E$9)*($F$9-$E$9)),$G$9-SQRT((1-S990)*($G$9-$E$9)*($G$9-$F$9))))</f>
        <v>0.977954540179632</v>
      </c>
      <c r="F990" s="51" t="n">
        <f aca="false">1+IF($G$10=$E$10,$F$10,IF(T990&lt;($F$10-$E$10)/($G$10-$E$10),$E$10+SQRT(T990*($G$10-$E$10)*($F$10-$E$10)),$G$10-SQRT((1-T990)*($G$10-$E$10)*($G$10-$F$10))))</f>
        <v>1.06874603966614</v>
      </c>
      <c r="G990" s="52" t="n">
        <f aca="false">IF($G$11=$E$11,$F$11,IF(U990&lt;($F$11-$E$11)/($G$11-$E$11),$E$11+SQRT(U990*($G$11-$E$11)*($F$11-$E$11)),$G$11-SQRT((1-U990)*($G$11-$E$11)*($G$11-$F$11))))</f>
        <v>0.0956456202782984</v>
      </c>
      <c r="H990" s="53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-2137492079.33228</v>
      </c>
      <c r="I990" s="53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-18365545.8159964</v>
      </c>
      <c r="J990" s="53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258001520.290542</v>
      </c>
      <c r="K990" s="53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587805888.380388</v>
      </c>
      <c r="L990" s="53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712456825.310819</v>
      </c>
      <c r="M990" s="53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891364023.899535</v>
      </c>
      <c r="N990" s="53" t="n">
        <f aca="false">IF(COUNT('Business Case'!B11:G11)=0,"",H990+NPV(G990,I990:M990))</f>
        <v>-433465744.390807</v>
      </c>
      <c r="P990" s="54" t="n">
        <f aca="true">RAND()</f>
        <v>0.305315153558633</v>
      </c>
      <c r="Q990" s="54" t="n">
        <f aca="true">RAND()</f>
        <v>0.550705132307464</v>
      </c>
      <c r="R990" s="54" t="n">
        <f aca="true">RAND()</f>
        <v>0.249306340427844</v>
      </c>
      <c r="S990" s="54" t="n">
        <f aca="true">RAND()</f>
        <v>0.243076413384714</v>
      </c>
      <c r="T990" s="54" t="n">
        <f aca="true">RAND()</f>
        <v>0.561960024843897</v>
      </c>
      <c r="U990" s="54" t="n">
        <f aca="true">RAND()</f>
        <v>0.244785433892701</v>
      </c>
    </row>
    <row r="991" customFormat="false" ht="15" hidden="false" customHeight="false" outlineLevel="0" collapsed="false">
      <c r="A991" s="50" t="n">
        <v>911</v>
      </c>
      <c r="B991" s="51" t="n">
        <f aca="false">1+IF($G$6=$E$6,$F$6,IF(P991&lt;($F$6-$E$6)/($G$6-$E$6),$E$6+SQRT(P991*($G$6-$E$6)*($F$6-$E$6)),$G$6-SQRT((1-P991)*($G$6-$E$6)*($G$6-$F$6))))</f>
        <v>0.943413815977215</v>
      </c>
      <c r="C991" s="51" t="n">
        <f aca="false">1+IF($G$7=$E$7,$F$7,IF(Q991&lt;($F$7-$E$7)/($G$7-$E$7),$E$7+SQRT(Q991*($G$7-$E$7)*($F$7-$E$7)),$G$7-SQRT((1-Q991)*($G$7-$E$7)*($G$7-$F$7))))</f>
        <v>1.02418702525782</v>
      </c>
      <c r="D991" s="51" t="n">
        <f aca="false">1+IF($G$8=$E$8,$F$8,IF(R991&lt;($F$8-$E$8)/($G$8-$E$8),$E$8+SQRT(R991*($G$8-$E$8)*($F$8-$E$8)),$G$8-SQRT((1-R991)*($G$8-$E$8)*($G$8-$F$8))))</f>
        <v>1.00975705489049</v>
      </c>
      <c r="E991" s="51" t="n">
        <f aca="false">1+IF($G$9=$E$9,$F$9,IF(S991&lt;($F$9-$E$9)/($G$9-$E$9),$E$9+SQRT(S991*($G$9-$E$9)*($F$9-$E$9)),$G$9-SQRT((1-S991)*($G$9-$E$9)*($G$9-$F$9))))</f>
        <v>1.0479843233613</v>
      </c>
      <c r="F991" s="51" t="n">
        <f aca="false">1+IF($G$10=$E$10,$F$10,IF(T991&lt;($F$10-$E$10)/($G$10-$E$10),$E$10+SQRT(T991*($G$10-$E$10)*($F$10-$E$10)),$G$10-SQRT((1-T991)*($G$10-$E$10)*($G$10-$F$10))))</f>
        <v>1.14422158021029</v>
      </c>
      <c r="G991" s="52" t="n">
        <f aca="false">IF($G$11=$E$11,$F$11,IF(U991&lt;($F$11-$E$11)/($G$11-$E$11),$E$11+SQRT(U991*($G$11-$E$11)*($F$11-$E$11)),$G$11-SQRT((1-U991)*($G$11-$E$11)*($G$11-$F$11))))</f>
        <v>0.108466532680712</v>
      </c>
      <c r="H991" s="53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-2288443160.42059</v>
      </c>
      <c r="I991" s="53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-51538737.0053478</v>
      </c>
      <c r="J991" s="53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210457531.510134</v>
      </c>
      <c r="K991" s="53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529664879.036131</v>
      </c>
      <c r="L991" s="53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650389953.01984</v>
      </c>
      <c r="M991" s="53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834051367.651859</v>
      </c>
      <c r="N991" s="53" t="n">
        <f aca="false">IF(COUNT('Business Case'!B11:G11)=0,"",H991+NPV(G991,I991:M991))</f>
        <v>-845547913.925326</v>
      </c>
      <c r="P991" s="54" t="n">
        <f aca="true">RAND()</f>
        <v>0.125650627846896</v>
      </c>
      <c r="Q991" s="54" t="n">
        <f aca="true">RAND()</f>
        <v>0.765497709429964</v>
      </c>
      <c r="R991" s="54" t="n">
        <f aca="true">RAND()</f>
        <v>0.457080723864165</v>
      </c>
      <c r="S991" s="54" t="n">
        <f aca="true">RAND()</f>
        <v>0.722474712531966</v>
      </c>
      <c r="T991" s="54" t="n">
        <f aca="true">RAND()</f>
        <v>0.8508123454239</v>
      </c>
      <c r="U991" s="54" t="n">
        <f aca="true">RAND()</f>
        <v>0.69087319013943</v>
      </c>
    </row>
    <row r="992" customFormat="false" ht="15" hidden="false" customHeight="false" outlineLevel="0" collapsed="false">
      <c r="A992" s="50" t="n">
        <v>912</v>
      </c>
      <c r="B992" s="51" t="n">
        <f aca="false">1+IF($G$6=$E$6,$F$6,IF(P992&lt;($F$6-$E$6)/($G$6-$E$6),$E$6+SQRT(P992*($G$6-$E$6)*($F$6-$E$6)),$G$6-SQRT((1-P992)*($G$6-$E$6)*($G$6-$F$6))))</f>
        <v>1.00165094109634</v>
      </c>
      <c r="C992" s="51" t="n">
        <f aca="false">1+IF($G$7=$E$7,$F$7,IF(Q992&lt;($F$7-$E$7)/($G$7-$E$7),$E$7+SQRT(Q992*($G$7-$E$7)*($F$7-$E$7)),$G$7-SQRT((1-Q992)*($G$7-$E$7)*($G$7-$F$7))))</f>
        <v>0.804069664945932</v>
      </c>
      <c r="D992" s="51" t="n">
        <f aca="false">1+IF($G$8=$E$8,$F$8,IF(R992&lt;($F$8-$E$8)/($G$8-$E$8),$E$8+SQRT(R992*($G$8-$E$8)*($F$8-$E$8)),$G$8-SQRT((1-R992)*($G$8-$E$8)*($G$8-$F$8))))</f>
        <v>0.999453686612111</v>
      </c>
      <c r="E992" s="51" t="n">
        <f aca="false">1+IF($G$9=$E$9,$F$9,IF(S992&lt;($F$9-$E$9)/($G$9-$E$9),$E$9+SQRT(S992*($G$9-$E$9)*($F$9-$E$9)),$G$9-SQRT((1-S992)*($G$9-$E$9)*($G$9-$F$9))))</f>
        <v>1.02081326389619</v>
      </c>
      <c r="F992" s="51" t="n">
        <f aca="false">1+IF($G$10=$E$10,$F$10,IF(T992&lt;($F$10-$E$10)/($G$10-$E$10),$E$10+SQRT(T992*($G$10-$E$10)*($F$10-$E$10)),$G$10-SQRT((1-T992)*($G$10-$E$10)*($G$10-$F$10))))</f>
        <v>1.00973057720519</v>
      </c>
      <c r="G992" s="52" t="n">
        <f aca="false">IF($G$11=$E$11,$F$11,IF(U992&lt;($F$11-$E$11)/($G$11-$E$11),$E$11+SQRT(U992*($G$11-$E$11)*($F$11-$E$11)),$G$11-SQRT((1-U992)*($G$11-$E$11)*($G$11-$F$11))))</f>
        <v>0.0880385264529529</v>
      </c>
      <c r="H992" s="53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-2019461154.41037</v>
      </c>
      <c r="I992" s="53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-39600717.6599715</v>
      </c>
      <c r="J992" s="53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208683056.087964</v>
      </c>
      <c r="K992" s="53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507453358.696159</v>
      </c>
      <c r="L992" s="53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618049141.653037</v>
      </c>
      <c r="M992" s="53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771139029.377987</v>
      </c>
      <c r="N992" s="53" t="n">
        <f aca="false">IF(COUNT('Business Case'!B11:G11)=0,"",H992+NPV(G992,I992:M992))</f>
        <v>-538880407.681705</v>
      </c>
      <c r="P992" s="54" t="n">
        <f aca="true">RAND()</f>
        <v>0.68831580041742</v>
      </c>
      <c r="Q992" s="54" t="n">
        <f aca="true">RAND()</f>
        <v>0.0802258900885819</v>
      </c>
      <c r="R992" s="54" t="n">
        <f aca="true">RAND()</f>
        <v>0.326088949270517</v>
      </c>
      <c r="S992" s="54" t="n">
        <f aca="true">RAND()</f>
        <v>0.554954325729201</v>
      </c>
      <c r="T992" s="54" t="n">
        <f aca="true">RAND()</f>
        <v>0.230274726264634</v>
      </c>
      <c r="U992" s="54" t="n">
        <f aca="true">RAND()</f>
        <v>0.0646179075348227</v>
      </c>
    </row>
    <row r="993" customFormat="false" ht="15" hidden="false" customHeight="false" outlineLevel="0" collapsed="false">
      <c r="A993" s="50" t="n">
        <v>913</v>
      </c>
      <c r="B993" s="51" t="n">
        <f aca="false">1+IF($G$6=$E$6,$F$6,IF(P993&lt;($F$6-$E$6)/($G$6-$E$6),$E$6+SQRT(P993*($G$6-$E$6)*($F$6-$E$6)),$G$6-SQRT((1-P993)*($G$6-$E$6)*($G$6-$F$6))))</f>
        <v>1.00723174906805</v>
      </c>
      <c r="C993" s="51" t="n">
        <f aca="false">1+IF($G$7=$E$7,$F$7,IF(Q993&lt;($F$7-$E$7)/($G$7-$E$7),$E$7+SQRT(Q993*($G$7-$E$7)*($F$7-$E$7)),$G$7-SQRT((1-Q993)*($G$7-$E$7)*($G$7-$F$7))))</f>
        <v>1.00731491556057</v>
      </c>
      <c r="D993" s="51" t="n">
        <f aca="false">1+IF($G$8=$E$8,$F$8,IF(R993&lt;($F$8-$E$8)/($G$8-$E$8),$E$8+SQRT(R993*($G$8-$E$8)*($F$8-$E$8)),$G$8-SQRT((1-R993)*($G$8-$E$8)*($G$8-$F$8))))</f>
        <v>1.02402182729577</v>
      </c>
      <c r="E993" s="51" t="n">
        <f aca="false">1+IF($G$9=$E$9,$F$9,IF(S993&lt;($F$9-$E$9)/($G$9-$E$9),$E$9+SQRT(S993*($G$9-$E$9)*($F$9-$E$9)),$G$9-SQRT((1-S993)*($G$9-$E$9)*($G$9-$F$9))))</f>
        <v>1.12804071713804</v>
      </c>
      <c r="F993" s="51" t="n">
        <f aca="false">1+IF($G$10=$E$10,$F$10,IF(T993&lt;($F$10-$E$10)/($G$10-$E$10),$E$10+SQRT(T993*($G$10-$E$10)*($F$10-$E$10)),$G$10-SQRT((1-T993)*($G$10-$E$10)*($G$10-$F$10))))</f>
        <v>1.00263320687109</v>
      </c>
      <c r="G993" s="52" t="n">
        <f aca="false">IF($G$11=$E$11,$F$11,IF(U993&lt;($F$11-$E$11)/($G$11-$E$11),$E$11+SQRT(U993*($G$11-$E$11)*($F$11-$E$11)),$G$11-SQRT((1-U993)*($G$11-$E$11)*($G$11-$F$11))))</f>
        <v>0.120760490643978</v>
      </c>
      <c r="H993" s="53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-2005266413.74219</v>
      </c>
      <c r="I993" s="53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-10289316.5523717</v>
      </c>
      <c r="J993" s="53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292688918.970758</v>
      </c>
      <c r="K993" s="53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645798814.837442</v>
      </c>
      <c r="L993" s="53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781856120.952728</v>
      </c>
      <c r="M993" s="53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974711206.127726</v>
      </c>
      <c r="N993" s="53" t="n">
        <f aca="false">IF(COUNT('Business Case'!B11:G11)=0,"",H993+NPV(G993,I993:M993))</f>
        <v>-275962200.825781</v>
      </c>
      <c r="P993" s="54" t="n">
        <f aca="true">RAND()</f>
        <v>0.75611689496288</v>
      </c>
      <c r="Q993" s="54" t="n">
        <f aca="true">RAND()</f>
        <v>0.698384691533513</v>
      </c>
      <c r="R993" s="54" t="n">
        <f aca="true">RAND()</f>
        <v>0.615154484835117</v>
      </c>
      <c r="S993" s="54" t="n">
        <f aca="true">RAND()</f>
        <v>0.987141063898357</v>
      </c>
      <c r="T993" s="54" t="n">
        <f aca="true">RAND()</f>
        <v>0.184128928761612</v>
      </c>
      <c r="U993" s="54" t="n">
        <f aca="true">RAND()</f>
        <v>0.943087644573319</v>
      </c>
    </row>
    <row r="994" customFormat="false" ht="15" hidden="false" customHeight="false" outlineLevel="0" collapsed="false">
      <c r="A994" s="50" t="n">
        <v>914</v>
      </c>
      <c r="B994" s="51" t="n">
        <f aca="false">1+IF($G$6=$E$6,$F$6,IF(P994&lt;($F$6-$E$6)/($G$6-$E$6),$E$6+SQRT(P994*($G$6-$E$6)*($F$6-$E$6)),$G$6-SQRT((1-P994)*($G$6-$E$6)*($G$6-$F$6))))</f>
        <v>0.962441587992048</v>
      </c>
      <c r="C994" s="51" t="n">
        <f aca="false">1+IF($G$7=$E$7,$F$7,IF(Q994&lt;($F$7-$E$7)/($G$7-$E$7),$E$7+SQRT(Q994*($G$7-$E$7)*($F$7-$E$7)),$G$7-SQRT((1-Q994)*($G$7-$E$7)*($G$7-$F$7))))</f>
        <v>0.752852667025613</v>
      </c>
      <c r="D994" s="51" t="n">
        <f aca="false">1+IF($G$8=$E$8,$F$8,IF(R994&lt;($F$8-$E$8)/($G$8-$E$8),$E$8+SQRT(R994*($G$8-$E$8)*($F$8-$E$8)),$G$8-SQRT((1-R994)*($G$8-$E$8)*($G$8-$F$8))))</f>
        <v>0.984539439445476</v>
      </c>
      <c r="E994" s="51" t="n">
        <f aca="false">1+IF($G$9=$E$9,$F$9,IF(S994&lt;($F$9-$E$9)/($G$9-$E$9),$E$9+SQRT(S994*($G$9-$E$9)*($F$9-$E$9)),$G$9-SQRT((1-S994)*($G$9-$E$9)*($G$9-$F$9))))</f>
        <v>0.987636597348156</v>
      </c>
      <c r="F994" s="51" t="n">
        <f aca="false">1+IF($G$10=$E$10,$F$10,IF(T994&lt;($F$10-$E$10)/($G$10-$E$10),$E$10+SQRT(T994*($G$10-$E$10)*($F$10-$E$10)),$G$10-SQRT((1-T994)*($G$10-$E$10)*($G$10-$F$10))))</f>
        <v>1.01477883478327</v>
      </c>
      <c r="G994" s="52" t="n">
        <f aca="false">IF($G$11=$E$11,$F$11,IF(U994&lt;($F$11-$E$11)/($G$11-$E$11),$E$11+SQRT(U994*($G$11-$E$11)*($F$11-$E$11)),$G$11-SQRT((1-U994)*($G$11-$E$11)*($G$11-$F$11))))</f>
        <v>0.10534695390988</v>
      </c>
      <c r="H994" s="53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-2029557669.56654</v>
      </c>
      <c r="I994" s="53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-65443196.4136394</v>
      </c>
      <c r="J994" s="53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148595471.770897</v>
      </c>
      <c r="K994" s="53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413373081.694598</v>
      </c>
      <c r="L994" s="53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509760675.740737</v>
      </c>
      <c r="M994" s="53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647488217.989522</v>
      </c>
      <c r="N994" s="53" t="n">
        <f aca="false">IF(COUNT('Business Case'!B11:G11)=0,"",H994+NPV(G994,I994:M994))</f>
        <v>-927160724.01728</v>
      </c>
      <c r="P994" s="54" t="n">
        <f aca="true">RAND()</f>
        <v>0.259930127397908</v>
      </c>
      <c r="Q994" s="54" t="n">
        <f aca="true">RAND()</f>
        <v>0.0206918845312614</v>
      </c>
      <c r="R994" s="54" t="n">
        <f aca="true">RAND()</f>
        <v>0.159063050294358</v>
      </c>
      <c r="S994" s="54" t="n">
        <f aca="true">RAND()</f>
        <v>0.307206927790515</v>
      </c>
      <c r="T994" s="54" t="n">
        <f aca="true">RAND()</f>
        <v>0.262280045787793</v>
      </c>
      <c r="U994" s="54" t="n">
        <f aca="true">RAND()</f>
        <v>0.59481821231893</v>
      </c>
    </row>
    <row r="995" customFormat="false" ht="15" hidden="false" customHeight="false" outlineLevel="0" collapsed="false">
      <c r="A995" s="50" t="n">
        <v>915</v>
      </c>
      <c r="B995" s="51" t="n">
        <f aca="false">1+IF($G$6=$E$6,$F$6,IF(P995&lt;($F$6-$E$6)/($G$6-$E$6),$E$6+SQRT(P995*($G$6-$E$6)*($F$6-$E$6)),$G$6-SQRT((1-P995)*($G$6-$E$6)*($G$6-$F$6))))</f>
        <v>1.02279208860768</v>
      </c>
      <c r="C995" s="51" t="n">
        <f aca="false">1+IF($G$7=$E$7,$F$7,IF(Q995&lt;($F$7-$E$7)/($G$7-$E$7),$E$7+SQRT(Q995*($G$7-$E$7)*($F$7-$E$7)),$G$7-SQRT((1-Q995)*($G$7-$E$7)*($G$7-$F$7))))</f>
        <v>0.796897612439695</v>
      </c>
      <c r="D995" s="51" t="n">
        <f aca="false">1+IF($G$8=$E$8,$F$8,IF(R995&lt;($F$8-$E$8)/($G$8-$E$8),$E$8+SQRT(R995*($G$8-$E$8)*($F$8-$E$8)),$G$8-SQRT((1-R995)*($G$8-$E$8)*($G$8-$F$8))))</f>
        <v>1.02473868950031</v>
      </c>
      <c r="E995" s="51" t="n">
        <f aca="false">1+IF($G$9=$E$9,$F$9,IF(S995&lt;($F$9-$E$9)/($G$9-$E$9),$E$9+SQRT(S995*($G$9-$E$9)*($F$9-$E$9)),$G$9-SQRT((1-S995)*($G$9-$E$9)*($G$9-$F$9))))</f>
        <v>0.935889290806724</v>
      </c>
      <c r="F995" s="51" t="n">
        <f aca="false">1+IF($G$10=$E$10,$F$10,IF(T995&lt;($F$10-$E$10)/($G$10-$E$10),$E$10+SQRT(T995*($G$10-$E$10)*($F$10-$E$10)),$G$10-SQRT((1-T995)*($G$10-$E$10)*($G$10-$F$10))))</f>
        <v>1.23926484323316</v>
      </c>
      <c r="G995" s="52" t="n">
        <f aca="false">IF($G$11=$E$11,$F$11,IF(U995&lt;($F$11-$E$11)/($G$11-$E$11),$E$11+SQRT(U995*($G$11-$E$11)*($F$11-$E$11)),$G$11-SQRT((1-U995)*($G$11-$E$11)*($G$11-$F$11))))</f>
        <v>0.11288099482597</v>
      </c>
      <c r="H995" s="53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-2478529686.46633</v>
      </c>
      <c r="I995" s="53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-49709307.9533099</v>
      </c>
      <c r="J995" s="53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199844065.696214</v>
      </c>
      <c r="K995" s="53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511360681.507396</v>
      </c>
      <c r="L995" s="53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622713632.808438</v>
      </c>
      <c r="M995" s="53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777640346.606709</v>
      </c>
      <c r="N995" s="53" t="n">
        <f aca="false">IF(COUNT('Business Case'!B11:G11)=0,"",H995+NPV(G995,I995:M995))</f>
        <v>-1129312876.55573</v>
      </c>
      <c r="P995" s="54" t="n">
        <f aca="true">RAND()</f>
        <v>0.901297274355653</v>
      </c>
      <c r="Q995" s="54" t="n">
        <f aca="true">RAND()</f>
        <v>0.0695492392334317</v>
      </c>
      <c r="R995" s="54" t="n">
        <f aca="true">RAND()</f>
        <v>0.622382342791284</v>
      </c>
      <c r="S995" s="54" t="n">
        <f aca="true">RAND()</f>
        <v>0.0515216477843851</v>
      </c>
      <c r="T995" s="54" t="n">
        <f aca="true">RAND()</f>
        <v>0.99846341878922</v>
      </c>
      <c r="U995" s="54" t="n">
        <f aca="true">RAND()</f>
        <v>0.804626441234358</v>
      </c>
    </row>
    <row r="996" customFormat="false" ht="15" hidden="false" customHeight="false" outlineLevel="0" collapsed="false">
      <c r="A996" s="50" t="n">
        <v>916</v>
      </c>
      <c r="B996" s="51" t="n">
        <f aca="false">1+IF($G$6=$E$6,$F$6,IF(P996&lt;($F$6-$E$6)/($G$6-$E$6),$E$6+SQRT(P996*($G$6-$E$6)*($F$6-$E$6)),$G$6-SQRT((1-P996)*($G$6-$E$6)*($G$6-$F$6))))</f>
        <v>0.971707830078044</v>
      </c>
      <c r="C996" s="51" t="n">
        <f aca="false">1+IF($G$7=$E$7,$F$7,IF(Q996&lt;($F$7-$E$7)/($G$7-$E$7),$E$7+SQRT(Q996*($G$7-$E$7)*($F$7-$E$7)),$G$7-SQRT((1-Q996)*($G$7-$E$7)*($G$7-$F$7))))</f>
        <v>1.00515022973045</v>
      </c>
      <c r="D996" s="51" t="n">
        <f aca="false">1+IF($G$8=$E$8,$F$8,IF(R996&lt;($F$8-$E$8)/($G$8-$E$8),$E$8+SQRT(R996*($G$8-$E$8)*($F$8-$E$8)),$G$8-SQRT((1-R996)*($G$8-$E$8)*($G$8-$F$8))))</f>
        <v>1.01180744475169</v>
      </c>
      <c r="E996" s="51" t="n">
        <f aca="false">1+IF($G$9=$E$9,$F$9,IF(S996&lt;($F$9-$E$9)/($G$9-$E$9),$E$9+SQRT(S996*($G$9-$E$9)*($F$9-$E$9)),$G$9-SQRT((1-S996)*($G$9-$E$9)*($G$9-$F$9))))</f>
        <v>0.988044951285388</v>
      </c>
      <c r="F996" s="51" t="n">
        <f aca="false">1+IF($G$10=$E$10,$F$10,IF(T996&lt;($F$10-$E$10)/($G$10-$E$10),$E$10+SQRT(T996*($G$10-$E$10)*($F$10-$E$10)),$G$10-SQRT((1-T996)*($G$10-$E$10)*($G$10-$F$10))))</f>
        <v>1.09355306185963</v>
      </c>
      <c r="G996" s="52" t="n">
        <f aca="false">IF($G$11=$E$11,$F$11,IF(U996&lt;($F$11-$E$11)/($G$11-$E$11),$E$11+SQRT(U996*($G$11-$E$11)*($F$11-$E$11)),$G$11-SQRT((1-U996)*($G$11-$E$11)*($G$11-$F$11))))</f>
        <v>0.101064869384142</v>
      </c>
      <c r="H996" s="53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-2187106123.71927</v>
      </c>
      <c r="I996" s="53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-21122432.7068676</v>
      </c>
      <c r="J996" s="53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258243200.998188</v>
      </c>
      <c r="K996" s="53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592286487.796225</v>
      </c>
      <c r="L996" s="53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719163544.466695</v>
      </c>
      <c r="M996" s="53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904817027.695013</v>
      </c>
      <c r="N996" s="53" t="n">
        <f aca="false">IF(COUNT('Business Case'!B11:G11)=0,"",H996+NPV(G996,I996:M996))</f>
        <v>-501164884.234525</v>
      </c>
      <c r="P996" s="54" t="n">
        <f aca="true">RAND()</f>
        <v>0.342800859633446</v>
      </c>
      <c r="Q996" s="54" t="n">
        <f aca="true">RAND()</f>
        <v>0.689163615597921</v>
      </c>
      <c r="R996" s="54" t="n">
        <f aca="true">RAND()</f>
        <v>0.481471546584904</v>
      </c>
      <c r="S996" s="54" t="n">
        <f aca="true">RAND()</f>
        <v>0.310076537873853</v>
      </c>
      <c r="T996" s="54" t="n">
        <f aca="true">RAND()</f>
        <v>0.673658073953393</v>
      </c>
      <c r="U996" s="54" t="n">
        <f aca="true">RAND()</f>
        <v>0.441838810828828</v>
      </c>
    </row>
    <row r="997" customFormat="false" ht="15" hidden="false" customHeight="false" outlineLevel="0" collapsed="false">
      <c r="A997" s="50" t="n">
        <v>917</v>
      </c>
      <c r="B997" s="51" t="n">
        <f aca="false">1+IF($G$6=$E$6,$F$6,IF(P997&lt;($F$6-$E$6)/($G$6-$E$6),$E$6+SQRT(P997*($G$6-$E$6)*($F$6-$E$6)),$G$6-SQRT((1-P997)*($G$6-$E$6)*($G$6-$F$6))))</f>
        <v>0.988394216142557</v>
      </c>
      <c r="C997" s="51" t="n">
        <f aca="false">1+IF($G$7=$E$7,$F$7,IF(Q997&lt;($F$7-$E$7)/($G$7-$E$7),$E$7+SQRT(Q997*($G$7-$E$7)*($F$7-$E$7)),$G$7-SQRT((1-Q997)*($G$7-$E$7)*($G$7-$F$7))))</f>
        <v>1.04019332158977</v>
      </c>
      <c r="D997" s="51" t="n">
        <f aca="false">1+IF($G$8=$E$8,$F$8,IF(R997&lt;($F$8-$E$8)/($G$8-$E$8),$E$8+SQRT(R997*($G$8-$E$8)*($F$8-$E$8)),$G$8-SQRT((1-R997)*($G$8-$E$8)*($G$8-$F$8))))</f>
        <v>1.06595618264588</v>
      </c>
      <c r="E997" s="51" t="n">
        <f aca="false">1+IF($G$9=$E$9,$F$9,IF(S997&lt;($F$9-$E$9)/($G$9-$E$9),$E$9+SQRT(S997*($G$9-$E$9)*($F$9-$E$9)),$G$9-SQRT((1-S997)*($G$9-$E$9)*($G$9-$F$9))))</f>
        <v>0.974336785455059</v>
      </c>
      <c r="F997" s="51" t="n">
        <f aca="false">1+IF($G$10=$E$10,$F$10,IF(T997&lt;($F$10-$E$10)/($G$10-$E$10),$E$10+SQRT(T997*($G$10-$E$10)*($F$10-$E$10)),$G$10-SQRT((1-T997)*($G$10-$E$10)*($G$10-$F$10))))</f>
        <v>1.16865733596148</v>
      </c>
      <c r="G997" s="52" t="n">
        <f aca="false">IF($G$11=$E$11,$F$11,IF(U997&lt;($F$11-$E$11)/($G$11-$E$11),$E$11+SQRT(U997*($G$11-$E$11)*($F$11-$E$11)),$G$11-SQRT((1-U997)*($G$11-$E$11)*($G$11-$F$11))))</f>
        <v>0.10257885317852</v>
      </c>
      <c r="H997" s="53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-2337314671.92295</v>
      </c>
      <c r="I997" s="53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-34226198.4229666</v>
      </c>
      <c r="J997" s="53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240261823.533818</v>
      </c>
      <c r="K997" s="53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573182712.288677</v>
      </c>
      <c r="L997" s="53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700210583.535534</v>
      </c>
      <c r="M997" s="53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895635835.139147</v>
      </c>
      <c r="N997" s="53" t="n">
        <f aca="false">IF(COUNT('Business Case'!B11:G11)=0,"",H997+NPV(G997,I997:M997))</f>
        <v>-719654248.354864</v>
      </c>
      <c r="P997" s="54" t="n">
        <f aca="true">RAND()</f>
        <v>0.52090249649714</v>
      </c>
      <c r="Q997" s="54" t="n">
        <f aca="true">RAND()</f>
        <v>0.821370272244642</v>
      </c>
      <c r="R997" s="54" t="n">
        <f aca="true">RAND()</f>
        <v>0.922734566663948</v>
      </c>
      <c r="S997" s="54" t="n">
        <f aca="true">RAND()</f>
        <v>0.221038306871661</v>
      </c>
      <c r="T997" s="54" t="n">
        <f aca="true">RAND()</f>
        <v>0.911778280094876</v>
      </c>
      <c r="U997" s="54" t="n">
        <f aca="true">RAND()</f>
        <v>0.498720471329875</v>
      </c>
    </row>
    <row r="998" customFormat="false" ht="15" hidden="false" customHeight="false" outlineLevel="0" collapsed="false">
      <c r="A998" s="50" t="n">
        <v>918</v>
      </c>
      <c r="B998" s="51" t="n">
        <f aca="false">1+IF($G$6=$E$6,$F$6,IF(P998&lt;($F$6-$E$6)/($G$6-$E$6),$E$6+SQRT(P998*($G$6-$E$6)*($F$6-$E$6)),$G$6-SQRT((1-P998)*($G$6-$E$6)*($G$6-$F$6))))</f>
        <v>0.987724125582049</v>
      </c>
      <c r="C998" s="51" t="n">
        <f aca="false">1+IF($G$7=$E$7,$F$7,IF(Q998&lt;($F$7-$E$7)/($G$7-$E$7),$E$7+SQRT(Q998*($G$7-$E$7)*($F$7-$E$7)),$G$7-SQRT((1-Q998)*($G$7-$E$7)*($G$7-$F$7))))</f>
        <v>0.937239766501734</v>
      </c>
      <c r="D998" s="51" t="n">
        <f aca="false">1+IF($G$8=$E$8,$F$8,IF(R998&lt;($F$8-$E$8)/($G$8-$E$8),$E$8+SQRT(R998*($G$8-$E$8)*($F$8-$E$8)),$G$8-SQRT((1-R998)*($G$8-$E$8)*($G$8-$F$8))))</f>
        <v>1.01769003708762</v>
      </c>
      <c r="E998" s="51" t="n">
        <f aca="false">1+IF($G$9=$E$9,$F$9,IF(S998&lt;($F$9-$E$9)/($G$9-$E$9),$E$9+SQRT(S998*($G$9-$E$9)*($F$9-$E$9)),$G$9-SQRT((1-S998)*($G$9-$E$9)*($G$9-$F$9))))</f>
        <v>0.998550780713165</v>
      </c>
      <c r="F998" s="51" t="n">
        <f aca="false">1+IF($G$10=$E$10,$F$10,IF(T998&lt;($F$10-$E$10)/($G$10-$E$10),$E$10+SQRT(T998*($G$10-$E$10)*($F$10-$E$10)),$G$10-SQRT((1-T998)*($G$10-$E$10)*($G$10-$F$10))))</f>
        <v>1.06452558110984</v>
      </c>
      <c r="G998" s="52" t="n">
        <f aca="false">IF($G$11=$E$11,$F$11,IF(U998&lt;($F$11-$E$11)/($G$11-$E$11),$E$11+SQRT(U998*($G$11-$E$11)*($F$11-$E$11)),$G$11-SQRT((1-U998)*($G$11-$E$11)*($G$11-$F$11))))</f>
        <v>0.101575541714474</v>
      </c>
      <c r="H998" s="53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-2129051162.21968</v>
      </c>
      <c r="I998" s="53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-26472794.2250596</v>
      </c>
      <c r="J998" s="53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243490958.284754</v>
      </c>
      <c r="K998" s="53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566680989.85006</v>
      </c>
      <c r="L998" s="53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688662285.757649</v>
      </c>
      <c r="M998" s="53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864625866.981399</v>
      </c>
      <c r="N998" s="53" t="n">
        <f aca="false">IF(COUNT('Business Case'!B11:G11)=0,"",H998+NPV(G998,I998:M998))</f>
        <v>-527777630.289884</v>
      </c>
      <c r="P998" s="54" t="n">
        <f aca="true">RAND()</f>
        <v>0.513034813942344</v>
      </c>
      <c r="Q998" s="54" t="n">
        <f aca="true">RAND()</f>
        <v>0.416908939331831</v>
      </c>
      <c r="R998" s="54" t="n">
        <f aca="true">RAND()</f>
        <v>0.548338000357494</v>
      </c>
      <c r="S998" s="54" t="n">
        <f aca="true">RAND()</f>
        <v>0.388490255166974</v>
      </c>
      <c r="T998" s="54" t="n">
        <f aca="true">RAND()</f>
        <v>0.541323199164777</v>
      </c>
      <c r="U998" s="54" t="n">
        <f aca="true">RAND()</f>
        <v>0.46136678078293</v>
      </c>
    </row>
    <row r="999" customFormat="false" ht="15" hidden="false" customHeight="false" outlineLevel="0" collapsed="false">
      <c r="A999" s="50" t="n">
        <v>919</v>
      </c>
      <c r="B999" s="51" t="n">
        <f aca="false">1+IF($G$6=$E$6,$F$6,IF(P999&lt;($F$6-$E$6)/($G$6-$E$6),$E$6+SQRT(P999*($G$6-$E$6)*($F$6-$E$6)),$G$6-SQRT((1-P999)*($G$6-$E$6)*($G$6-$F$6))))</f>
        <v>0.955984546188332</v>
      </c>
      <c r="C999" s="51" t="n">
        <f aca="false">1+IF($G$7=$E$7,$F$7,IF(Q999&lt;($F$7-$E$7)/($G$7-$E$7),$E$7+SQRT(Q999*($G$7-$E$7)*($F$7-$E$7)),$G$7-SQRT((1-Q999)*($G$7-$E$7)*($G$7-$F$7))))</f>
        <v>1.02996060673642</v>
      </c>
      <c r="D999" s="51" t="n">
        <f aca="false">1+IF($G$8=$E$8,$F$8,IF(R999&lt;($F$8-$E$8)/($G$8-$E$8),$E$8+SQRT(R999*($G$8-$E$8)*($F$8-$E$8)),$G$8-SQRT((1-R999)*($G$8-$E$8)*($G$8-$F$8))))</f>
        <v>1.02029451571478</v>
      </c>
      <c r="E999" s="51" t="n">
        <f aca="false">1+IF($G$9=$E$9,$F$9,IF(S999&lt;($F$9-$E$9)/($G$9-$E$9),$E$9+SQRT(S999*($G$9-$E$9)*($F$9-$E$9)),$G$9-SQRT((1-S999)*($G$9-$E$9)*($G$9-$F$9))))</f>
        <v>1.01388291330966</v>
      </c>
      <c r="F999" s="51" t="n">
        <f aca="false">1+IF($G$10=$E$10,$F$10,IF(T999&lt;($F$10-$E$10)/($G$10-$E$10),$E$10+SQRT(T999*($G$10-$E$10)*($F$10-$E$10)),$G$10-SQRT((1-T999)*($G$10-$E$10)*($G$10-$F$10))))</f>
        <v>1.01647788704283</v>
      </c>
      <c r="G999" s="52" t="n">
        <f aca="false">IF($G$11=$E$11,$F$11,IF(U999&lt;($F$11-$E$11)/($G$11-$E$11),$E$11+SQRT(U999*($G$11-$E$11)*($F$11-$E$11)),$G$11-SQRT((1-U999)*($G$11-$E$11)*($G$11-$F$11))))</f>
        <v>0.09532455649483</v>
      </c>
      <c r="H999" s="53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-2032955774.08565</v>
      </c>
      <c r="I999" s="53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-28342907.1113693</v>
      </c>
      <c r="J999" s="53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240179158.534047</v>
      </c>
      <c r="K999" s="53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559525118.531604</v>
      </c>
      <c r="L999" s="53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683061162.933322</v>
      </c>
      <c r="M999" s="53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870218953.459508</v>
      </c>
      <c r="N999" s="53" t="n">
        <f aca="false">IF(COUNT('Business Case'!B11:G11)=0,"",H999+NPV(G999,I999:M999))</f>
        <v>-406327376.023161</v>
      </c>
      <c r="P999" s="54" t="n">
        <f aca="true">RAND()</f>
        <v>0.208951294127566</v>
      </c>
      <c r="Q999" s="54" t="n">
        <f aca="true">RAND()</f>
        <v>0.786526578739431</v>
      </c>
      <c r="R999" s="54" t="n">
        <f aca="true">RAND()</f>
        <v>0.576469051657278</v>
      </c>
      <c r="S999" s="54" t="n">
        <f aca="true">RAND()</f>
        <v>0.505923698958278</v>
      </c>
      <c r="T999" s="54" t="n">
        <f aca="true">RAND()</f>
        <v>0.272898970133555</v>
      </c>
      <c r="U999" s="54" t="n">
        <f aca="true">RAND()</f>
        <v>0.234842031763237</v>
      </c>
    </row>
    <row r="1000" customFormat="false" ht="15" hidden="false" customHeight="false" outlineLevel="0" collapsed="false">
      <c r="A1000" s="50" t="n">
        <v>920</v>
      </c>
      <c r="B1000" s="51" t="n">
        <f aca="false">1+IF($G$6=$E$6,$F$6,IF(P1000&lt;($F$6-$E$6)/($G$6-$E$6),$E$6+SQRT(P1000*($G$6-$E$6)*($F$6-$E$6)),$G$6-SQRT((1-P1000)*($G$6-$E$6)*($G$6-$F$6))))</f>
        <v>1.00701745213879</v>
      </c>
      <c r="C1000" s="51" t="n">
        <f aca="false">1+IF($G$7=$E$7,$F$7,IF(Q1000&lt;($F$7-$E$7)/($G$7-$E$7),$E$7+SQRT(Q1000*($G$7-$E$7)*($F$7-$E$7)),$G$7-SQRT((1-Q1000)*($G$7-$E$7)*($G$7-$F$7))))</f>
        <v>0.900931914101701</v>
      </c>
      <c r="D1000" s="51" t="n">
        <f aca="false">1+IF($G$8=$E$8,$F$8,IF(R1000&lt;($F$8-$E$8)/($G$8-$E$8),$E$8+SQRT(R1000*($G$8-$E$8)*($F$8-$E$8)),$G$8-SQRT((1-R1000)*($G$8-$E$8)*($G$8-$F$8))))</f>
        <v>1.02155362492746</v>
      </c>
      <c r="E1000" s="51" t="n">
        <f aca="false">1+IF($G$9=$E$9,$F$9,IF(S1000&lt;($F$9-$E$9)/($G$9-$E$9),$E$9+SQRT(S1000*($G$9-$E$9)*($F$9-$E$9)),$G$9-SQRT((1-S1000)*($G$9-$E$9)*($G$9-$F$9))))</f>
        <v>1.08369930278962</v>
      </c>
      <c r="F1000" s="51" t="n">
        <f aca="false">1+IF($G$10=$E$10,$F$10,IF(T1000&lt;($F$10-$E$10)/($G$10-$E$10),$E$10+SQRT(T1000*($G$10-$E$10)*($F$10-$E$10)),$G$10-SQRT((1-T1000)*($G$10-$E$10)*($G$10-$F$10))))</f>
        <v>1.12189164350635</v>
      </c>
      <c r="G1000" s="52" t="n">
        <f aca="false">IF($G$11=$E$11,$F$11,IF(U1000&lt;($F$11-$E$11)/($G$11-$E$11),$E$11+SQRT(U1000*($G$11-$E$11)*($F$11-$E$11)),$G$11-SQRT((1-U1000)*($G$11-$E$11)*($G$11-$F$11))))</f>
        <v>0.101525224097483</v>
      </c>
      <c r="H1000" s="53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-2243783287.0127</v>
      </c>
      <c r="I1000" s="53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-41362487.4560661</v>
      </c>
      <c r="J1000" s="53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230598285.985316</v>
      </c>
      <c r="K1000" s="53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558653641.602015</v>
      </c>
      <c r="L1000" s="53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680661936.542562</v>
      </c>
      <c r="M1000" s="53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853112807.406369</v>
      </c>
      <c r="N1000" s="53" t="n">
        <f aca="false">IF(COUNT('Business Case'!B11:G11)=0,"",H1000+NPV(G1000,I1000:M1000))</f>
        <v>-684909702.476885</v>
      </c>
      <c r="P1000" s="54" t="n">
        <f aca="true">RAND()</f>
        <v>0.75366674391455</v>
      </c>
      <c r="Q1000" s="54" t="n">
        <f aca="true">RAND()</f>
        <v>0.299063956330172</v>
      </c>
      <c r="R1000" s="54" t="n">
        <f aca="true">RAND()</f>
        <v>0.589744415865185</v>
      </c>
      <c r="S1000" s="54" t="n">
        <f aca="true">RAND()</f>
        <v>0.882779134651127</v>
      </c>
      <c r="T1000" s="54" t="n">
        <f aca="true">RAND()</f>
        <v>0.781176653286608</v>
      </c>
      <c r="U1000" s="54" t="n">
        <f aca="true">RAND()</f>
        <v>0.459458091534303</v>
      </c>
    </row>
    <row r="1001" customFormat="false" ht="15" hidden="false" customHeight="false" outlineLevel="0" collapsed="false">
      <c r="A1001" s="50" t="n">
        <v>921</v>
      </c>
      <c r="B1001" s="51" t="n">
        <f aca="false">1+IF($G$6=$E$6,$F$6,IF(P1001&lt;($F$6-$E$6)/($G$6-$E$6),$E$6+SQRT(P1001*($G$6-$E$6)*($F$6-$E$6)),$G$6-SQRT((1-P1001)*($G$6-$E$6)*($G$6-$F$6))))</f>
        <v>0.960027860000206</v>
      </c>
      <c r="C1001" s="51" t="n">
        <f aca="false">1+IF($G$7=$E$7,$F$7,IF(Q1001&lt;($F$7-$E$7)/($G$7-$E$7),$E$7+SQRT(Q1001*($G$7-$E$7)*($F$7-$E$7)),$G$7-SQRT((1-Q1001)*($G$7-$E$7)*($G$7-$F$7))))</f>
        <v>0.954016421659186</v>
      </c>
      <c r="D1001" s="51" t="n">
        <f aca="false">1+IF($G$8=$E$8,$F$8,IF(R1001&lt;($F$8-$E$8)/($G$8-$E$8),$E$8+SQRT(R1001*($G$8-$E$8)*($F$8-$E$8)),$G$8-SQRT((1-R1001)*($G$8-$E$8)*($G$8-$F$8))))</f>
        <v>0.963740873107353</v>
      </c>
      <c r="E1001" s="51" t="n">
        <f aca="false">1+IF($G$9=$E$9,$F$9,IF(S1001&lt;($F$9-$E$9)/($G$9-$E$9),$E$9+SQRT(S1001*($G$9-$E$9)*($F$9-$E$9)),$G$9-SQRT((1-S1001)*($G$9-$E$9)*($G$9-$F$9))))</f>
        <v>0.952968100146526</v>
      </c>
      <c r="F1001" s="51" t="n">
        <f aca="false">1+IF($G$10=$E$10,$F$10,IF(T1001&lt;($F$10-$E$10)/($G$10-$E$10),$E$10+SQRT(T1001*($G$10-$E$10)*($F$10-$E$10)),$G$10-SQRT((1-T1001)*($G$10-$E$10)*($G$10-$F$10))))</f>
        <v>1.11604394697605</v>
      </c>
      <c r="G1001" s="52" t="n">
        <f aca="false">IF($G$11=$E$11,$F$11,IF(U1001&lt;($F$11-$E$11)/($G$11-$E$11),$E$11+SQRT(U1001*($G$11-$E$11)*($F$11-$E$11)),$G$11-SQRT((1-U1001)*($G$11-$E$11)*($G$11-$F$11))))</f>
        <v>0.108614697729734</v>
      </c>
      <c r="H1001" s="53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-2232087893.9521</v>
      </c>
      <c r="I1001" s="53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-15094067.2688517</v>
      </c>
      <c r="J1001" s="53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264407664.697654</v>
      </c>
      <c r="K1001" s="53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599711594.012963</v>
      </c>
      <c r="L1001" s="53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724531731.799743</v>
      </c>
      <c r="M1001" s="53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898622647.688437</v>
      </c>
      <c r="N1001" s="53" t="n">
        <f aca="false">IF(COUNT('Business Case'!B11:G11)=0,"",H1001+NPV(G1001,I1001:M1001))</f>
        <v>-574126861.030386</v>
      </c>
      <c r="P1001" s="54" t="n">
        <f aca="true">RAND()</f>
        <v>0.240222931746957</v>
      </c>
      <c r="Q1001" s="54" t="n">
        <f aca="true">RAND()</f>
        <v>0.477958092389164</v>
      </c>
      <c r="R1001" s="54" t="n">
        <f aca="true">RAND()</f>
        <v>0.0251748791669839</v>
      </c>
      <c r="S1001" s="54" t="n">
        <f aca="true">RAND()</f>
        <v>0.112224785325297</v>
      </c>
      <c r="T1001" s="54" t="n">
        <f aca="true">RAND()</f>
        <v>0.760743678109927</v>
      </c>
      <c r="U1001" s="54" t="n">
        <f aca="true">RAND()</f>
        <v>0.695112564539569</v>
      </c>
    </row>
    <row r="1002" customFormat="false" ht="15" hidden="false" customHeight="false" outlineLevel="0" collapsed="false">
      <c r="A1002" s="50" t="n">
        <v>922</v>
      </c>
      <c r="B1002" s="51" t="n">
        <f aca="false">1+IF($G$6=$E$6,$F$6,IF(P1002&lt;($F$6-$E$6)/($G$6-$E$6),$E$6+SQRT(P1002*($G$6-$E$6)*($F$6-$E$6)),$G$6-SQRT((1-P1002)*($G$6-$E$6)*($G$6-$F$6))))</f>
        <v>0.981263879605977</v>
      </c>
      <c r="C1002" s="51" t="n">
        <f aca="false">1+IF($G$7=$E$7,$F$7,IF(Q1002&lt;($F$7-$E$7)/($G$7-$E$7),$E$7+SQRT(Q1002*($G$7-$E$7)*($F$7-$E$7)),$G$7-SQRT((1-Q1002)*($G$7-$E$7)*($G$7-$F$7))))</f>
        <v>0.818068756665203</v>
      </c>
      <c r="D1002" s="51" t="n">
        <f aca="false">1+IF($G$8=$E$8,$F$8,IF(R1002&lt;($F$8-$E$8)/($G$8-$E$8),$E$8+SQRT(R1002*($G$8-$E$8)*($F$8-$E$8)),$G$8-SQRT((1-R1002)*($G$8-$E$8)*($G$8-$F$8))))</f>
        <v>1.00496713039896</v>
      </c>
      <c r="E1002" s="51" t="n">
        <f aca="false">1+IF($G$9=$E$9,$F$9,IF(S1002&lt;($F$9-$E$9)/($G$9-$E$9),$E$9+SQRT(S1002*($G$9-$E$9)*($F$9-$E$9)),$G$9-SQRT((1-S1002)*($G$9-$E$9)*($G$9-$F$9))))</f>
        <v>1.08901205234437</v>
      </c>
      <c r="F1002" s="51" t="n">
        <f aca="false">1+IF($G$10=$E$10,$F$10,IF(T1002&lt;($F$10-$E$10)/($G$10-$E$10),$E$10+SQRT(T1002*($G$10-$E$10)*($F$10-$E$10)),$G$10-SQRT((1-T1002)*($G$10-$E$10)*($G$10-$F$10))))</f>
        <v>0.998386263071149</v>
      </c>
      <c r="G1002" s="52" t="n">
        <f aca="false">IF($G$11=$E$11,$F$11,IF(U1002&lt;($F$11-$E$11)/($G$11-$E$11),$E$11+SQRT(U1002*($G$11-$E$11)*($F$11-$E$11)),$G$11-SQRT((1-U1002)*($G$11-$E$11)*($G$11-$F$11))))</f>
        <v>0.111781425874103</v>
      </c>
      <c r="H1002" s="53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-1996772526.1423</v>
      </c>
      <c r="I1002" s="53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-59673231.6091703</v>
      </c>
      <c r="J1002" s="53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176963787.062017</v>
      </c>
      <c r="K1002" s="53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463520118.886763</v>
      </c>
      <c r="L1002" s="53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570141865.197075</v>
      </c>
      <c r="M1002" s="53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722726935.673281</v>
      </c>
      <c r="N1002" s="53" t="n">
        <f aca="false">IF(COUNT('Business Case'!B11:G11)=0,"",H1002+NPV(G1002,I1002:M1002))</f>
        <v>-771336019.608021</v>
      </c>
      <c r="P1002" s="54" t="n">
        <f aca="true">RAND()</f>
        <v>0.440254541907651</v>
      </c>
      <c r="Q1002" s="54" t="n">
        <f aca="true">RAND()</f>
        <v>0.103260972596051</v>
      </c>
      <c r="R1002" s="54" t="n">
        <f aca="true">RAND()</f>
        <v>0.397916913026074</v>
      </c>
      <c r="S1002" s="54" t="n">
        <f aca="true">RAND()</f>
        <v>0.900812539753434</v>
      </c>
      <c r="T1002" s="54" t="n">
        <f aca="true">RAND()</f>
        <v>0.156082030266028</v>
      </c>
      <c r="U1002" s="54" t="n">
        <f aca="true">RAND()</f>
        <v>0.778722371212808</v>
      </c>
    </row>
    <row r="1003" customFormat="false" ht="15" hidden="false" customHeight="false" outlineLevel="0" collapsed="false">
      <c r="A1003" s="50" t="n">
        <v>923</v>
      </c>
      <c r="B1003" s="51" t="n">
        <f aca="false">1+IF($G$6=$E$6,$F$6,IF(P1003&lt;($F$6-$E$6)/($G$6-$E$6),$E$6+SQRT(P1003*($G$6-$E$6)*($F$6-$E$6)),$G$6-SQRT((1-P1003)*($G$6-$E$6)*($G$6-$F$6))))</f>
        <v>0.993906617312185</v>
      </c>
      <c r="C1003" s="51" t="n">
        <f aca="false">1+IF($G$7=$E$7,$F$7,IF(Q1003&lt;($F$7-$E$7)/($G$7-$E$7),$E$7+SQRT(Q1003*($G$7-$E$7)*($F$7-$E$7)),$G$7-SQRT((1-Q1003)*($G$7-$E$7)*($G$7-$F$7))))</f>
        <v>0.98640586182025</v>
      </c>
      <c r="D1003" s="51" t="n">
        <f aca="false">1+IF($G$8=$E$8,$F$8,IF(R1003&lt;($F$8-$E$8)/($G$8-$E$8),$E$8+SQRT(R1003*($G$8-$E$8)*($F$8-$E$8)),$G$8-SQRT((1-R1003)*($G$8-$E$8)*($G$8-$F$8))))</f>
        <v>1.06128744235469</v>
      </c>
      <c r="E1003" s="51" t="n">
        <f aca="false">1+IF($G$9=$E$9,$F$9,IF(S1003&lt;($F$9-$E$9)/($G$9-$E$9),$E$9+SQRT(S1003*($G$9-$E$9)*($F$9-$E$9)),$G$9-SQRT((1-S1003)*($G$9-$E$9)*($G$9-$F$9))))</f>
        <v>0.998218767111913</v>
      </c>
      <c r="F1003" s="51" t="n">
        <f aca="false">1+IF($G$10=$E$10,$F$10,IF(T1003&lt;($F$10-$E$10)/($G$10-$E$10),$E$10+SQRT(T1003*($G$10-$E$10)*($F$10-$E$10)),$G$10-SQRT((1-T1003)*($G$10-$E$10)*($G$10-$F$10))))</f>
        <v>1.11785393387419</v>
      </c>
      <c r="G1003" s="52" t="n">
        <f aca="false">IF($G$11=$E$11,$F$11,IF(U1003&lt;($F$11-$E$11)/($G$11-$E$11),$E$11+SQRT(U1003*($G$11-$E$11)*($F$11-$E$11)),$G$11-SQRT((1-U1003)*($G$11-$E$11)*($G$11-$F$11))))</f>
        <v>0.119866871343307</v>
      </c>
      <c r="H1003" s="53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-2235707867.74838</v>
      </c>
      <c r="I1003" s="53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-37450095.1115798</v>
      </c>
      <c r="J1003" s="53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229655604.895198</v>
      </c>
      <c r="K1003" s="53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552654001.595685</v>
      </c>
      <c r="L1003" s="53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675571696.963027</v>
      </c>
      <c r="M1003" s="53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861925238.137649</v>
      </c>
      <c r="N1003" s="53" t="n">
        <f aca="false">IF(COUNT('Business Case'!B11:G11)=0,"",H1003+NPV(G1003,I1003:M1003))</f>
        <v>-773604822.156722</v>
      </c>
      <c r="P1003" s="54" t="n">
        <f aca="true">RAND()</f>
        <v>0.587896851667812</v>
      </c>
      <c r="Q1003" s="54" t="n">
        <f aca="true">RAND()</f>
        <v>0.607617168037037</v>
      </c>
      <c r="R1003" s="54" t="n">
        <f aca="true">RAND()</f>
        <v>0.900089192037223</v>
      </c>
      <c r="S1003" s="54" t="n">
        <f aca="true">RAND()</f>
        <v>0.385877048519369</v>
      </c>
      <c r="T1003" s="54" t="n">
        <f aca="true">RAND()</f>
        <v>0.767165562766314</v>
      </c>
      <c r="U1003" s="54" t="n">
        <f aca="true">RAND()</f>
        <v>0.931546469084602</v>
      </c>
    </row>
    <row r="1004" customFormat="false" ht="15" hidden="false" customHeight="false" outlineLevel="0" collapsed="false">
      <c r="A1004" s="50" t="n">
        <v>924</v>
      </c>
      <c r="B1004" s="51" t="n">
        <f aca="false">1+IF($G$6=$E$6,$F$6,IF(P1004&lt;($F$6-$E$6)/($G$6-$E$6),$E$6+SQRT(P1004*($G$6-$E$6)*($F$6-$E$6)),$G$6-SQRT((1-P1004)*($G$6-$E$6)*($G$6-$F$6))))</f>
        <v>0.960158411384822</v>
      </c>
      <c r="C1004" s="51" t="n">
        <f aca="false">1+IF($G$7=$E$7,$F$7,IF(Q1004&lt;($F$7-$E$7)/($G$7-$E$7),$E$7+SQRT(Q1004*($G$7-$E$7)*($F$7-$E$7)),$G$7-SQRT((1-Q1004)*($G$7-$E$7)*($G$7-$F$7))))</f>
        <v>0.890926455376743</v>
      </c>
      <c r="D1004" s="51" t="n">
        <f aca="false">1+IF($G$8=$E$8,$F$8,IF(R1004&lt;($F$8-$E$8)/($G$8-$E$8),$E$8+SQRT(R1004*($G$8-$E$8)*($F$8-$E$8)),$G$8-SQRT((1-R1004)*($G$8-$E$8)*($G$8-$F$8))))</f>
        <v>0.97298107509766</v>
      </c>
      <c r="E1004" s="51" t="n">
        <f aca="false">1+IF($G$9=$E$9,$F$9,IF(S1004&lt;($F$9-$E$9)/($G$9-$E$9),$E$9+SQRT(S1004*($G$9-$E$9)*($F$9-$E$9)),$G$9-SQRT((1-S1004)*($G$9-$E$9)*($G$9-$F$9))))</f>
        <v>1.06479516796925</v>
      </c>
      <c r="F1004" s="51" t="n">
        <f aca="false">1+IF($G$10=$E$10,$F$10,IF(T1004&lt;($F$10-$E$10)/($G$10-$E$10),$E$10+SQRT(T1004*($G$10-$E$10)*($F$10-$E$10)),$G$10-SQRT((1-T1004)*($G$10-$E$10)*($G$10-$F$10))))</f>
        <v>1.07013172710653</v>
      </c>
      <c r="G1004" s="52" t="n">
        <f aca="false">IF($G$11=$E$11,$F$11,IF(U1004&lt;($F$11-$E$11)/($G$11-$E$11),$E$11+SQRT(U1004*($G$11-$E$11)*($F$11-$E$11)),$G$11-SQRT((1-U1004)*($G$11-$E$11)*($G$11-$F$11))))</f>
        <v>0.0943385492233736</v>
      </c>
      <c r="H1004" s="53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-2140263454.21305</v>
      </c>
      <c r="I1004" s="53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-45873565.9514346</v>
      </c>
      <c r="J1004" s="53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211025432.371074</v>
      </c>
      <c r="K1004" s="53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521431017.04891</v>
      </c>
      <c r="L1004" s="53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636627695.608456</v>
      </c>
      <c r="M1004" s="53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799227930.761356</v>
      </c>
      <c r="N1004" s="53" t="n">
        <f aca="false">IF(COUNT('Business Case'!B11:G11)=0,"",H1004+NPV(G1004,I1004:M1004))</f>
        <v>-654980254.867526</v>
      </c>
      <c r="P1004" s="54" t="n">
        <f aca="true">RAND()</f>
        <v>0.241268964023031</v>
      </c>
      <c r="Q1004" s="54" t="n">
        <f aca="true">RAND()</f>
        <v>0.270021565649832</v>
      </c>
      <c r="R1004" s="54" t="n">
        <f aca="true">RAND()</f>
        <v>0.0704173083525733</v>
      </c>
      <c r="S1004" s="54" t="n">
        <f aca="true">RAND()</f>
        <v>0.806403642629638</v>
      </c>
      <c r="T1004" s="54" t="n">
        <f aca="true">RAND()</f>
        <v>0.568632058750914</v>
      </c>
      <c r="U1004" s="54" t="n">
        <f aca="true">RAND()</f>
        <v>0.205593993831107</v>
      </c>
    </row>
    <row r="1005" customFormat="false" ht="15" hidden="false" customHeight="false" outlineLevel="0" collapsed="false">
      <c r="A1005" s="50" t="n">
        <v>925</v>
      </c>
      <c r="B1005" s="51" t="n">
        <f aca="false">1+IF($G$6=$E$6,$F$6,IF(P1005&lt;($F$6-$E$6)/($G$6-$E$6),$E$6+SQRT(P1005*($G$6-$E$6)*($F$6-$E$6)),$G$6-SQRT((1-P1005)*($G$6-$E$6)*($G$6-$F$6))))</f>
        <v>1.03748449575569</v>
      </c>
      <c r="C1005" s="51" t="n">
        <f aca="false">1+IF($G$7=$E$7,$F$7,IF(Q1005&lt;($F$7-$E$7)/($G$7-$E$7),$E$7+SQRT(Q1005*($G$7-$E$7)*($F$7-$E$7)),$G$7-SQRT((1-Q1005)*($G$7-$E$7)*($G$7-$F$7))))</f>
        <v>1.06523769909576</v>
      </c>
      <c r="D1005" s="51" t="n">
        <f aca="false">1+IF($G$8=$E$8,$F$8,IF(R1005&lt;($F$8-$E$8)/($G$8-$E$8),$E$8+SQRT(R1005*($G$8-$E$8)*($F$8-$E$8)),$G$8-SQRT((1-R1005)*($G$8-$E$8)*($G$8-$F$8))))</f>
        <v>1.03901564149064</v>
      </c>
      <c r="E1005" s="51" t="n">
        <f aca="false">1+IF($G$9=$E$9,$F$9,IF(S1005&lt;($F$9-$E$9)/($G$9-$E$9),$E$9+SQRT(S1005*($G$9-$E$9)*($F$9-$E$9)),$G$9-SQRT((1-S1005)*($G$9-$E$9)*($G$9-$F$9))))</f>
        <v>0.981781906468179</v>
      </c>
      <c r="F1005" s="51" t="n">
        <f aca="false">1+IF($G$10=$E$10,$F$10,IF(T1005&lt;($F$10-$E$10)/($G$10-$E$10),$E$10+SQRT(T1005*($G$10-$E$10)*($F$10-$E$10)),$G$10-SQRT((1-T1005)*($G$10-$E$10)*($G$10-$F$10))))</f>
        <v>1.20621165019013</v>
      </c>
      <c r="G1005" s="52" t="n">
        <f aca="false">IF($G$11=$E$11,$F$11,IF(U1005&lt;($F$11-$E$11)/($G$11-$E$11),$E$11+SQRT(U1005*($G$11-$E$11)*($F$11-$E$11)),$G$11-SQRT((1-U1005)*($G$11-$E$11)*($G$11-$F$11))))</f>
        <v>0.108097212754466</v>
      </c>
      <c r="H1005" s="53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-2412423300.38026</v>
      </c>
      <c r="I1005" s="53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21097038.4265993</v>
      </c>
      <c r="J1005" s="53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359716517.205978</v>
      </c>
      <c r="K1005" s="53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758646578.494864</v>
      </c>
      <c r="L1005" s="53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909714330.243985</v>
      </c>
      <c r="M1005" s="53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1119784587.10196</v>
      </c>
      <c r="N1005" s="53" t="n">
        <f aca="false">IF(COUNT('Business Case'!B11:G11)=0,"",H1005+NPV(G1005,I1005:M1005))</f>
        <v>-269201827.383748</v>
      </c>
      <c r="P1005" s="54" t="n">
        <f aca="true">RAND()</f>
        <v>0.979114953801435</v>
      </c>
      <c r="Q1005" s="54" t="n">
        <f aca="true">RAND()</f>
        <v>0.8935607754877</v>
      </c>
      <c r="R1005" s="54" t="n">
        <f aca="true">RAND()</f>
        <v>0.752060534480162</v>
      </c>
      <c r="S1005" s="54" t="n">
        <f aca="true">RAND()</f>
        <v>0.267531209022798</v>
      </c>
      <c r="T1005" s="54" t="n">
        <f aca="true">RAND()</f>
        <v>0.974434405612377</v>
      </c>
      <c r="U1005" s="54" t="n">
        <f aca="true">RAND()</f>
        <v>0.680178607251259</v>
      </c>
    </row>
    <row r="1006" customFormat="false" ht="15" hidden="false" customHeight="false" outlineLevel="0" collapsed="false">
      <c r="A1006" s="50" t="n">
        <v>926</v>
      </c>
      <c r="B1006" s="51" t="n">
        <f aca="false">1+IF($G$6=$E$6,$F$6,IF(P1006&lt;($F$6-$E$6)/($G$6-$E$6),$E$6+SQRT(P1006*($G$6-$E$6)*($F$6-$E$6)),$G$6-SQRT((1-P1006)*($G$6-$E$6)*($G$6-$F$6))))</f>
        <v>0.963355303777217</v>
      </c>
      <c r="C1006" s="51" t="n">
        <f aca="false">1+IF($G$7=$E$7,$F$7,IF(Q1006&lt;($F$7-$E$7)/($G$7-$E$7),$E$7+SQRT(Q1006*($G$7-$E$7)*($F$7-$E$7)),$G$7-SQRT((1-Q1006)*($G$7-$E$7)*($G$7-$F$7))))</f>
        <v>0.909070739215904</v>
      </c>
      <c r="D1006" s="51" t="n">
        <f aca="false">1+IF($G$8=$E$8,$F$8,IF(R1006&lt;($F$8-$E$8)/($G$8-$E$8),$E$8+SQRT(R1006*($G$8-$E$8)*($F$8-$E$8)),$G$8-SQRT((1-R1006)*($G$8-$E$8)*($G$8-$F$8))))</f>
        <v>0.985849066292339</v>
      </c>
      <c r="E1006" s="51" t="n">
        <f aca="false">1+IF($G$9=$E$9,$F$9,IF(S1006&lt;($F$9-$E$9)/($G$9-$E$9),$E$9+SQRT(S1006*($G$9-$E$9)*($F$9-$E$9)),$G$9-SQRT((1-S1006)*($G$9-$E$9)*($G$9-$F$9))))</f>
        <v>1.01656838981579</v>
      </c>
      <c r="F1006" s="51" t="n">
        <f aca="false">1+IF($G$10=$E$10,$F$10,IF(T1006&lt;($F$10-$E$10)/($G$10-$E$10),$E$10+SQRT(T1006*($G$10-$E$10)*($F$10-$E$10)),$G$10-SQRT((1-T1006)*($G$10-$E$10)*($G$10-$F$10))))</f>
        <v>1.10634628034081</v>
      </c>
      <c r="G1006" s="52" t="n">
        <f aca="false">IF($G$11=$E$11,$F$11,IF(U1006&lt;($F$11-$E$11)/($G$11-$E$11),$E$11+SQRT(U1006*($G$11-$E$11)*($F$11-$E$11)),$G$11-SQRT((1-U1006)*($G$11-$E$11)*($G$11-$F$11))))</f>
        <v>0.104767968027941</v>
      </c>
      <c r="H1006" s="53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-2212692560.68161</v>
      </c>
      <c r="I1006" s="53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-42067052.2500753</v>
      </c>
      <c r="J1006" s="53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216455849.409715</v>
      </c>
      <c r="K1006" s="53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530296065.086545</v>
      </c>
      <c r="L1006" s="53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646736566.202461</v>
      </c>
      <c r="M1006" s="53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813200669.297052</v>
      </c>
      <c r="N1006" s="53" t="n">
        <f aca="false">IF(COUNT('Business Case'!B11:G11)=0,"",H1006+NPV(G1006,I1006:M1006))</f>
        <v>-751854308.445294</v>
      </c>
      <c r="P1006" s="54" t="n">
        <f aca="true">RAND()</f>
        <v>0.26759296778023</v>
      </c>
      <c r="Q1006" s="54" t="n">
        <f aca="true">RAND()</f>
        <v>0.323782029602109</v>
      </c>
      <c r="R1006" s="54" t="n">
        <f aca="true">RAND()</f>
        <v>0.171354073871001</v>
      </c>
      <c r="S1006" s="54" t="n">
        <f aca="true">RAND()</f>
        <v>0.525226810763979</v>
      </c>
      <c r="T1006" s="54" t="n">
        <f aca="true">RAND()</f>
        <v>0.724848117707699</v>
      </c>
      <c r="U1006" s="54" t="n">
        <f aca="true">RAND()</f>
        <v>0.575563041707337</v>
      </c>
    </row>
    <row r="1007" customFormat="false" ht="15" hidden="false" customHeight="false" outlineLevel="0" collapsed="false">
      <c r="A1007" s="50" t="n">
        <v>927</v>
      </c>
      <c r="B1007" s="51" t="n">
        <f aca="false">1+IF($G$6=$E$6,$F$6,IF(P1007&lt;($F$6-$E$6)/($G$6-$E$6),$E$6+SQRT(P1007*($G$6-$E$6)*($F$6-$E$6)),$G$6-SQRT((1-P1007)*($G$6-$E$6)*($G$6-$F$6))))</f>
        <v>0.939763114930422</v>
      </c>
      <c r="C1007" s="51" t="n">
        <f aca="false">1+IF($G$7=$E$7,$F$7,IF(Q1007&lt;($F$7-$E$7)/($G$7-$E$7),$E$7+SQRT(Q1007*($G$7-$E$7)*($F$7-$E$7)),$G$7-SQRT((1-Q1007)*($G$7-$E$7)*($G$7-$F$7))))</f>
        <v>0.878826443283852</v>
      </c>
      <c r="D1007" s="51" t="n">
        <f aca="false">1+IF($G$8=$E$8,$F$8,IF(R1007&lt;($F$8-$E$8)/($G$8-$E$8),$E$8+SQRT(R1007*($G$8-$E$8)*($F$8-$E$8)),$G$8-SQRT((1-R1007)*($G$8-$E$8)*($G$8-$F$8))))</f>
        <v>1.05395580900875</v>
      </c>
      <c r="E1007" s="51" t="n">
        <f aca="false">1+IF($G$9=$E$9,$F$9,IF(S1007&lt;($F$9-$E$9)/($G$9-$E$9),$E$9+SQRT(S1007*($G$9-$E$9)*($F$9-$E$9)),$G$9-SQRT((1-S1007)*($G$9-$E$9)*($G$9-$F$9))))</f>
        <v>1.1014792578419</v>
      </c>
      <c r="F1007" s="51" t="n">
        <f aca="false">1+IF($G$10=$E$10,$F$10,IF(T1007&lt;($F$10-$E$10)/($G$10-$E$10),$E$10+SQRT(T1007*($G$10-$E$10)*($F$10-$E$10)),$G$10-SQRT((1-T1007)*($G$10-$E$10)*($G$10-$F$10))))</f>
        <v>1.02350088987877</v>
      </c>
      <c r="G1007" s="52" t="n">
        <f aca="false">IF($G$11=$E$11,$F$11,IF(U1007&lt;($F$11-$E$11)/($G$11-$E$11),$E$11+SQRT(U1007*($G$11-$E$11)*($F$11-$E$11)),$G$11-SQRT((1-U1007)*($G$11-$E$11)*($G$11-$F$11))))</f>
        <v>0.106805842292333</v>
      </c>
      <c r="H1007" s="53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-2047001779.75754</v>
      </c>
      <c r="I1007" s="53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-99495167.7095294</v>
      </c>
      <c r="J1007" s="53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102804172.988634</v>
      </c>
      <c r="K1007" s="53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356278558.180736</v>
      </c>
      <c r="L1007" s="53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452254384.383256</v>
      </c>
      <c r="M1007" s="53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609239303.883816</v>
      </c>
      <c r="N1007" s="53" t="n">
        <f aca="false">IF(COUNT('Business Case'!B11:G11)=0,"",H1007+NPV(G1007,I1007:M1007))</f>
        <v>-1122036468.50425</v>
      </c>
      <c r="P1007" s="54" t="n">
        <f aca="true">RAND()</f>
        <v>0.105407020597995</v>
      </c>
      <c r="Q1007" s="54" t="n">
        <f aca="true">RAND()</f>
        <v>0.236880717167056</v>
      </c>
      <c r="R1007" s="54" t="n">
        <f aca="true">RAND()</f>
        <v>0.85866216506408</v>
      </c>
      <c r="S1007" s="54" t="n">
        <f aca="true">RAND()</f>
        <v>0.937219668811379</v>
      </c>
      <c r="T1007" s="54" t="n">
        <f aca="true">RAND()</f>
        <v>0.31597537485721</v>
      </c>
      <c r="U1007" s="54" t="n">
        <f aca="true">RAND()</f>
        <v>0.641354032154589</v>
      </c>
    </row>
    <row r="1008" customFormat="false" ht="15" hidden="false" customHeight="false" outlineLevel="0" collapsed="false">
      <c r="A1008" s="50" t="n">
        <v>928</v>
      </c>
      <c r="B1008" s="51" t="n">
        <f aca="false">1+IF($G$6=$E$6,$F$6,IF(P1008&lt;($F$6-$E$6)/($G$6-$E$6),$E$6+SQRT(P1008*($G$6-$E$6)*($F$6-$E$6)),$G$6-SQRT((1-P1008)*($G$6-$E$6)*($G$6-$F$6))))</f>
        <v>0.928463543925826</v>
      </c>
      <c r="C1008" s="51" t="n">
        <f aca="false">1+IF($G$7=$E$7,$F$7,IF(Q1008&lt;($F$7-$E$7)/($G$7-$E$7),$E$7+SQRT(Q1008*($G$7-$E$7)*($F$7-$E$7)),$G$7-SQRT((1-Q1008)*($G$7-$E$7)*($G$7-$F$7))))</f>
        <v>0.846615747120437</v>
      </c>
      <c r="D1008" s="51" t="n">
        <f aca="false">1+IF($G$8=$E$8,$F$8,IF(R1008&lt;($F$8-$E$8)/($G$8-$E$8),$E$8+SQRT(R1008*($G$8-$E$8)*($F$8-$E$8)),$G$8-SQRT((1-R1008)*($G$8-$E$8)*($G$8-$F$8))))</f>
        <v>1.06136338013882</v>
      </c>
      <c r="E1008" s="51" t="n">
        <f aca="false">1+IF($G$9=$E$9,$F$9,IF(S1008&lt;($F$9-$E$9)/($G$9-$E$9),$E$9+SQRT(S1008*($G$9-$E$9)*($F$9-$E$9)),$G$9-SQRT((1-S1008)*($G$9-$E$9)*($G$9-$F$9))))</f>
        <v>0.982073613114376</v>
      </c>
      <c r="F1008" s="51" t="n">
        <f aca="false">1+IF($G$10=$E$10,$F$10,IF(T1008&lt;($F$10-$E$10)/($G$10-$E$10),$E$10+SQRT(T1008*($G$10-$E$10)*($F$10-$E$10)),$G$10-SQRT((1-T1008)*($G$10-$E$10)*($G$10-$F$10))))</f>
        <v>1.00402543475963</v>
      </c>
      <c r="G1008" s="52" t="n">
        <f aca="false">IF($G$11=$E$11,$F$11,IF(U1008&lt;($F$11-$E$11)/($G$11-$E$11),$E$11+SQRT(U1008*($G$11-$E$11)*($F$11-$E$11)),$G$11-SQRT((1-U1008)*($G$11-$E$11)*($G$11-$F$11))))</f>
        <v>0.0905142533112299</v>
      </c>
      <c r="H1008" s="53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-2008050869.51927</v>
      </c>
      <c r="I1008" s="53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-96963666.5540075</v>
      </c>
      <c r="J1008" s="53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86875006.4152783</v>
      </c>
      <c r="K1008" s="53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320914951.122546</v>
      </c>
      <c r="L1008" s="53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409360460.953952</v>
      </c>
      <c r="M1008" s="53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558773197.916327</v>
      </c>
      <c r="N1008" s="53" t="n">
        <f aca="false">IF(COUNT('Business Case'!B11:G11)=0,"",H1008+NPV(G1008,I1008:M1008))</f>
        <v>-1124696192.33075</v>
      </c>
      <c r="P1008" s="54" t="n">
        <f aca="true">RAND()</f>
        <v>0.0540115555211613</v>
      </c>
      <c r="Q1008" s="54" t="n">
        <f aca="true">RAND()</f>
        <v>0.15923094299025</v>
      </c>
      <c r="R1008" s="54" t="n">
        <f aca="true">RAND()</f>
        <v>0.900480773713501</v>
      </c>
      <c r="S1008" s="54" t="n">
        <f aca="true">RAND()</f>
        <v>0.269443118785928</v>
      </c>
      <c r="T1008" s="54" t="n">
        <f aca="true">RAND()</f>
        <v>0.193286843397499</v>
      </c>
      <c r="U1008" s="54" t="n">
        <f aca="true">RAND()</f>
        <v>0.110549522692708</v>
      </c>
    </row>
    <row r="1009" customFormat="false" ht="15" hidden="false" customHeight="false" outlineLevel="0" collapsed="false">
      <c r="A1009" s="50" t="n">
        <v>929</v>
      </c>
      <c r="B1009" s="51" t="n">
        <f aca="false">1+IF($G$6=$E$6,$F$6,IF(P1009&lt;($F$6-$E$6)/($G$6-$E$6),$E$6+SQRT(P1009*($G$6-$E$6)*($F$6-$E$6)),$G$6-SQRT((1-P1009)*($G$6-$E$6)*($G$6-$F$6))))</f>
        <v>0.987424305745653</v>
      </c>
      <c r="C1009" s="51" t="n">
        <f aca="false">1+IF($G$7=$E$7,$F$7,IF(Q1009&lt;($F$7-$E$7)/($G$7-$E$7),$E$7+SQRT(Q1009*($G$7-$E$7)*($F$7-$E$7)),$G$7-SQRT((1-Q1009)*($G$7-$E$7)*($G$7-$F$7))))</f>
        <v>1.05541067758167</v>
      </c>
      <c r="D1009" s="51" t="n">
        <f aca="false">1+IF($G$8=$E$8,$F$8,IF(R1009&lt;($F$8-$E$8)/($G$8-$E$8),$E$8+SQRT(R1009*($G$8-$E$8)*($F$8-$E$8)),$G$8-SQRT((1-R1009)*($G$8-$E$8)*($G$8-$F$8))))</f>
        <v>1.04862311796819</v>
      </c>
      <c r="E1009" s="51" t="n">
        <f aca="false">1+IF($G$9=$E$9,$F$9,IF(S1009&lt;($F$9-$E$9)/($G$9-$E$9),$E$9+SQRT(S1009*($G$9-$E$9)*($F$9-$E$9)),$G$9-SQRT((1-S1009)*($G$9-$E$9)*($G$9-$F$9))))</f>
        <v>1.06545047470072</v>
      </c>
      <c r="F1009" s="51" t="n">
        <f aca="false">1+IF($G$10=$E$10,$F$10,IF(T1009&lt;($F$10-$E$10)/($G$10-$E$10),$E$10+SQRT(T1009*($G$10-$E$10)*($F$10-$E$10)),$G$10-SQRT((1-T1009)*($G$10-$E$10)*($G$10-$F$10))))</f>
        <v>1.05231940532868</v>
      </c>
      <c r="G1009" s="52" t="n">
        <f aca="false">IF($G$11=$E$11,$F$11,IF(U1009&lt;($F$11-$E$11)/($G$11-$E$11),$E$11+SQRT(U1009*($G$11-$E$11)*($F$11-$E$11)),$G$11-SQRT((1-U1009)*($G$11-$E$11)*($G$11-$F$11))))</f>
        <v>0.0961838556955312</v>
      </c>
      <c r="H1009" s="53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-2104638810.65736</v>
      </c>
      <c r="I1009" s="53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-23733472.5615231</v>
      </c>
      <c r="J1009" s="53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263296494.897927</v>
      </c>
      <c r="K1009" s="53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602942432.623812</v>
      </c>
      <c r="L1009" s="53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734635383.100737</v>
      </c>
      <c r="M1009" s="53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932725003.714833</v>
      </c>
      <c r="N1009" s="53" t="n">
        <f aca="false">IF(COUNT('Business Case'!B11:G11)=0,"",H1009+NPV(G1009,I1009:M1009))</f>
        <v>-351334709.200667</v>
      </c>
      <c r="P1009" s="54" t="n">
        <f aca="true">RAND()</f>
        <v>0.509533949007299</v>
      </c>
      <c r="Q1009" s="54" t="n">
        <f aca="true">RAND()</f>
        <v>0.867449779028748</v>
      </c>
      <c r="R1009" s="54" t="n">
        <f aca="true">RAND()</f>
        <v>0.824027732845969</v>
      </c>
      <c r="S1009" s="54" t="n">
        <f aca="true">RAND()</f>
        <v>0.809370073911114</v>
      </c>
      <c r="T1009" s="54" t="n">
        <f aca="true">RAND()</f>
        <v>0.47896509987191</v>
      </c>
      <c r="U1009" s="54" t="n">
        <f aca="true">RAND()</f>
        <v>0.261917185173777</v>
      </c>
    </row>
    <row r="1010" customFormat="false" ht="15" hidden="false" customHeight="false" outlineLevel="0" collapsed="false">
      <c r="A1010" s="50" t="n">
        <v>930</v>
      </c>
      <c r="B1010" s="51" t="n">
        <f aca="false">1+IF($G$6=$E$6,$F$6,IF(P1010&lt;($F$6-$E$6)/($G$6-$E$6),$E$6+SQRT(P1010*($G$6-$E$6)*($F$6-$E$6)),$G$6-SQRT((1-P1010)*($G$6-$E$6)*($G$6-$F$6))))</f>
        <v>0.971888528143288</v>
      </c>
      <c r="C1010" s="51" t="n">
        <f aca="false">1+IF($G$7=$E$7,$F$7,IF(Q1010&lt;($F$7-$E$7)/($G$7-$E$7),$E$7+SQRT(Q1010*($G$7-$E$7)*($F$7-$E$7)),$G$7-SQRT((1-Q1010)*($G$7-$E$7)*($G$7-$F$7))))</f>
        <v>0.963646774290147</v>
      </c>
      <c r="D1010" s="51" t="n">
        <f aca="false">1+IF($G$8=$E$8,$F$8,IF(R1010&lt;($F$8-$E$8)/($G$8-$E$8),$E$8+SQRT(R1010*($G$8-$E$8)*($F$8-$E$8)),$G$8-SQRT((1-R1010)*($G$8-$E$8)*($G$8-$F$8))))</f>
        <v>0.967556398939678</v>
      </c>
      <c r="E1010" s="51" t="n">
        <f aca="false">1+IF($G$9=$E$9,$F$9,IF(S1010&lt;($F$9-$E$9)/($G$9-$E$9),$E$9+SQRT(S1010*($G$9-$E$9)*($F$9-$E$9)),$G$9-SQRT((1-S1010)*($G$9-$E$9)*($G$9-$F$9))))</f>
        <v>0.980892305213113</v>
      </c>
      <c r="F1010" s="51" t="n">
        <f aca="false">1+IF($G$10=$E$10,$F$10,IF(T1010&lt;($F$10-$E$10)/($G$10-$E$10),$E$10+SQRT(T1010*($G$10-$E$10)*($F$10-$E$10)),$G$10-SQRT((1-T1010)*($G$10-$E$10)*($G$10-$F$10))))</f>
        <v>1.06852030028903</v>
      </c>
      <c r="G1010" s="52" t="n">
        <f aca="false">IF($G$11=$E$11,$F$11,IF(U1010&lt;($F$11-$E$11)/($G$11-$E$11),$E$11+SQRT(U1010*($G$11-$E$11)*($F$11-$E$11)),$G$11-SQRT((1-U1010)*($G$11-$E$11)*($G$11-$F$11))))</f>
        <v>0.105234540012972</v>
      </c>
      <c r="H1010" s="53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-2137040600.57807</v>
      </c>
      <c r="I1010" s="53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-5083529.56239705</v>
      </c>
      <c r="J1010" s="53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284718984.292169</v>
      </c>
      <c r="K1010" s="53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627947513.161187</v>
      </c>
      <c r="L1010" s="53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756915769.50388</v>
      </c>
      <c r="M1010" s="53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934936570.655316</v>
      </c>
      <c r="N1010" s="53" t="n">
        <f aca="false">IF(COUNT('Business Case'!B11:G11)=0,"",H1010+NPV(G1010,I1010:M1010))</f>
        <v>-369280626.824673</v>
      </c>
      <c r="P1010" s="54" t="n">
        <f aca="true">RAND()</f>
        <v>0.344530698573885</v>
      </c>
      <c r="Q1010" s="54" t="n">
        <f aca="true">RAND()</f>
        <v>0.514886085878517</v>
      </c>
      <c r="R1010" s="54" t="n">
        <f aca="true">RAND()</f>
        <v>0.0410969524972157</v>
      </c>
      <c r="S1010" s="54" t="n">
        <f aca="true">RAND()</f>
        <v>0.261742601707657</v>
      </c>
      <c r="T1010" s="54" t="n">
        <f aca="true">RAND()</f>
        <v>0.560868247904232</v>
      </c>
      <c r="U1010" s="54" t="n">
        <f aca="true">RAND()</f>
        <v>0.591114661087267</v>
      </c>
    </row>
    <row r="1011" customFormat="false" ht="15" hidden="false" customHeight="false" outlineLevel="0" collapsed="false">
      <c r="A1011" s="50" t="n">
        <v>931</v>
      </c>
      <c r="B1011" s="51" t="n">
        <f aca="false">1+IF($G$6=$E$6,$F$6,IF(P1011&lt;($F$6-$E$6)/($G$6-$E$6),$E$6+SQRT(P1011*($G$6-$E$6)*($F$6-$E$6)),$G$6-SQRT((1-P1011)*($G$6-$E$6)*($G$6-$F$6))))</f>
        <v>1.0103081557901</v>
      </c>
      <c r="C1011" s="51" t="n">
        <f aca="false">1+IF($G$7=$E$7,$F$7,IF(Q1011&lt;($F$7-$E$7)/($G$7-$E$7),$E$7+SQRT(Q1011*($G$7-$E$7)*($F$7-$E$7)),$G$7-SQRT((1-Q1011)*($G$7-$E$7)*($G$7-$F$7))))</f>
        <v>0.908881211186192</v>
      </c>
      <c r="D1011" s="51" t="n">
        <f aca="false">1+IF($G$8=$E$8,$F$8,IF(R1011&lt;($F$8-$E$8)/($G$8-$E$8),$E$8+SQRT(R1011*($G$8-$E$8)*($F$8-$E$8)),$G$8-SQRT((1-R1011)*($G$8-$E$8)*($G$8-$F$8))))</f>
        <v>1.00888939531989</v>
      </c>
      <c r="E1011" s="51" t="n">
        <f aca="false">1+IF($G$9=$E$9,$F$9,IF(S1011&lt;($F$9-$E$9)/($G$9-$E$9),$E$9+SQRT(S1011*($G$9-$E$9)*($F$9-$E$9)),$G$9-SQRT((1-S1011)*($G$9-$E$9)*($G$9-$F$9))))</f>
        <v>0.945491490531055</v>
      </c>
      <c r="F1011" s="51" t="n">
        <f aca="false">1+IF($G$10=$E$10,$F$10,IF(T1011&lt;($F$10-$E$10)/($G$10-$E$10),$E$10+SQRT(T1011*($G$10-$E$10)*($F$10-$E$10)),$G$10-SQRT((1-T1011)*($G$10-$E$10)*($G$10-$F$10))))</f>
        <v>1.06729935215922</v>
      </c>
      <c r="G1011" s="52" t="n">
        <f aca="false">IF($G$11=$E$11,$F$11,IF(U1011&lt;($F$11-$E$11)/($G$11-$E$11),$E$11+SQRT(U1011*($G$11-$E$11)*($F$11-$E$11)),$G$11-SQRT((1-U1011)*($G$11-$E$11)*($G$11-$F$11))))</f>
        <v>0.0949017848115044</v>
      </c>
      <c r="H1011" s="53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-2134598704.31845</v>
      </c>
      <c r="I1011" s="53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-6078442.53485391</v>
      </c>
      <c r="J1011" s="53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276624025.299583</v>
      </c>
      <c r="K1011" s="53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612691460.741981</v>
      </c>
      <c r="L1011" s="53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738660340.153362</v>
      </c>
      <c r="M1011" s="53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913201319.219488</v>
      </c>
      <c r="N1011" s="53" t="n">
        <f aca="false">IF(COUNT('Business Case'!B11:G11)=0,"",H1011+NPV(G1011,I1011:M1011))</f>
        <v>-348288536.845368</v>
      </c>
      <c r="P1011" s="54" t="n">
        <f aca="true">RAND()</f>
        <v>0.789941000428953</v>
      </c>
      <c r="Q1011" s="54" t="n">
        <f aca="true">RAND()</f>
        <v>0.323195262123042</v>
      </c>
      <c r="R1011" s="54" t="n">
        <f aca="true">RAND()</f>
        <v>0.446590514321624</v>
      </c>
      <c r="S1011" s="54" t="n">
        <f aca="true">RAND()</f>
        <v>0.0827790284294814</v>
      </c>
      <c r="T1011" s="54" t="n">
        <f aca="true">RAND()</f>
        <v>0.554939643714146</v>
      </c>
      <c r="U1011" s="54" t="n">
        <f aca="true">RAND()</f>
        <v>0.222063190568384</v>
      </c>
    </row>
    <row r="1012" customFormat="false" ht="15" hidden="false" customHeight="false" outlineLevel="0" collapsed="false">
      <c r="A1012" s="50" t="n">
        <v>932</v>
      </c>
      <c r="B1012" s="51" t="n">
        <f aca="false">1+IF($G$6=$E$6,$F$6,IF(P1012&lt;($F$6-$E$6)/($G$6-$E$6),$E$6+SQRT(P1012*($G$6-$E$6)*($F$6-$E$6)),$G$6-SQRT((1-P1012)*($G$6-$E$6)*($G$6-$F$6))))</f>
        <v>1.04427599720219</v>
      </c>
      <c r="C1012" s="51" t="n">
        <f aca="false">1+IF($G$7=$E$7,$F$7,IF(Q1012&lt;($F$7-$E$7)/($G$7-$E$7),$E$7+SQRT(Q1012*($G$7-$E$7)*($F$7-$E$7)),$G$7-SQRT((1-Q1012)*($G$7-$E$7)*($G$7-$F$7))))</f>
        <v>0.980849168844327</v>
      </c>
      <c r="D1012" s="51" t="n">
        <f aca="false">1+IF($G$8=$E$8,$F$8,IF(R1012&lt;($F$8-$E$8)/($G$8-$E$8),$E$8+SQRT(R1012*($G$8-$E$8)*($F$8-$E$8)),$G$8-SQRT((1-R1012)*($G$8-$E$8)*($G$8-$F$8))))</f>
        <v>0.998772458165317</v>
      </c>
      <c r="E1012" s="51" t="n">
        <f aca="false">1+IF($G$9=$E$9,$F$9,IF(S1012&lt;($F$9-$E$9)/($G$9-$E$9),$E$9+SQRT(S1012*($G$9-$E$9)*($F$9-$E$9)),$G$9-SQRT((1-S1012)*($G$9-$E$9)*($G$9-$F$9))))</f>
        <v>0.947633171243779</v>
      </c>
      <c r="F1012" s="51" t="n">
        <f aca="false">1+IF($G$10=$E$10,$F$10,IF(T1012&lt;($F$10-$E$10)/($G$10-$E$10),$E$10+SQRT(T1012*($G$10-$E$10)*($F$10-$E$10)),$G$10-SQRT((1-T1012)*($G$10-$E$10)*($G$10-$F$10))))</f>
        <v>1.01587384771899</v>
      </c>
      <c r="G1012" s="52" t="n">
        <f aca="false">IF($G$11=$E$11,$F$11,IF(U1012&lt;($F$11-$E$11)/($G$11-$E$11),$E$11+SQRT(U1012*($G$11-$E$11)*($F$11-$E$11)),$G$11-SQRT((1-U1012)*($G$11-$E$11)*($G$11-$F$11))))</f>
        <v>0.0848686069428849</v>
      </c>
      <c r="H1012" s="53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-2031747695.43798</v>
      </c>
      <c r="I1012" s="53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48017518.9263426</v>
      </c>
      <c r="J1012" s="53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385474391.899218</v>
      </c>
      <c r="K1012" s="53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773724957.258044</v>
      </c>
      <c r="L1012" s="53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921609603.131515</v>
      </c>
      <c r="M1012" s="53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1116304221.652</v>
      </c>
      <c r="N1012" s="53" t="n">
        <f aca="false">IF(COUNT('Business Case'!B11:G11)=0,"",H1012+NPV(G1012,I1012:M1012))</f>
        <v>354186393.328944</v>
      </c>
      <c r="P1012" s="54" t="n">
        <f aca="true">RAND()</f>
        <v>0.995631438929428</v>
      </c>
      <c r="Q1012" s="54" t="n">
        <f aca="true">RAND()</f>
        <v>0.584268560300364</v>
      </c>
      <c r="R1012" s="54" t="n">
        <f aca="true">RAND()</f>
        <v>0.31716702339835</v>
      </c>
      <c r="S1012" s="54" t="n">
        <f aca="true">RAND()</f>
        <v>0.0907567601095688</v>
      </c>
      <c r="T1012" s="54" t="n">
        <f aca="true">RAND()</f>
        <v>0.269132597574536</v>
      </c>
      <c r="U1012" s="54" t="n">
        <f aca="true">RAND()</f>
        <v>0.0237033335643074</v>
      </c>
    </row>
    <row r="1013" customFormat="false" ht="15" hidden="false" customHeight="false" outlineLevel="0" collapsed="false">
      <c r="A1013" s="50" t="n">
        <v>933</v>
      </c>
      <c r="B1013" s="51" t="n">
        <f aca="false">1+IF($G$6=$E$6,$F$6,IF(P1013&lt;($F$6-$E$6)/($G$6-$E$6),$E$6+SQRT(P1013*($G$6-$E$6)*($F$6-$E$6)),$G$6-SQRT((1-P1013)*($G$6-$E$6)*($G$6-$F$6))))</f>
        <v>0.994633765496071</v>
      </c>
      <c r="C1013" s="51" t="n">
        <f aca="false">1+IF($G$7=$E$7,$F$7,IF(Q1013&lt;($F$7-$E$7)/($G$7-$E$7),$E$7+SQRT(Q1013*($G$7-$E$7)*($F$7-$E$7)),$G$7-SQRT((1-Q1013)*($G$7-$E$7)*($G$7-$F$7))))</f>
        <v>1.01399501885279</v>
      </c>
      <c r="D1013" s="51" t="n">
        <f aca="false">1+IF($G$8=$E$8,$F$8,IF(R1013&lt;($F$8-$E$8)/($G$8-$E$8),$E$8+SQRT(R1013*($G$8-$E$8)*($F$8-$E$8)),$G$8-SQRT((1-R1013)*($G$8-$E$8)*($G$8-$F$8))))</f>
        <v>1.00256412244613</v>
      </c>
      <c r="E1013" s="51" t="n">
        <f aca="false">1+IF($G$9=$E$9,$F$9,IF(S1013&lt;($F$9-$E$9)/($G$9-$E$9),$E$9+SQRT(S1013*($G$9-$E$9)*($F$9-$E$9)),$G$9-SQRT((1-S1013)*($G$9-$E$9)*($G$9-$F$9))))</f>
        <v>1.09817845306282</v>
      </c>
      <c r="F1013" s="51" t="n">
        <f aca="false">1+IF($G$10=$E$10,$F$10,IF(T1013&lt;($F$10-$E$10)/($G$10-$E$10),$E$10+SQRT(T1013*($G$10-$E$10)*($F$10-$E$10)),$G$10-SQRT((1-T1013)*($G$10-$E$10)*($G$10-$F$10))))</f>
        <v>1.09862422758195</v>
      </c>
      <c r="G1013" s="52" t="n">
        <f aca="false">IF($G$11=$E$11,$F$11,IF(U1013&lt;($F$11-$E$11)/($G$11-$E$11),$E$11+SQRT(U1013*($G$11-$E$11)*($F$11-$E$11)),$G$11-SQRT((1-U1013)*($G$11-$E$11)*($G$11-$F$11))))</f>
        <v>0.112717170087862</v>
      </c>
      <c r="H1013" s="53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-2197248455.1639</v>
      </c>
      <c r="I1013" s="53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-12644064.6909383</v>
      </c>
      <c r="J1013" s="53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293018692.369826</v>
      </c>
      <c r="K1013" s="53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653612660.809688</v>
      </c>
      <c r="L1013" s="53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790355861.808593</v>
      </c>
      <c r="M1013" s="53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982061746.024501</v>
      </c>
      <c r="N1013" s="53" t="n">
        <f aca="false">IF(COUNT('Business Case'!B11:G11)=0,"",H1013+NPV(G1013,I1013:M1013))</f>
        <v>-406238030.861233</v>
      </c>
      <c r="P1013" s="54" t="n">
        <f aca="true">RAND()</f>
        <v>0.597036638131028</v>
      </c>
      <c r="Q1013" s="54" t="n">
        <f aca="true">RAND()</f>
        <v>0.725965112639227</v>
      </c>
      <c r="R1013" s="54" t="n">
        <f aca="true">RAND()</f>
        <v>0.367083317687143</v>
      </c>
      <c r="S1013" s="54" t="n">
        <f aca="true">RAND()</f>
        <v>0.928387393947665</v>
      </c>
      <c r="T1013" s="54" t="n">
        <f aca="true">RAND()</f>
        <v>0.694471673664517</v>
      </c>
      <c r="U1013" s="54" t="n">
        <f aca="true">RAND()</f>
        <v>0.800869193485396</v>
      </c>
    </row>
    <row r="1014" customFormat="false" ht="15" hidden="false" customHeight="false" outlineLevel="0" collapsed="false">
      <c r="A1014" s="50" t="n">
        <v>934</v>
      </c>
      <c r="B1014" s="51" t="n">
        <f aca="false">1+IF($G$6=$E$6,$F$6,IF(P1014&lt;($F$6-$E$6)/($G$6-$E$6),$E$6+SQRT(P1014*($G$6-$E$6)*($F$6-$E$6)),$G$6-SQRT((1-P1014)*($G$6-$E$6)*($G$6-$F$6))))</f>
        <v>0.973105213357832</v>
      </c>
      <c r="C1014" s="51" t="n">
        <f aca="false">1+IF($G$7=$E$7,$F$7,IF(Q1014&lt;($F$7-$E$7)/($G$7-$E$7),$E$7+SQRT(Q1014*($G$7-$E$7)*($F$7-$E$7)),$G$7-SQRT((1-Q1014)*($G$7-$E$7)*($G$7-$F$7))))</f>
        <v>0.715464594954489</v>
      </c>
      <c r="D1014" s="51" t="n">
        <f aca="false">1+IF($G$8=$E$8,$F$8,IF(R1014&lt;($F$8-$E$8)/($G$8-$E$8),$E$8+SQRT(R1014*($G$8-$E$8)*($F$8-$E$8)),$G$8-SQRT((1-R1014)*($G$8-$E$8)*($G$8-$F$8))))</f>
        <v>1.07285987915862</v>
      </c>
      <c r="E1014" s="51" t="n">
        <f aca="false">1+IF($G$9=$E$9,$F$9,IF(S1014&lt;($F$9-$E$9)/($G$9-$E$9),$E$9+SQRT(S1014*($G$9-$E$9)*($F$9-$E$9)),$G$9-SQRT((1-S1014)*($G$9-$E$9)*($G$9-$F$9))))</f>
        <v>0.96168269143008</v>
      </c>
      <c r="F1014" s="51" t="n">
        <f aca="false">1+IF($G$10=$E$10,$F$10,IF(T1014&lt;($F$10-$E$10)/($G$10-$E$10),$E$10+SQRT(T1014*($G$10-$E$10)*($F$10-$E$10)),$G$10-SQRT((1-T1014)*($G$10-$E$10)*($G$10-$F$10))))</f>
        <v>1.03273453180392</v>
      </c>
      <c r="G1014" s="52" t="n">
        <f aca="false">IF($G$11=$E$11,$F$11,IF(U1014&lt;($F$11-$E$11)/($G$11-$E$11),$E$11+SQRT(U1014*($G$11-$E$11)*($F$11-$E$11)),$G$11-SQRT((1-U1014)*($G$11-$E$11)*($G$11-$F$11))))</f>
        <v>0.105191736688181</v>
      </c>
      <c r="H1014" s="53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-2065469063.60784</v>
      </c>
      <c r="I1014" s="53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-98807024.353426</v>
      </c>
      <c r="J1014" s="53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78502848.6433304</v>
      </c>
      <c r="K1014" s="53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307449448.230283</v>
      </c>
      <c r="L1014" s="53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390614182.86149</v>
      </c>
      <c r="M1014" s="53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522952122.839077</v>
      </c>
      <c r="N1014" s="53" t="n">
        <f aca="false">IF(COUNT('Business Case'!B11:G11)=0,"",H1014+NPV(G1014,I1014:M1014))</f>
        <v>-1283876703.68233</v>
      </c>
      <c r="P1014" s="54" t="n">
        <f aca="true">RAND()</f>
        <v>0.356291481339609</v>
      </c>
      <c r="Q1014" s="54" t="n">
        <f aca="true">RAND()</f>
        <v>0.00177150886745489</v>
      </c>
      <c r="R1014" s="54" t="n">
        <f aca="true">RAND()</f>
        <v>0.950894256047669</v>
      </c>
      <c r="S1014" s="54" t="n">
        <f aca="true">RAND()</f>
        <v>0.152190176882338</v>
      </c>
      <c r="T1014" s="54" t="n">
        <f aca="true">RAND()</f>
        <v>0.370609551060521</v>
      </c>
      <c r="U1014" s="54" t="n">
        <f aca="true">RAND()</f>
        <v>0.589700047634303</v>
      </c>
    </row>
    <row r="1015" customFormat="false" ht="15" hidden="false" customHeight="false" outlineLevel="0" collapsed="false">
      <c r="A1015" s="50" t="n">
        <v>935</v>
      </c>
      <c r="B1015" s="51" t="n">
        <f aca="false">1+IF($G$6=$E$6,$F$6,IF(P1015&lt;($F$6-$E$6)/($G$6-$E$6),$E$6+SQRT(P1015*($G$6-$E$6)*($F$6-$E$6)),$G$6-SQRT((1-P1015)*($G$6-$E$6)*($G$6-$F$6))))</f>
        <v>1.02784738993898</v>
      </c>
      <c r="C1015" s="51" t="n">
        <f aca="false">1+IF($G$7=$E$7,$F$7,IF(Q1015&lt;($F$7-$E$7)/($G$7-$E$7),$E$7+SQRT(Q1015*($G$7-$E$7)*($F$7-$E$7)),$G$7-SQRT((1-Q1015)*($G$7-$E$7)*($G$7-$F$7))))</f>
        <v>0.950424648150841</v>
      </c>
      <c r="D1015" s="51" t="n">
        <f aca="false">1+IF($G$8=$E$8,$F$8,IF(R1015&lt;($F$8-$E$8)/($G$8-$E$8),$E$8+SQRT(R1015*($G$8-$E$8)*($F$8-$E$8)),$G$8-SQRT((1-R1015)*($G$8-$E$8)*($G$8-$F$8))))</f>
        <v>1.05831322341271</v>
      </c>
      <c r="E1015" s="51" t="n">
        <f aca="false">1+IF($G$9=$E$9,$F$9,IF(S1015&lt;($F$9-$E$9)/($G$9-$E$9),$E$9+SQRT(S1015*($G$9-$E$9)*($F$9-$E$9)),$G$9-SQRT((1-S1015)*($G$9-$E$9)*($G$9-$F$9))))</f>
        <v>1.01034476634229</v>
      </c>
      <c r="F1015" s="51" t="n">
        <f aca="false">1+IF($G$10=$E$10,$F$10,IF(T1015&lt;($F$10-$E$10)/($G$10-$E$10),$E$10+SQRT(T1015*($G$10-$E$10)*($F$10-$E$10)),$G$10-SQRT((1-T1015)*($G$10-$E$10)*($G$10-$F$10))))</f>
        <v>1.04973251399161</v>
      </c>
      <c r="G1015" s="52" t="n">
        <f aca="false">IF($G$11=$E$11,$F$11,IF(U1015&lt;($F$11-$E$11)/($G$11-$E$11),$E$11+SQRT(U1015*($G$11-$E$11)*($F$11-$E$11)),$G$11-SQRT((1-U1015)*($G$11-$E$11)*($G$11-$F$11))))</f>
        <v>0.0944626397094544</v>
      </c>
      <c r="H1015" s="53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-2099465027.98322</v>
      </c>
      <c r="I1015" s="53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-14055044.9137089</v>
      </c>
      <c r="J1015" s="53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271176242.391235</v>
      </c>
      <c r="K1015" s="53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608894155.395759</v>
      </c>
      <c r="L1015" s="53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737732621.194485</v>
      </c>
      <c r="M1015" s="53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923420156.361748</v>
      </c>
      <c r="N1015" s="53" t="n">
        <f aca="false">IF(COUNT('Business Case'!B11:G11)=0,"",H1015+NPV(G1015,I1015:M1015))</f>
        <v>-319291052.62163</v>
      </c>
      <c r="P1015" s="54" t="n">
        <f aca="true">RAND()</f>
        <v>0.934568248997941</v>
      </c>
      <c r="Q1015" s="54" t="n">
        <f aca="true">RAND()</f>
        <v>0.464537069640538</v>
      </c>
      <c r="R1015" s="54" t="n">
        <f aca="true">RAND()</f>
        <v>0.884147510517436</v>
      </c>
      <c r="S1015" s="54" t="n">
        <f aca="true">RAND()</f>
        <v>0.479904418986965</v>
      </c>
      <c r="T1015" s="54" t="n">
        <f aca="true">RAND()</f>
        <v>0.465239120638398</v>
      </c>
      <c r="U1015" s="54" t="n">
        <f aca="true">RAND()</f>
        <v>0.209167947365487</v>
      </c>
    </row>
    <row r="1016" customFormat="false" ht="15" hidden="false" customHeight="false" outlineLevel="0" collapsed="false">
      <c r="A1016" s="50" t="n">
        <v>936</v>
      </c>
      <c r="B1016" s="51" t="n">
        <f aca="false">1+IF($G$6=$E$6,$F$6,IF(P1016&lt;($F$6-$E$6)/($G$6-$E$6),$E$6+SQRT(P1016*($G$6-$E$6)*($F$6-$E$6)),$G$6-SQRT((1-P1016)*($G$6-$E$6)*($G$6-$F$6))))</f>
        <v>0.970976792853778</v>
      </c>
      <c r="C1016" s="51" t="n">
        <f aca="false">1+IF($G$7=$E$7,$F$7,IF(Q1016&lt;($F$7-$E$7)/($G$7-$E$7),$E$7+SQRT(Q1016*($G$7-$E$7)*($F$7-$E$7)),$G$7-SQRT((1-Q1016)*($G$7-$E$7)*($G$7-$F$7))))</f>
        <v>1.07822556219578</v>
      </c>
      <c r="D1016" s="51" t="n">
        <f aca="false">1+IF($G$8=$E$8,$F$8,IF(R1016&lt;($F$8-$E$8)/($G$8-$E$8),$E$8+SQRT(R1016*($G$8-$E$8)*($F$8-$E$8)),$G$8-SQRT((1-R1016)*($G$8-$E$8)*($G$8-$F$8))))</f>
        <v>0.98631499972154</v>
      </c>
      <c r="E1016" s="51" t="n">
        <f aca="false">1+IF($G$9=$E$9,$F$9,IF(S1016&lt;($F$9-$E$9)/($G$9-$E$9),$E$9+SQRT(S1016*($G$9-$E$9)*($F$9-$E$9)),$G$9-SQRT((1-S1016)*($G$9-$E$9)*($G$9-$F$9))))</f>
        <v>0.984463302915783</v>
      </c>
      <c r="F1016" s="51" t="n">
        <f aca="false">1+IF($G$10=$E$10,$F$10,IF(T1016&lt;($F$10-$E$10)/($G$10-$E$10),$E$10+SQRT(T1016*($G$10-$E$10)*($F$10-$E$10)),$G$10-SQRT((1-T1016)*($G$10-$E$10)*($G$10-$F$10))))</f>
        <v>1.18818431629424</v>
      </c>
      <c r="G1016" s="52" t="n">
        <f aca="false">IF($G$11=$E$11,$F$11,IF(U1016&lt;($F$11-$E$11)/($G$11-$E$11),$E$11+SQRT(U1016*($G$11-$E$11)*($F$11-$E$11)),$G$11-SQRT((1-U1016)*($G$11-$E$11)*($G$11-$F$11))))</f>
        <v>0.0956099422319826</v>
      </c>
      <c r="H1016" s="53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-2376368632.58848</v>
      </c>
      <c r="I1016" s="53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19032.1811901629</v>
      </c>
      <c r="J1016" s="53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313120132.461091</v>
      </c>
      <c r="K1016" s="53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685630448.555703</v>
      </c>
      <c r="L1016" s="53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826179451.845446</v>
      </c>
      <c r="M1016" s="53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1025180286.09254</v>
      </c>
      <c r="N1016" s="53" t="n">
        <f aca="false">IF(COUNT('Business Case'!B11:G11)=0,"",H1016+NPV(G1016,I1016:M1016))</f>
        <v>-371352217.666144</v>
      </c>
      <c r="P1016" s="54" t="n">
        <f aca="true">RAND()</f>
        <v>0.335847008253872</v>
      </c>
      <c r="Q1016" s="54" t="n">
        <f aca="true">RAND()</f>
        <v>0.923680445598353</v>
      </c>
      <c r="R1016" s="54" t="n">
        <f aca="true">RAND()</f>
        <v>0.175837227303395</v>
      </c>
      <c r="S1016" s="54" t="n">
        <f aca="true">RAND()</f>
        <v>0.285361981577733</v>
      </c>
      <c r="T1016" s="54" t="n">
        <f aca="true">RAND()</f>
        <v>0.94905094997319</v>
      </c>
      <c r="U1016" s="54" t="n">
        <f aca="true">RAND()</f>
        <v>0.243670296485832</v>
      </c>
    </row>
    <row r="1017" customFormat="false" ht="15" hidden="false" customHeight="false" outlineLevel="0" collapsed="false">
      <c r="A1017" s="50" t="n">
        <v>937</v>
      </c>
      <c r="B1017" s="51" t="n">
        <f aca="false">1+IF($G$6=$E$6,$F$6,IF(P1017&lt;($F$6-$E$6)/($G$6-$E$6),$E$6+SQRT(P1017*($G$6-$E$6)*($F$6-$E$6)),$G$6-SQRT((1-P1017)*($G$6-$E$6)*($G$6-$F$6))))</f>
        <v>0.959426383893396</v>
      </c>
      <c r="C1017" s="51" t="n">
        <f aca="false">1+IF($G$7=$E$7,$F$7,IF(Q1017&lt;($F$7-$E$7)/($G$7-$E$7),$E$7+SQRT(Q1017*($G$7-$E$7)*($F$7-$E$7)),$G$7-SQRT((1-Q1017)*($G$7-$E$7)*($G$7-$F$7))))</f>
        <v>1.02781251719265</v>
      </c>
      <c r="D1017" s="51" t="n">
        <f aca="false">1+IF($G$8=$E$8,$F$8,IF(R1017&lt;($F$8-$E$8)/($G$8-$E$8),$E$8+SQRT(R1017*($G$8-$E$8)*($F$8-$E$8)),$G$8-SQRT((1-R1017)*($G$8-$E$8)*($G$8-$F$8))))</f>
        <v>0.968711122398847</v>
      </c>
      <c r="E1017" s="51" t="n">
        <f aca="false">1+IF($G$9=$E$9,$F$9,IF(S1017&lt;($F$9-$E$9)/($G$9-$E$9),$E$9+SQRT(S1017*($G$9-$E$9)*($F$9-$E$9)),$G$9-SQRT((1-S1017)*($G$9-$E$9)*($G$9-$F$9))))</f>
        <v>1.06506024879993</v>
      </c>
      <c r="F1017" s="51" t="n">
        <f aca="false">1+IF($G$10=$E$10,$F$10,IF(T1017&lt;($F$10-$E$10)/($G$10-$E$10),$E$10+SQRT(T1017*($G$10-$E$10)*($F$10-$E$10)),$G$10-SQRT((1-T1017)*($G$10-$E$10)*($G$10-$F$10))))</f>
        <v>1.02709203544422</v>
      </c>
      <c r="G1017" s="52" t="n">
        <f aca="false">IF($G$11=$E$11,$F$11,IF(U1017&lt;($F$11-$E$11)/($G$11-$E$11),$E$11+SQRT(U1017*($G$11-$E$11)*($F$11-$E$11)),$G$11-SQRT((1-U1017)*($G$11-$E$11)*($G$11-$F$11))))</f>
        <v>0.112679981169821</v>
      </c>
      <c r="H1017" s="53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-2054184070.88843</v>
      </c>
      <c r="I1017" s="53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-7280177.993525</v>
      </c>
      <c r="J1017" s="53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290720380.493159</v>
      </c>
      <c r="K1017" s="53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640075540.752053</v>
      </c>
      <c r="L1017" s="53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773489037.285239</v>
      </c>
      <c r="M1017" s="53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960928910.992173</v>
      </c>
      <c r="N1017" s="53" t="n">
        <f aca="false">IF(COUNT('Business Case'!B11:G11)=0,"",H1017+NPV(G1017,I1017:M1017))</f>
        <v>-293203100.358796</v>
      </c>
      <c r="P1017" s="54" t="n">
        <f aca="true">RAND()</f>
        <v>0.235433006843019</v>
      </c>
      <c r="Q1017" s="54" t="n">
        <f aca="true">RAND()</f>
        <v>0.778818059928959</v>
      </c>
      <c r="R1017" s="54" t="n">
        <f aca="true">RAND()</f>
        <v>0.0466808135232838</v>
      </c>
      <c r="S1017" s="54" t="n">
        <f aca="true">RAND()</f>
        <v>0.807606364428556</v>
      </c>
      <c r="T1017" s="54" t="n">
        <f aca="true">RAND()</f>
        <v>0.337493857834636</v>
      </c>
      <c r="U1017" s="54" t="n">
        <f aca="true">RAND()</f>
        <v>0.800011298481499</v>
      </c>
    </row>
    <row r="1018" customFormat="false" ht="15" hidden="false" customHeight="false" outlineLevel="0" collapsed="false">
      <c r="A1018" s="50" t="n">
        <v>938</v>
      </c>
      <c r="B1018" s="51" t="n">
        <f aca="false">1+IF($G$6=$E$6,$F$6,IF(P1018&lt;($F$6-$E$6)/($G$6-$E$6),$E$6+SQRT(P1018*($G$6-$E$6)*($F$6-$E$6)),$G$6-SQRT((1-P1018)*($G$6-$E$6)*($G$6-$F$6))))</f>
        <v>0.998006596796531</v>
      </c>
      <c r="C1018" s="51" t="n">
        <f aca="false">1+IF($G$7=$E$7,$F$7,IF(Q1018&lt;($F$7-$E$7)/($G$7-$E$7),$E$7+SQRT(Q1018*($G$7-$E$7)*($F$7-$E$7)),$G$7-SQRT((1-Q1018)*($G$7-$E$7)*($G$7-$F$7))))</f>
        <v>1.0100033614338</v>
      </c>
      <c r="D1018" s="51" t="n">
        <f aca="false">1+IF($G$8=$E$8,$F$8,IF(R1018&lt;($F$8-$E$8)/($G$8-$E$8),$E$8+SQRT(R1018*($G$8-$E$8)*($F$8-$E$8)),$G$8-SQRT((1-R1018)*($G$8-$E$8)*($G$8-$F$8))))</f>
        <v>0.986275309114148</v>
      </c>
      <c r="E1018" s="51" t="n">
        <f aca="false">1+IF($G$9=$E$9,$F$9,IF(S1018&lt;($F$9-$E$9)/($G$9-$E$9),$E$9+SQRT(S1018*($G$9-$E$9)*($F$9-$E$9)),$G$9-SQRT((1-S1018)*($G$9-$E$9)*($G$9-$F$9))))</f>
        <v>1.0903502730245</v>
      </c>
      <c r="F1018" s="51" t="n">
        <f aca="false">1+IF($G$10=$E$10,$F$10,IF(T1018&lt;($F$10-$E$10)/($G$10-$E$10),$E$10+SQRT(T1018*($G$10-$E$10)*($F$10-$E$10)),$G$10-SQRT((1-T1018)*($G$10-$E$10)*($G$10-$F$10))))</f>
        <v>1.19042997402995</v>
      </c>
      <c r="G1018" s="52" t="n">
        <f aca="false">IF($G$11=$E$11,$F$11,IF(U1018&lt;($F$11-$E$11)/($G$11-$E$11),$E$11+SQRT(U1018*($G$11-$E$11)*($F$11-$E$11)),$G$11-SQRT((1-U1018)*($G$11-$E$11)*($G$11-$F$11))))</f>
        <v>0.100171324659398</v>
      </c>
      <c r="H1018" s="53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-2380859948.0599</v>
      </c>
      <c r="I1018" s="53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-10673303.0944361</v>
      </c>
      <c r="J1018" s="53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304998402.545282</v>
      </c>
      <c r="K1018" s="53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680191606.886498</v>
      </c>
      <c r="L1018" s="53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820251643.77112</v>
      </c>
      <c r="M1018" s="53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1011850386.29706</v>
      </c>
      <c r="N1018" s="53" t="n">
        <f aca="false">IF(COUNT('Business Case'!B11:G11)=0,"",H1018+NPV(G1018,I1018:M1018))</f>
        <v>-440091377.88456</v>
      </c>
      <c r="P1018" s="54" t="n">
        <f aca="true">RAND()</f>
        <v>0.64035286770919</v>
      </c>
      <c r="Q1018" s="54" t="n">
        <f aca="true">RAND()</f>
        <v>0.709643573187611</v>
      </c>
      <c r="R1018" s="54" t="n">
        <f aca="true">RAND()</f>
        <v>0.175453073510267</v>
      </c>
      <c r="S1018" s="54" t="n">
        <f aca="true">RAND()</f>
        <v>0.905117601913286</v>
      </c>
      <c r="T1018" s="54" t="n">
        <f aca="true">RAND()</f>
        <v>0.952685493412364</v>
      </c>
      <c r="U1018" s="54" t="n">
        <f aca="true">RAND()</f>
        <v>0.406833418283317</v>
      </c>
    </row>
    <row r="1019" customFormat="false" ht="15" hidden="false" customHeight="false" outlineLevel="0" collapsed="false">
      <c r="A1019" s="50" t="n">
        <v>939</v>
      </c>
      <c r="B1019" s="51" t="n">
        <f aca="false">1+IF($G$6=$E$6,$F$6,IF(P1019&lt;($F$6-$E$6)/($G$6-$E$6),$E$6+SQRT(P1019*($G$6-$E$6)*($F$6-$E$6)),$G$6-SQRT((1-P1019)*($G$6-$E$6)*($G$6-$F$6))))</f>
        <v>1.00047848244509</v>
      </c>
      <c r="C1019" s="51" t="n">
        <f aca="false">1+IF($G$7=$E$7,$F$7,IF(Q1019&lt;($F$7-$E$7)/($G$7-$E$7),$E$7+SQRT(Q1019*($G$7-$E$7)*($F$7-$E$7)),$G$7-SQRT((1-Q1019)*($G$7-$E$7)*($G$7-$F$7))))</f>
        <v>0.893663261384001</v>
      </c>
      <c r="D1019" s="51" t="n">
        <f aca="false">1+IF($G$8=$E$8,$F$8,IF(R1019&lt;($F$8-$E$8)/($G$8-$E$8),$E$8+SQRT(R1019*($G$8-$E$8)*($F$8-$E$8)),$G$8-SQRT((1-R1019)*($G$8-$E$8)*($G$8-$F$8))))</f>
        <v>1.03032625776388</v>
      </c>
      <c r="E1019" s="51" t="n">
        <f aca="false">1+IF($G$9=$E$9,$F$9,IF(S1019&lt;($F$9-$E$9)/($G$9-$E$9),$E$9+SQRT(S1019*($G$9-$E$9)*($F$9-$E$9)),$G$9-SQRT((1-S1019)*($G$9-$E$9)*($G$9-$F$9))))</f>
        <v>1.05490345319569</v>
      </c>
      <c r="F1019" s="51" t="n">
        <f aca="false">1+IF($G$10=$E$10,$F$10,IF(T1019&lt;($F$10-$E$10)/($G$10-$E$10),$E$10+SQRT(T1019*($G$10-$E$10)*($F$10-$E$10)),$G$10-SQRT((1-T1019)*($G$10-$E$10)*($G$10-$F$10))))</f>
        <v>1.068881291145</v>
      </c>
      <c r="G1019" s="52" t="n">
        <f aca="false">IF($G$11=$E$11,$F$11,IF(U1019&lt;($F$11-$E$11)/($G$11-$E$11),$E$11+SQRT(U1019*($G$11-$E$11)*($F$11-$E$11)),$G$11-SQRT((1-U1019)*($G$11-$E$11)*($G$11-$F$11))))</f>
        <v>0.0985044080991153</v>
      </c>
      <c r="H1019" s="53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-2137762582.29</v>
      </c>
      <c r="I1019" s="53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-42278156.1323011</v>
      </c>
      <c r="J1019" s="53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218688758.261607</v>
      </c>
      <c r="K1019" s="53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533099737.212766</v>
      </c>
      <c r="L1019" s="53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650988488.922257</v>
      </c>
      <c r="M1019" s="53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820937280.268958</v>
      </c>
      <c r="N1019" s="53" t="n">
        <f aca="false">IF(COUNT('Business Case'!B11:G11)=0,"",H1019+NPV(G1019,I1019:M1019))</f>
        <v>-632581545.806866</v>
      </c>
      <c r="P1019" s="54" t="n">
        <f aca="true">RAND()</f>
        <v>0.673015906541214</v>
      </c>
      <c r="Q1019" s="54" t="n">
        <f aca="true">RAND()</f>
        <v>0.277818213406578</v>
      </c>
      <c r="R1019" s="54" t="n">
        <f aca="true">RAND()</f>
        <v>0.676371309520941</v>
      </c>
      <c r="S1019" s="54" t="n">
        <f aca="true">RAND()</f>
        <v>0.758843914290556</v>
      </c>
      <c r="T1019" s="54" t="n">
        <f aca="true">RAND()</f>
        <v>0.562613510702637</v>
      </c>
      <c r="U1019" s="54" t="n">
        <f aca="true">RAND()</f>
        <v>0.342413119098604</v>
      </c>
    </row>
    <row r="1020" customFormat="false" ht="15" hidden="false" customHeight="false" outlineLevel="0" collapsed="false">
      <c r="A1020" s="50" t="n">
        <v>940</v>
      </c>
      <c r="B1020" s="51" t="n">
        <f aca="false">1+IF($G$6=$E$6,$F$6,IF(P1020&lt;($F$6-$E$6)/($G$6-$E$6),$E$6+SQRT(P1020*($G$6-$E$6)*($F$6-$E$6)),$G$6-SQRT((1-P1020)*($G$6-$E$6)*($G$6-$F$6))))</f>
        <v>0.986932523484249</v>
      </c>
      <c r="C1020" s="51" t="n">
        <f aca="false">1+IF($G$7=$E$7,$F$7,IF(Q1020&lt;($F$7-$E$7)/($G$7-$E$7),$E$7+SQRT(Q1020*($G$7-$E$7)*($F$7-$E$7)),$G$7-SQRT((1-Q1020)*($G$7-$E$7)*($G$7-$F$7))))</f>
        <v>0.811159372395107</v>
      </c>
      <c r="D1020" s="51" t="n">
        <f aca="false">1+IF($G$8=$E$8,$F$8,IF(R1020&lt;($F$8-$E$8)/($G$8-$E$8),$E$8+SQRT(R1020*($G$8-$E$8)*($F$8-$E$8)),$G$8-SQRT((1-R1020)*($G$8-$E$8)*($G$8-$F$8))))</f>
        <v>1.07914943165518</v>
      </c>
      <c r="E1020" s="51" t="n">
        <f aca="false">1+IF($G$9=$E$9,$F$9,IF(S1020&lt;($F$9-$E$9)/($G$9-$E$9),$E$9+SQRT(S1020*($G$9-$E$9)*($F$9-$E$9)),$G$9-SQRT((1-S1020)*($G$9-$E$9)*($G$9-$F$9))))</f>
        <v>1.12210615765834</v>
      </c>
      <c r="F1020" s="51" t="n">
        <f aca="false">1+IF($G$10=$E$10,$F$10,IF(T1020&lt;($F$10-$E$10)/($G$10-$E$10),$E$10+SQRT(T1020*($G$10-$E$10)*($F$10-$E$10)),$G$10-SQRT((1-T1020)*($G$10-$E$10)*($G$10-$F$10))))</f>
        <v>0.980750282223568</v>
      </c>
      <c r="G1020" s="52" t="n">
        <f aca="false">IF($G$11=$E$11,$F$11,IF(U1020&lt;($F$11-$E$11)/($G$11-$E$11),$E$11+SQRT(U1020*($G$11-$E$11)*($F$11-$E$11)),$G$11-SQRT((1-U1020)*($G$11-$E$11)*($G$11-$F$11))))</f>
        <v>0.108774179086929</v>
      </c>
      <c r="H1020" s="53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-1961500564.44714</v>
      </c>
      <c r="I1020" s="53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-91539011.6200951</v>
      </c>
      <c r="J1020" s="53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116061508.520549</v>
      </c>
      <c r="K1020" s="53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372699542.772371</v>
      </c>
      <c r="L1020" s="53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469567054.765498</v>
      </c>
      <c r="M1020" s="53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621737417.136508</v>
      </c>
      <c r="N1020" s="53" t="n">
        <f aca="false">IF(COUNT('Business Case'!B11:G11)=0,"",H1020+NPV(G1020,I1020:M1020))</f>
        <v>-994529717.782662</v>
      </c>
      <c r="P1020" s="54" t="n">
        <f aca="true">RAND()</f>
        <v>0.503817575955965</v>
      </c>
      <c r="Q1020" s="54" t="n">
        <f aca="true">RAND()</f>
        <v>0.091528933861289</v>
      </c>
      <c r="R1020" s="54" t="n">
        <f aca="true">RAND()</f>
        <v>0.971016919979876</v>
      </c>
      <c r="S1020" s="54" t="n">
        <f aca="true">RAND()</f>
        <v>0.9792515615845</v>
      </c>
      <c r="T1020" s="54" t="n">
        <f aca="true">RAND()</f>
        <v>0.0630386571219379</v>
      </c>
      <c r="U1020" s="54" t="n">
        <f aca="true">RAND()</f>
        <v>0.699643017710817</v>
      </c>
    </row>
    <row r="1021" customFormat="false" ht="15" hidden="false" customHeight="false" outlineLevel="0" collapsed="false">
      <c r="A1021" s="50" t="n">
        <v>941</v>
      </c>
      <c r="B1021" s="51" t="n">
        <f aca="false">1+IF($G$6=$E$6,$F$6,IF(P1021&lt;($F$6-$E$6)/($G$6-$E$6),$E$6+SQRT(P1021*($G$6-$E$6)*($F$6-$E$6)),$G$6-SQRT((1-P1021)*($G$6-$E$6)*($G$6-$F$6))))</f>
        <v>0.975989387680266</v>
      </c>
      <c r="C1021" s="51" t="n">
        <f aca="false">1+IF($G$7=$E$7,$F$7,IF(Q1021&lt;($F$7-$E$7)/($G$7-$E$7),$E$7+SQRT(Q1021*($G$7-$E$7)*($F$7-$E$7)),$G$7-SQRT((1-Q1021)*($G$7-$E$7)*($G$7-$F$7))))</f>
        <v>0.773509954690904</v>
      </c>
      <c r="D1021" s="51" t="n">
        <f aca="false">1+IF($G$8=$E$8,$F$8,IF(R1021&lt;($F$8-$E$8)/($G$8-$E$8),$E$8+SQRT(R1021*($G$8-$E$8)*($F$8-$E$8)),$G$8-SQRT((1-R1021)*($G$8-$E$8)*($G$8-$F$8))))</f>
        <v>1.09536959043432</v>
      </c>
      <c r="E1021" s="51" t="n">
        <f aca="false">1+IF($G$9=$E$9,$F$9,IF(S1021&lt;($F$9-$E$9)/($G$9-$E$9),$E$9+SQRT(S1021*($G$9-$E$9)*($F$9-$E$9)),$G$9-SQRT((1-S1021)*($G$9-$E$9)*($G$9-$F$9))))</f>
        <v>0.929565418436015</v>
      </c>
      <c r="F1021" s="51" t="n">
        <f aca="false">1+IF($G$10=$E$10,$F$10,IF(T1021&lt;($F$10-$E$10)/($G$10-$E$10),$E$10+SQRT(T1021*($G$10-$E$10)*($F$10-$E$10)),$G$10-SQRT((1-T1021)*($G$10-$E$10)*($G$10-$F$10))))</f>
        <v>1.02950138563229</v>
      </c>
      <c r="G1021" s="52" t="n">
        <f aca="false">IF($G$11=$E$11,$F$11,IF(U1021&lt;($F$11-$E$11)/($G$11-$E$11),$E$11+SQRT(U1021*($G$11-$E$11)*($F$11-$E$11)),$G$11-SQRT((1-U1021)*($G$11-$E$11)*($G$11-$F$11))))</f>
        <v>0.116859691890004</v>
      </c>
      <c r="H1021" s="53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-2059002771.26458</v>
      </c>
      <c r="I1021" s="53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-89661337.8388758</v>
      </c>
      <c r="J1021" s="53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94947625.7522067</v>
      </c>
      <c r="K1021" s="53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331031658.624904</v>
      </c>
      <c r="L1021" s="53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418658620.06535</v>
      </c>
      <c r="M1021" s="53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562157141.404153</v>
      </c>
      <c r="N1021" s="53" t="n">
        <f aca="false">IF(COUNT('Business Case'!B11:G11)=0,"",H1021+NPV(G1021,I1021:M1021))</f>
        <v>-1232986812.37958</v>
      </c>
      <c r="P1021" s="54" t="n">
        <f aca="true">RAND()</f>
        <v>0.38495913600145</v>
      </c>
      <c r="Q1021" s="54" t="n">
        <f aca="true">RAND()</f>
        <v>0.0400275069530283</v>
      </c>
      <c r="R1021" s="54" t="n">
        <f aca="true">RAND()</f>
        <v>0.998570620483604</v>
      </c>
      <c r="S1021" s="54" t="n">
        <f aca="true">RAND()</f>
        <v>0.0349645586918656</v>
      </c>
      <c r="T1021" s="54" t="n">
        <f aca="true">RAND()</f>
        <v>0.351738147492263</v>
      </c>
      <c r="U1021" s="54" t="n">
        <f aca="true">RAND()</f>
        <v>0.884888201849588</v>
      </c>
    </row>
    <row r="1022" customFormat="false" ht="15" hidden="false" customHeight="false" outlineLevel="0" collapsed="false">
      <c r="A1022" s="50" t="n">
        <v>942</v>
      </c>
      <c r="B1022" s="51" t="n">
        <f aca="false">1+IF($G$6=$E$6,$F$6,IF(P1022&lt;($F$6-$E$6)/($G$6-$E$6),$E$6+SQRT(P1022*($G$6-$E$6)*($F$6-$E$6)),$G$6-SQRT((1-P1022)*($G$6-$E$6)*($G$6-$F$6))))</f>
        <v>0.946239263814114</v>
      </c>
      <c r="C1022" s="51" t="n">
        <f aca="false">1+IF($G$7=$E$7,$F$7,IF(Q1022&lt;($F$7-$E$7)/($G$7-$E$7),$E$7+SQRT(Q1022*($G$7-$E$7)*($F$7-$E$7)),$G$7-SQRT((1-Q1022)*($G$7-$E$7)*($G$7-$F$7))))</f>
        <v>1.00039580627656</v>
      </c>
      <c r="D1022" s="51" t="n">
        <f aca="false">1+IF($G$8=$E$8,$F$8,IF(R1022&lt;($F$8-$E$8)/($G$8-$E$8),$E$8+SQRT(R1022*($G$8-$E$8)*($F$8-$E$8)),$G$8-SQRT((1-R1022)*($G$8-$E$8)*($G$8-$F$8))))</f>
        <v>1.01160024102814</v>
      </c>
      <c r="E1022" s="51" t="n">
        <f aca="false">1+IF($G$9=$E$9,$F$9,IF(S1022&lt;($F$9-$E$9)/($G$9-$E$9),$E$9+SQRT(S1022*($G$9-$E$9)*($F$9-$E$9)),$G$9-SQRT((1-S1022)*($G$9-$E$9)*($G$9-$F$9))))</f>
        <v>0.974508121250742</v>
      </c>
      <c r="F1022" s="51" t="n">
        <f aca="false">1+IF($G$10=$E$10,$F$10,IF(T1022&lt;($F$10-$E$10)/($G$10-$E$10),$E$10+SQRT(T1022*($G$10-$E$10)*($F$10-$E$10)),$G$10-SQRT((1-T1022)*($G$10-$E$10)*($G$10-$F$10))))</f>
        <v>1.1224762118871</v>
      </c>
      <c r="G1022" s="52" t="n">
        <f aca="false">IF($G$11=$E$11,$F$11,IF(U1022&lt;($F$11-$E$11)/($G$11-$E$11),$E$11+SQRT(U1022*($G$11-$E$11)*($F$11-$E$11)),$G$11-SQRT((1-U1022)*($G$11-$E$11)*($G$11-$F$11))))</f>
        <v>0.104694897028483</v>
      </c>
      <c r="H1022" s="53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-2244952423.77421</v>
      </c>
      <c r="I1022" s="53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-42613650.729676</v>
      </c>
      <c r="J1022" s="53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214667833.509814</v>
      </c>
      <c r="K1022" s="53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528073128.343659</v>
      </c>
      <c r="L1022" s="53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646548595.715889</v>
      </c>
      <c r="M1022" s="53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826480945.157422</v>
      </c>
      <c r="N1022" s="53" t="n">
        <f aca="false">IF(COUNT('Business Case'!B11:G11)=0,"",H1022+NPV(G1022,I1022:M1022))</f>
        <v>-779399690.783156</v>
      </c>
      <c r="P1022" s="54" t="n">
        <f aca="true">RAND()</f>
        <v>0.142537967871415</v>
      </c>
      <c r="Q1022" s="54" t="n">
        <f aca="true">RAND()</f>
        <v>0.668423484746059</v>
      </c>
      <c r="R1022" s="54" t="n">
        <f aca="true">RAND()</f>
        <v>0.479032174247842</v>
      </c>
      <c r="S1022" s="54" t="n">
        <f aca="true">RAND()</f>
        <v>0.222058405292608</v>
      </c>
      <c r="T1022" s="54" t="n">
        <f aca="true">RAND()</f>
        <v>0.783169112871165</v>
      </c>
      <c r="U1022" s="54" t="n">
        <f aca="true">RAND()</f>
        <v>0.573101175733957</v>
      </c>
    </row>
    <row r="1023" customFormat="false" ht="15" hidden="false" customHeight="false" outlineLevel="0" collapsed="false">
      <c r="A1023" s="50" t="n">
        <v>943</v>
      </c>
      <c r="B1023" s="51" t="n">
        <f aca="false">1+IF($G$6=$E$6,$F$6,IF(P1023&lt;($F$6-$E$6)/($G$6-$E$6),$E$6+SQRT(P1023*($G$6-$E$6)*($F$6-$E$6)),$G$6-SQRT((1-P1023)*($G$6-$E$6)*($G$6-$F$6))))</f>
        <v>0.971315716018734</v>
      </c>
      <c r="C1023" s="51" t="n">
        <f aca="false">1+IF($G$7=$E$7,$F$7,IF(Q1023&lt;($F$7-$E$7)/($G$7-$E$7),$E$7+SQRT(Q1023*($G$7-$E$7)*($F$7-$E$7)),$G$7-SQRT((1-Q1023)*($G$7-$E$7)*($G$7-$F$7))))</f>
        <v>0.96454901907084</v>
      </c>
      <c r="D1023" s="51" t="n">
        <f aca="false">1+IF($G$8=$E$8,$F$8,IF(R1023&lt;($F$8-$E$8)/($G$8-$E$8),$E$8+SQRT(R1023*($G$8-$E$8)*($F$8-$E$8)),$G$8-SQRT((1-R1023)*($G$8-$E$8)*($G$8-$F$8))))</f>
        <v>0.98094023640889</v>
      </c>
      <c r="E1023" s="51" t="n">
        <f aca="false">1+IF($G$9=$E$9,$F$9,IF(S1023&lt;($F$9-$E$9)/($G$9-$E$9),$E$9+SQRT(S1023*($G$9-$E$9)*($F$9-$E$9)),$G$9-SQRT((1-S1023)*($G$9-$E$9)*($G$9-$F$9))))</f>
        <v>1.05148662173814</v>
      </c>
      <c r="F1023" s="51" t="n">
        <f aca="false">1+IF($G$10=$E$10,$F$10,IF(T1023&lt;($F$10-$E$10)/($G$10-$E$10),$E$10+SQRT(T1023*($G$10-$E$10)*($F$10-$E$10)),$G$10-SQRT((1-T1023)*($G$10-$E$10)*($G$10-$F$10))))</f>
        <v>1.02269810055881</v>
      </c>
      <c r="G1023" s="52" t="n">
        <f aca="false">IF($G$11=$E$11,$F$11,IF(U1023&lt;($F$11-$E$11)/($G$11-$E$11),$E$11+SQRT(U1023*($G$11-$E$11)*($F$11-$E$11)),$G$11-SQRT((1-U1023)*($G$11-$E$11)*($G$11-$F$11))))</f>
        <v>0.110441238285609</v>
      </c>
      <c r="H1023" s="53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-2045396201.11761</v>
      </c>
      <c r="I1023" s="53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-17346405.2676594</v>
      </c>
      <c r="J1023" s="53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265666340.369237</v>
      </c>
      <c r="K1023" s="53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599813991.034073</v>
      </c>
      <c r="L1023" s="53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726530201.738045</v>
      </c>
      <c r="M1023" s="53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904612660.275585</v>
      </c>
      <c r="N1023" s="53" t="n">
        <f aca="false">IF(COUNT('Business Case'!B11:G11)=0,"",H1023+NPV(G1023,I1023:M1023))</f>
        <v>-393906155.808777</v>
      </c>
      <c r="P1023" s="54" t="n">
        <f aca="true">RAND()</f>
        <v>0.339062090084316</v>
      </c>
      <c r="Q1023" s="54" t="n">
        <f aca="true">RAND()</f>
        <v>0.518416174009952</v>
      </c>
      <c r="R1023" s="54" t="n">
        <f aca="true">RAND()</f>
        <v>0.127639763871731</v>
      </c>
      <c r="S1023" s="54" t="n">
        <f aca="true">RAND()</f>
        <v>0.741203048091638</v>
      </c>
      <c r="T1023" s="54" t="n">
        <f aca="true">RAND()</f>
        <v>0.311117953472336</v>
      </c>
      <c r="U1023" s="54" t="n">
        <f aca="true">RAND()</f>
        <v>0.744969893466451</v>
      </c>
    </row>
    <row r="1024" customFormat="false" ht="15" hidden="false" customHeight="false" outlineLevel="0" collapsed="false">
      <c r="A1024" s="50" t="n">
        <v>944</v>
      </c>
      <c r="B1024" s="51" t="n">
        <f aca="false">1+IF($G$6=$E$6,$F$6,IF(P1024&lt;($F$6-$E$6)/($G$6-$E$6),$E$6+SQRT(P1024*($G$6-$E$6)*($F$6-$E$6)),$G$6-SQRT((1-P1024)*($G$6-$E$6)*($G$6-$F$6))))</f>
        <v>0.930402277977124</v>
      </c>
      <c r="C1024" s="51" t="n">
        <f aca="false">1+IF($G$7=$E$7,$F$7,IF(Q1024&lt;($F$7-$E$7)/($G$7-$E$7),$E$7+SQRT(Q1024*($G$7-$E$7)*($F$7-$E$7)),$G$7-SQRT((1-Q1024)*($G$7-$E$7)*($G$7-$F$7))))</f>
        <v>1.06245308965248</v>
      </c>
      <c r="D1024" s="51" t="n">
        <f aca="false">1+IF($G$8=$E$8,$F$8,IF(R1024&lt;($F$8-$E$8)/($G$8-$E$8),$E$8+SQRT(R1024*($G$8-$E$8)*($F$8-$E$8)),$G$8-SQRT((1-R1024)*($G$8-$E$8)*($G$8-$F$8))))</f>
        <v>1.02177021312127</v>
      </c>
      <c r="E1024" s="51" t="n">
        <f aca="false">1+IF($G$9=$E$9,$F$9,IF(S1024&lt;($F$9-$E$9)/($G$9-$E$9),$E$9+SQRT(S1024*($G$9-$E$9)*($F$9-$E$9)),$G$9-SQRT((1-S1024)*($G$9-$E$9)*($G$9-$F$9))))</f>
        <v>0.958770658993523</v>
      </c>
      <c r="F1024" s="51" t="n">
        <f aca="false">1+IF($G$10=$E$10,$F$10,IF(T1024&lt;($F$10-$E$10)/($G$10-$E$10),$E$10+SQRT(T1024*($G$10-$E$10)*($F$10-$E$10)),$G$10-SQRT((1-T1024)*($G$10-$E$10)*($G$10-$F$10))))</f>
        <v>1.00601864146744</v>
      </c>
      <c r="G1024" s="52" t="n">
        <f aca="false">IF($G$11=$E$11,$F$11,IF(U1024&lt;($F$11-$E$11)/($G$11-$E$11),$E$11+SQRT(U1024*($G$11-$E$11)*($F$11-$E$11)),$G$11-SQRT((1-U1024)*($G$11-$E$11)*($G$11-$F$11))))</f>
        <v>0.109481395859174</v>
      </c>
      <c r="H1024" s="53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-2012037282.93488</v>
      </c>
      <c r="I1024" s="53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-34255095.8322618</v>
      </c>
      <c r="J1024" s="53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219673155.07966</v>
      </c>
      <c r="K1024" s="53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523902338.064954</v>
      </c>
      <c r="L1024" s="53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642707951.627968</v>
      </c>
      <c r="M1024" s="53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830603699.552691</v>
      </c>
      <c r="N1024" s="53" t="n">
        <f aca="false">IF(COUNT('Business Case'!B11:G11)=0,"",H1024+NPV(G1024,I1024:M1024))</f>
        <v>-562603719.124562</v>
      </c>
      <c r="P1024" s="54" t="n">
        <f aca="true">RAND()</f>
        <v>0.0616199004132223</v>
      </c>
      <c r="Q1024" s="54" t="n">
        <f aca="true">RAND()</f>
        <v>0.886452422053371</v>
      </c>
      <c r="R1024" s="54" t="n">
        <f aca="true">RAND()</f>
        <v>0.592006696327214</v>
      </c>
      <c r="S1024" s="54" t="n">
        <f aca="true">RAND()</f>
        <v>0.138159614341317</v>
      </c>
      <c r="T1024" s="54" t="n">
        <f aca="true">RAND()</f>
        <v>0.206307955848085</v>
      </c>
      <c r="U1024" s="54" t="n">
        <f aca="true">RAND()</f>
        <v>0.719324589408054</v>
      </c>
    </row>
    <row r="1025" customFormat="false" ht="15" hidden="false" customHeight="false" outlineLevel="0" collapsed="false">
      <c r="A1025" s="50" t="n">
        <v>945</v>
      </c>
      <c r="B1025" s="51" t="n">
        <f aca="false">1+IF($G$6=$E$6,$F$6,IF(P1025&lt;($F$6-$E$6)/($G$6-$E$6),$E$6+SQRT(P1025*($G$6-$E$6)*($F$6-$E$6)),$G$6-SQRT((1-P1025)*($G$6-$E$6)*($G$6-$F$6))))</f>
        <v>0.951915867073187</v>
      </c>
      <c r="C1025" s="51" t="n">
        <f aca="false">1+IF($G$7=$E$7,$F$7,IF(Q1025&lt;($F$7-$E$7)/($G$7-$E$7),$E$7+SQRT(Q1025*($G$7-$E$7)*($F$7-$E$7)),$G$7-SQRT((1-Q1025)*($G$7-$E$7)*($G$7-$F$7))))</f>
        <v>1.01089087563428</v>
      </c>
      <c r="D1025" s="51" t="n">
        <f aca="false">1+IF($G$8=$E$8,$F$8,IF(R1025&lt;($F$8-$E$8)/($G$8-$E$8),$E$8+SQRT(R1025*($G$8-$E$8)*($F$8-$E$8)),$G$8-SQRT((1-R1025)*($G$8-$E$8)*($G$8-$F$8))))</f>
        <v>1.0023622487736</v>
      </c>
      <c r="E1025" s="51" t="n">
        <f aca="false">1+IF($G$9=$E$9,$F$9,IF(S1025&lt;($F$9-$E$9)/($G$9-$E$9),$E$9+SQRT(S1025*($G$9-$E$9)*($F$9-$E$9)),$G$9-SQRT((1-S1025)*($G$9-$E$9)*($G$9-$F$9))))</f>
        <v>1.08587274690757</v>
      </c>
      <c r="F1025" s="51" t="n">
        <f aca="false">1+IF($G$10=$E$10,$F$10,IF(T1025&lt;($F$10-$E$10)/($G$10-$E$10),$E$10+SQRT(T1025*($G$10-$E$10)*($F$10-$E$10)),$G$10-SQRT((1-T1025)*($G$10-$E$10)*($G$10-$F$10))))</f>
        <v>0.995751686100534</v>
      </c>
      <c r="G1025" s="52" t="n">
        <f aca="false">IF($G$11=$E$11,$F$11,IF(U1025&lt;($F$11-$E$11)/($G$11-$E$11),$E$11+SQRT(U1025*($G$11-$E$11)*($F$11-$E$11)),$G$11-SQRT((1-U1025)*($G$11-$E$11)*($G$11-$F$11))))</f>
        <v>0.108388066403905</v>
      </c>
      <c r="H1025" s="53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-1991503372.20107</v>
      </c>
      <c r="I1025" s="53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-34409622.7488316</v>
      </c>
      <c r="J1025" s="53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235051781.780923</v>
      </c>
      <c r="K1025" s="53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554300770.615705</v>
      </c>
      <c r="L1025" s="53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677377741.497808</v>
      </c>
      <c r="M1025" s="53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860288506.378158</v>
      </c>
      <c r="N1025" s="53" t="n">
        <f aca="false">IF(COUNT('Business Case'!B11:G11)=0,"",H1025+NPV(G1025,I1025:M1025))</f>
        <v>-461075085.837884</v>
      </c>
      <c r="P1025" s="54" t="n">
        <f aca="true">RAND()</f>
        <v>0.179683816930724</v>
      </c>
      <c r="Q1025" s="54" t="n">
        <f aca="true">RAND()</f>
        <v>0.713313355825215</v>
      </c>
      <c r="R1025" s="54" t="n">
        <f aca="true">RAND()</f>
        <v>0.364457969030165</v>
      </c>
      <c r="S1025" s="54" t="n">
        <f aca="true">RAND()</f>
        <v>0.890338544288503</v>
      </c>
      <c r="T1025" s="54" t="n">
        <f aca="true">RAND()</f>
        <v>0.139547785402789</v>
      </c>
      <c r="U1025" s="54" t="n">
        <f aca="true">RAND()</f>
        <v>0.688616217491979</v>
      </c>
    </row>
    <row r="1026" customFormat="false" ht="15" hidden="false" customHeight="false" outlineLevel="0" collapsed="false">
      <c r="A1026" s="50" t="n">
        <v>946</v>
      </c>
      <c r="B1026" s="51" t="n">
        <f aca="false">1+IF($G$6=$E$6,$F$6,IF(P1026&lt;($F$6-$E$6)/($G$6-$E$6),$E$6+SQRT(P1026*($G$6-$E$6)*($F$6-$E$6)),$G$6-SQRT((1-P1026)*($G$6-$E$6)*($G$6-$F$6))))</f>
        <v>0.96915423486896</v>
      </c>
      <c r="C1026" s="51" t="n">
        <f aca="false">1+IF($G$7=$E$7,$F$7,IF(Q1026&lt;($F$7-$E$7)/($G$7-$E$7),$E$7+SQRT(Q1026*($G$7-$E$7)*($F$7-$E$7)),$G$7-SQRT((1-Q1026)*($G$7-$E$7)*($G$7-$F$7))))</f>
        <v>1.08201993948601</v>
      </c>
      <c r="D1026" s="51" t="n">
        <f aca="false">1+IF($G$8=$E$8,$F$8,IF(R1026&lt;($F$8-$E$8)/($G$8-$E$8),$E$8+SQRT(R1026*($G$8-$E$8)*($F$8-$E$8)),$G$8-SQRT((1-R1026)*($G$8-$E$8)*($G$8-$F$8))))</f>
        <v>1.04059775889232</v>
      </c>
      <c r="E1026" s="51" t="n">
        <f aca="false">1+IF($G$9=$E$9,$F$9,IF(S1026&lt;($F$9-$E$9)/($G$9-$E$9),$E$9+SQRT(S1026*($G$9-$E$9)*($F$9-$E$9)),$G$9-SQRT((1-S1026)*($G$9-$E$9)*($G$9-$F$9))))</f>
        <v>0.968261338293773</v>
      </c>
      <c r="F1026" s="51" t="n">
        <f aca="false">1+IF($G$10=$E$10,$F$10,IF(T1026&lt;($F$10-$E$10)/($G$10-$E$10),$E$10+SQRT(T1026*($G$10-$E$10)*($F$10-$E$10)),$G$10-SQRT((1-T1026)*($G$10-$E$10)*($G$10-$F$10))))</f>
        <v>1.23503109136319</v>
      </c>
      <c r="G1026" s="52" t="n">
        <f aca="false">IF($G$11=$E$11,$F$11,IF(U1026&lt;($F$11-$E$11)/($G$11-$E$11),$E$11+SQRT(U1026*($G$11-$E$11)*($F$11-$E$11)),$G$11-SQRT((1-U1026)*($G$11-$E$11)*($G$11-$F$11))))</f>
        <v>0.120055492996819</v>
      </c>
      <c r="H1026" s="53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-2470062182.72638</v>
      </c>
      <c r="I1026" s="53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-33031536.0903287</v>
      </c>
      <c r="J1026" s="53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249488514.929392</v>
      </c>
      <c r="K1026" s="53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593760120.517273</v>
      </c>
      <c r="L1026" s="53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724174614.636084</v>
      </c>
      <c r="M1026" s="53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923500905.420057</v>
      </c>
      <c r="N1026" s="53" t="n">
        <f aca="false">IF(COUNT('Business Case'!B11:G11)=0,"",H1026+NPV(G1026,I1026:M1026))</f>
        <v>-894093968.9712</v>
      </c>
      <c r="P1026" s="54" t="n">
        <f aca="true">RAND()</f>
        <v>0.318820546687417</v>
      </c>
      <c r="Q1026" s="54" t="n">
        <f aca="true">RAND()</f>
        <v>0.931536464777982</v>
      </c>
      <c r="R1026" s="54" t="n">
        <f aca="true">RAND()</f>
        <v>0.764758250092305</v>
      </c>
      <c r="S1026" s="54" t="n">
        <f aca="true">RAND()</f>
        <v>0.186384412226276</v>
      </c>
      <c r="T1026" s="54" t="n">
        <f aca="true">RAND()</f>
        <v>0.997012423656304</v>
      </c>
      <c r="U1026" s="54" t="n">
        <f aca="true">RAND()</f>
        <v>0.934071186975785</v>
      </c>
    </row>
    <row r="1027" customFormat="false" ht="15" hidden="false" customHeight="false" outlineLevel="0" collapsed="false">
      <c r="A1027" s="50" t="n">
        <v>947</v>
      </c>
      <c r="B1027" s="51" t="n">
        <f aca="false">1+IF($G$6=$E$6,$F$6,IF(P1027&lt;($F$6-$E$6)/($G$6-$E$6),$E$6+SQRT(P1027*($G$6-$E$6)*($F$6-$E$6)),$G$6-SQRT((1-P1027)*($G$6-$E$6)*($G$6-$F$6))))</f>
        <v>0.954516628568283</v>
      </c>
      <c r="C1027" s="51" t="n">
        <f aca="false">1+IF($G$7=$E$7,$F$7,IF(Q1027&lt;($F$7-$E$7)/($G$7-$E$7),$E$7+SQRT(Q1027*($G$7-$E$7)*($F$7-$E$7)),$G$7-SQRT((1-Q1027)*($G$7-$E$7)*($G$7-$F$7))))</f>
        <v>0.915656500372219</v>
      </c>
      <c r="D1027" s="51" t="n">
        <f aca="false">1+IF($G$8=$E$8,$F$8,IF(R1027&lt;($F$8-$E$8)/($G$8-$E$8),$E$8+SQRT(R1027*($G$8-$E$8)*($F$8-$E$8)),$G$8-SQRT((1-R1027)*($G$8-$E$8)*($G$8-$F$8))))</f>
        <v>1.03850737755988</v>
      </c>
      <c r="E1027" s="51" t="n">
        <f aca="false">1+IF($G$9=$E$9,$F$9,IF(S1027&lt;($F$9-$E$9)/($G$9-$E$9),$E$9+SQRT(S1027*($G$9-$E$9)*($F$9-$E$9)),$G$9-SQRT((1-S1027)*($G$9-$E$9)*($G$9-$F$9))))</f>
        <v>1.05398347329569</v>
      </c>
      <c r="F1027" s="51" t="n">
        <f aca="false">1+IF($G$10=$E$10,$F$10,IF(T1027&lt;($F$10-$E$10)/($G$10-$E$10),$E$10+SQRT(T1027*($G$10-$E$10)*($F$10-$E$10)),$G$10-SQRT((1-T1027)*($G$10-$E$10)*($G$10-$F$10))))</f>
        <v>1.20325255347665</v>
      </c>
      <c r="G1027" s="52" t="n">
        <f aca="false">IF($G$11=$E$11,$F$11,IF(U1027&lt;($F$11-$E$11)/($G$11-$E$11),$E$11+SQRT(U1027*($G$11-$E$11)*($F$11-$E$11)),$G$11-SQRT((1-U1027)*($G$11-$E$11)*($G$11-$F$11))))</f>
        <v>0.108825037526906</v>
      </c>
      <c r="H1027" s="53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-2406505106.9533</v>
      </c>
      <c r="I1027" s="53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-86426693.8495988</v>
      </c>
      <c r="J1027" s="53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142656962.548628</v>
      </c>
      <c r="K1027" s="53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431903246.620688</v>
      </c>
      <c r="L1027" s="53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538470228.751774</v>
      </c>
      <c r="M1027" s="53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704601927.075992</v>
      </c>
      <c r="N1027" s="53" t="n">
        <f aca="false">IF(COUNT('Business Case'!B11:G11)=0,"",H1027+NPV(G1027,I1027:M1027))</f>
        <v>-1275031526.90593</v>
      </c>
      <c r="P1027" s="54" t="n">
        <f aca="true">RAND()</f>
        <v>0.198137519363472</v>
      </c>
      <c r="Q1027" s="54" t="n">
        <f aca="true">RAND()</f>
        <v>0.344501675205874</v>
      </c>
      <c r="R1027" s="54" t="n">
        <f aca="true">RAND()</f>
        <v>0.747910492362443</v>
      </c>
      <c r="S1027" s="54" t="n">
        <f aca="true">RAND()</f>
        <v>0.75415537599041</v>
      </c>
      <c r="T1027" s="54" t="n">
        <f aca="true">RAND()</f>
        <v>0.970862349913954</v>
      </c>
      <c r="U1027" s="54" t="n">
        <f aca="true">RAND()</f>
        <v>0.701080642842049</v>
      </c>
    </row>
    <row r="1028" customFormat="false" ht="15" hidden="false" customHeight="false" outlineLevel="0" collapsed="false">
      <c r="A1028" s="50" t="n">
        <v>948</v>
      </c>
      <c r="B1028" s="51" t="n">
        <f aca="false">1+IF($G$6=$E$6,$F$6,IF(P1028&lt;($F$6-$E$6)/($G$6-$E$6),$E$6+SQRT(P1028*($G$6-$E$6)*($F$6-$E$6)),$G$6-SQRT((1-P1028)*($G$6-$E$6)*($G$6-$F$6))))</f>
        <v>1.01887035545423</v>
      </c>
      <c r="C1028" s="51" t="n">
        <f aca="false">1+IF($G$7=$E$7,$F$7,IF(Q1028&lt;($F$7-$E$7)/($G$7-$E$7),$E$7+SQRT(Q1028*($G$7-$E$7)*($F$7-$E$7)),$G$7-SQRT((1-Q1028)*($G$7-$E$7)*($G$7-$F$7))))</f>
        <v>1.08804849946337</v>
      </c>
      <c r="D1028" s="51" t="n">
        <f aca="false">1+IF($G$8=$E$8,$F$8,IF(R1028&lt;($F$8-$E$8)/($G$8-$E$8),$E$8+SQRT(R1028*($G$8-$E$8)*($F$8-$E$8)),$G$8-SQRT((1-R1028)*($G$8-$E$8)*($G$8-$F$8))))</f>
        <v>1.06524464225247</v>
      </c>
      <c r="E1028" s="51" t="n">
        <f aca="false">1+IF($G$9=$E$9,$F$9,IF(S1028&lt;($F$9-$E$9)/($G$9-$E$9),$E$9+SQRT(S1028*($G$9-$E$9)*($F$9-$E$9)),$G$9-SQRT((1-S1028)*($G$9-$E$9)*($G$9-$F$9))))</f>
        <v>0.955923589594761</v>
      </c>
      <c r="F1028" s="51" t="n">
        <f aca="false">1+IF($G$10=$E$10,$F$10,IF(T1028&lt;($F$10-$E$10)/($G$10-$E$10),$E$10+SQRT(T1028*($G$10-$E$10)*($F$10-$E$10)),$G$10-SQRT((1-T1028)*($G$10-$E$10)*($G$10-$F$10))))</f>
        <v>1.01819938253614</v>
      </c>
      <c r="G1028" s="52" t="n">
        <f aca="false">IF($G$11=$E$11,$F$11,IF(U1028&lt;($F$11-$E$11)/($G$11-$E$11),$E$11+SQRT(U1028*($G$11-$E$11)*($F$11-$E$11)),$G$11-SQRT((1-U1028)*($G$11-$E$11)*($G$11-$F$11))))</f>
        <v>0.113525287145939</v>
      </c>
      <c r="H1028" s="53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-2036398765.07228</v>
      </c>
      <c r="I1028" s="53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19451406.8733119</v>
      </c>
      <c r="J1028" s="53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334123892.375572</v>
      </c>
      <c r="K1028" s="53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699706347.00464</v>
      </c>
      <c r="L1028" s="53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842909712.795366</v>
      </c>
      <c r="M1028" s="53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1053628667.89022</v>
      </c>
      <c r="N1028" s="53" t="n">
        <f aca="false">IF(COUNT('Business Case'!B11:G11)=0,"",H1028+NPV(G1028,I1028:M1028))</f>
        <v>-78992239.3615568</v>
      </c>
      <c r="P1028" s="54" t="n">
        <f aca="true">RAND()</f>
        <v>0.870792697393892</v>
      </c>
      <c r="Q1028" s="54" t="n">
        <f aca="true">RAND()</f>
        <v>0.943140912314958</v>
      </c>
      <c r="R1028" s="54" t="n">
        <f aca="true">RAND()</f>
        <v>0.919471007189434</v>
      </c>
      <c r="S1028" s="54" t="n">
        <f aca="true">RAND()</f>
        <v>0.125097914926529</v>
      </c>
      <c r="T1028" s="54" t="n">
        <f aca="true">RAND()</f>
        <v>0.283579649911627</v>
      </c>
      <c r="U1028" s="54" t="n">
        <f aca="true">RAND()</f>
        <v>0.819055890917494</v>
      </c>
    </row>
    <row r="1029" customFormat="false" ht="15" hidden="false" customHeight="false" outlineLevel="0" collapsed="false">
      <c r="A1029" s="50" t="n">
        <v>949</v>
      </c>
      <c r="B1029" s="51" t="n">
        <f aca="false">1+IF($G$6=$E$6,$F$6,IF(P1029&lt;($F$6-$E$6)/($G$6-$E$6),$E$6+SQRT(P1029*($G$6-$E$6)*($F$6-$E$6)),$G$6-SQRT((1-P1029)*($G$6-$E$6)*($G$6-$F$6))))</f>
        <v>0.952415923134378</v>
      </c>
      <c r="C1029" s="51" t="n">
        <f aca="false">1+IF($G$7=$E$7,$F$7,IF(Q1029&lt;($F$7-$E$7)/($G$7-$E$7),$E$7+SQRT(Q1029*($G$7-$E$7)*($F$7-$E$7)),$G$7-SQRT((1-Q1029)*($G$7-$E$7)*($G$7-$F$7))))</f>
        <v>0.794462760041544</v>
      </c>
      <c r="D1029" s="51" t="n">
        <f aca="false">1+IF($G$8=$E$8,$F$8,IF(R1029&lt;($F$8-$E$8)/($G$8-$E$8),$E$8+SQRT(R1029*($G$8-$E$8)*($F$8-$E$8)),$G$8-SQRT((1-R1029)*($G$8-$E$8)*($G$8-$F$8))))</f>
        <v>1.06698069895465</v>
      </c>
      <c r="E1029" s="51" t="n">
        <f aca="false">1+IF($G$9=$E$9,$F$9,IF(S1029&lt;($F$9-$E$9)/($G$9-$E$9),$E$9+SQRT(S1029*($G$9-$E$9)*($F$9-$E$9)),$G$9-SQRT((1-S1029)*($G$9-$E$9)*($G$9-$F$9))))</f>
        <v>0.987872491358495</v>
      </c>
      <c r="F1029" s="51" t="n">
        <f aca="false">1+IF($G$10=$E$10,$F$10,IF(T1029&lt;($F$10-$E$10)/($G$10-$E$10),$E$10+SQRT(T1029*($G$10-$E$10)*($F$10-$E$10)),$G$10-SQRT((1-T1029)*($G$10-$E$10)*($G$10-$F$10))))</f>
        <v>1.0027891448976</v>
      </c>
      <c r="G1029" s="52" t="n">
        <f aca="false">IF($G$11=$E$11,$F$11,IF(U1029&lt;($F$11-$E$11)/($G$11-$E$11),$E$11+SQRT(U1029*($G$11-$E$11)*($F$11-$E$11)),$G$11-SQRT((1-U1029)*($G$11-$E$11)*($G$11-$F$11))))</f>
        <v>0.110786941303626</v>
      </c>
      <c r="H1029" s="53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-2005578289.79519</v>
      </c>
      <c r="I1029" s="53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-94163916.4740624</v>
      </c>
      <c r="J1029" s="53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91651751.491577</v>
      </c>
      <c r="K1029" s="53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327606876.702096</v>
      </c>
      <c r="L1029" s="53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415695567.143153</v>
      </c>
      <c r="M1029" s="53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559521306.631955</v>
      </c>
      <c r="N1029" s="53" t="n">
        <f aca="false">IF(COUNT('Business Case'!B11:G11)=0,"",H1029+NPV(G1029,I1029:M1029))</f>
        <v>-1173104217.97523</v>
      </c>
      <c r="P1029" s="54" t="n">
        <f aca="true">RAND()</f>
        <v>0.183161933201936</v>
      </c>
      <c r="Q1029" s="54" t="n">
        <f aca="true">RAND()</f>
        <v>0.0660978743308611</v>
      </c>
      <c r="R1029" s="54" t="n">
        <f aca="true">RAND()</f>
        <v>0.927315050565115</v>
      </c>
      <c r="S1029" s="54" t="n">
        <f aca="true">RAND()</f>
        <v>0.308862989501953</v>
      </c>
      <c r="T1029" s="54" t="n">
        <f aca="true">RAND()</f>
        <v>0.185157241593849</v>
      </c>
      <c r="U1029" s="54" t="n">
        <f aca="true">RAND()</f>
        <v>0.753905583686457</v>
      </c>
    </row>
    <row r="1030" customFormat="false" ht="15" hidden="false" customHeight="false" outlineLevel="0" collapsed="false">
      <c r="A1030" s="50" t="n">
        <v>950</v>
      </c>
      <c r="B1030" s="51" t="n">
        <f aca="false">1+IF($G$6=$E$6,$F$6,IF(P1030&lt;($F$6-$E$6)/($G$6-$E$6),$E$6+SQRT(P1030*($G$6-$E$6)*($F$6-$E$6)),$G$6-SQRT((1-P1030)*($G$6-$E$6)*($G$6-$F$6))))</f>
        <v>0.925932464791518</v>
      </c>
      <c r="C1030" s="51" t="n">
        <f aca="false">1+IF($G$7=$E$7,$F$7,IF(Q1030&lt;($F$7-$E$7)/($G$7-$E$7),$E$7+SQRT(Q1030*($G$7-$E$7)*($F$7-$E$7)),$G$7-SQRT((1-Q1030)*($G$7-$E$7)*($G$7-$F$7))))</f>
        <v>0.901879129143882</v>
      </c>
      <c r="D1030" s="51" t="n">
        <f aca="false">1+IF($G$8=$E$8,$F$8,IF(R1030&lt;($F$8-$E$8)/($G$8-$E$8),$E$8+SQRT(R1030*($G$8-$E$8)*($F$8-$E$8)),$G$8-SQRT((1-R1030)*($G$8-$E$8)*($G$8-$F$8))))</f>
        <v>0.99931194100501</v>
      </c>
      <c r="E1030" s="51" t="n">
        <f aca="false">1+IF($G$9=$E$9,$F$9,IF(S1030&lt;($F$9-$E$9)/($G$9-$E$9),$E$9+SQRT(S1030*($G$9-$E$9)*($F$9-$E$9)),$G$9-SQRT((1-S1030)*($G$9-$E$9)*($G$9-$F$9))))</f>
        <v>1.05816526140149</v>
      </c>
      <c r="F1030" s="51" t="n">
        <f aca="false">1+IF($G$10=$E$10,$F$10,IF(T1030&lt;($F$10-$E$10)/($G$10-$E$10),$E$10+SQRT(T1030*($G$10-$E$10)*($F$10-$E$10)),$G$10-SQRT((1-T1030)*($G$10-$E$10)*($G$10-$F$10))))</f>
        <v>1.09737426592344</v>
      </c>
      <c r="G1030" s="52" t="n">
        <f aca="false">IF($G$11=$E$11,$F$11,IF(U1030&lt;($F$11-$E$11)/($G$11-$E$11),$E$11+SQRT(U1030*($G$11-$E$11)*($F$11-$E$11)),$G$11-SQRT((1-U1030)*($G$11-$E$11)*($G$11-$F$11))))</f>
        <v>0.0839145693475542</v>
      </c>
      <c r="H1030" s="53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-2194748531.84688</v>
      </c>
      <c r="I1030" s="53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-80881362.7071763</v>
      </c>
      <c r="J1030" s="53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141736305.262481</v>
      </c>
      <c r="K1030" s="53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419222686.528309</v>
      </c>
      <c r="L1030" s="53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522288911.79366</v>
      </c>
      <c r="M1030" s="53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681020759.475381</v>
      </c>
      <c r="N1030" s="53" t="n">
        <f aca="false">IF(COUNT('Business Case'!B11:G11)=0,"",H1030+NPV(G1030,I1030:M1030))</f>
        <v>-985964359.408949</v>
      </c>
      <c r="P1030" s="54" t="n">
        <f aca="true">RAND()</f>
        <v>0.0448328486775551</v>
      </c>
      <c r="Q1030" s="54" t="n">
        <f aca="true">RAND()</f>
        <v>0.301890242843645</v>
      </c>
      <c r="R1030" s="54" t="n">
        <f aca="true">RAND()</f>
        <v>0.324222336757545</v>
      </c>
      <c r="S1030" s="54" t="n">
        <f aca="true">RAND()</f>
        <v>0.77510348764117</v>
      </c>
      <c r="T1030" s="54" t="n">
        <f aca="true">RAND()</f>
        <v>0.689405137301216</v>
      </c>
      <c r="U1030" s="54" t="n">
        <f aca="true">RAND()</f>
        <v>0.015323853176811</v>
      </c>
    </row>
    <row r="1031" customFormat="false" ht="15" hidden="false" customHeight="false" outlineLevel="0" collapsed="false">
      <c r="A1031" s="50" t="n">
        <v>951</v>
      </c>
      <c r="B1031" s="51" t="n">
        <f aca="false">1+IF($G$6=$E$6,$F$6,IF(P1031&lt;($F$6-$E$6)/($G$6-$E$6),$E$6+SQRT(P1031*($G$6-$E$6)*($F$6-$E$6)),$G$6-SQRT((1-P1031)*($G$6-$E$6)*($G$6-$F$6))))</f>
        <v>1.00186617641944</v>
      </c>
      <c r="C1031" s="51" t="n">
        <f aca="false">1+IF($G$7=$E$7,$F$7,IF(Q1031&lt;($F$7-$E$7)/($G$7-$E$7),$E$7+SQRT(Q1031*($G$7-$E$7)*($F$7-$E$7)),$G$7-SQRT((1-Q1031)*($G$7-$E$7)*($G$7-$F$7))))</f>
        <v>0.928698597711958</v>
      </c>
      <c r="D1031" s="51" t="n">
        <f aca="false">1+IF($G$8=$E$8,$F$8,IF(R1031&lt;($F$8-$E$8)/($G$8-$E$8),$E$8+SQRT(R1031*($G$8-$E$8)*($F$8-$E$8)),$G$8-SQRT((1-R1031)*($G$8-$E$8)*($G$8-$F$8))))</f>
        <v>1.06661203756446</v>
      </c>
      <c r="E1031" s="51" t="n">
        <f aca="false">1+IF($G$9=$E$9,$F$9,IF(S1031&lt;($F$9-$E$9)/($G$9-$E$9),$E$9+SQRT(S1031*($G$9-$E$9)*($F$9-$E$9)),$G$9-SQRT((1-S1031)*($G$9-$E$9)*($G$9-$F$9))))</f>
        <v>1.05811841746418</v>
      </c>
      <c r="F1031" s="51" t="n">
        <f aca="false">1+IF($G$10=$E$10,$F$10,IF(T1031&lt;($F$10-$E$10)/($G$10-$E$10),$E$10+SQRT(T1031*($G$10-$E$10)*($F$10-$E$10)),$G$10-SQRT((1-T1031)*($G$10-$E$10)*($G$10-$F$10))))</f>
        <v>1.13906848047864</v>
      </c>
      <c r="G1031" s="52" t="n">
        <f aca="false">IF($G$11=$E$11,$F$11,IF(U1031&lt;($F$11-$E$11)/($G$11-$E$11),$E$11+SQRT(U1031*($G$11-$E$11)*($F$11-$E$11)),$G$11-SQRT((1-U1031)*($G$11-$E$11)*($G$11-$F$11))))</f>
        <v>0.0968068781456168</v>
      </c>
      <c r="H1031" s="53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-2278136960.95728</v>
      </c>
      <c r="I1031" s="53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-57602343.0278672</v>
      </c>
      <c r="J1031" s="53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197400180.964494</v>
      </c>
      <c r="K1031" s="53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509356128.980788</v>
      </c>
      <c r="L1031" s="53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626512690.317547</v>
      </c>
      <c r="M1031" s="53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803369150.350395</v>
      </c>
      <c r="N1031" s="53" t="n">
        <f aca="false">IF(COUNT('Business Case'!B11:G11)=0,"",H1031+NPV(G1031,I1031:M1031))</f>
        <v>-841470205.933742</v>
      </c>
      <c r="P1031" s="54" t="n">
        <f aca="true">RAND()</f>
        <v>0.69108467033535</v>
      </c>
      <c r="Q1031" s="54" t="n">
        <f aca="true">RAND()</f>
        <v>0.387429989595676</v>
      </c>
      <c r="R1031" s="54" t="n">
        <f aca="true">RAND()</f>
        <v>0.925682930960183</v>
      </c>
      <c r="S1031" s="54" t="n">
        <f aca="true">RAND()</f>
        <v>0.77487399441901</v>
      </c>
      <c r="T1031" s="54" t="n">
        <f aca="true">RAND()</f>
        <v>0.835922639689099</v>
      </c>
      <c r="U1031" s="54" t="n">
        <f aca="true">RAND()</f>
        <v>0.28247115300161</v>
      </c>
    </row>
    <row r="1032" customFormat="false" ht="15" hidden="false" customHeight="false" outlineLevel="0" collapsed="false">
      <c r="A1032" s="50" t="n">
        <v>952</v>
      </c>
      <c r="B1032" s="51" t="n">
        <f aca="false">1+IF($G$6=$E$6,$F$6,IF(P1032&lt;($F$6-$E$6)/($G$6-$E$6),$E$6+SQRT(P1032*($G$6-$E$6)*($F$6-$E$6)),$G$6-SQRT((1-P1032)*($G$6-$E$6)*($G$6-$F$6))))</f>
        <v>1.02571194342394</v>
      </c>
      <c r="C1032" s="51" t="n">
        <f aca="false">1+IF($G$7=$E$7,$F$7,IF(Q1032&lt;($F$7-$E$7)/($G$7-$E$7),$E$7+SQRT(Q1032*($G$7-$E$7)*($F$7-$E$7)),$G$7-SQRT((1-Q1032)*($G$7-$E$7)*($G$7-$F$7))))</f>
        <v>0.772923606099431</v>
      </c>
      <c r="D1032" s="51" t="n">
        <f aca="false">1+IF($G$8=$E$8,$F$8,IF(R1032&lt;($F$8-$E$8)/($G$8-$E$8),$E$8+SQRT(R1032*($G$8-$E$8)*($F$8-$E$8)),$G$8-SQRT((1-R1032)*($G$8-$E$8)*($G$8-$F$8))))</f>
        <v>0.999872973662235</v>
      </c>
      <c r="E1032" s="51" t="n">
        <f aca="false">1+IF($G$9=$E$9,$F$9,IF(S1032&lt;($F$9-$E$9)/($G$9-$E$9),$E$9+SQRT(S1032*($G$9-$E$9)*($F$9-$E$9)),$G$9-SQRT((1-S1032)*($G$9-$E$9)*($G$9-$F$9))))</f>
        <v>0.982742784228094</v>
      </c>
      <c r="F1032" s="51" t="n">
        <f aca="false">1+IF($G$10=$E$10,$F$10,IF(T1032&lt;($F$10-$E$10)/($G$10-$E$10),$E$10+SQRT(T1032*($G$10-$E$10)*($F$10-$E$10)),$G$10-SQRT((1-T1032)*($G$10-$E$10)*($G$10-$F$10))))</f>
        <v>1.06240812515756</v>
      </c>
      <c r="G1032" s="52" t="n">
        <f aca="false">IF($G$11=$E$11,$F$11,IF(U1032&lt;($F$11-$E$11)/($G$11-$E$11),$E$11+SQRT(U1032*($G$11-$E$11)*($F$11-$E$11)),$G$11-SQRT((1-U1032)*($G$11-$E$11)*($G$11-$F$11))))</f>
        <v>0.083168267265167</v>
      </c>
      <c r="H1032" s="53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-2124816250.31511</v>
      </c>
      <c r="I1032" s="53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-33352419.6584729</v>
      </c>
      <c r="J1032" s="53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220380592.254969</v>
      </c>
      <c r="K1032" s="53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527234010.426289</v>
      </c>
      <c r="L1032" s="53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639210744.490053</v>
      </c>
      <c r="M1032" s="53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789905593.332776</v>
      </c>
      <c r="N1032" s="53" t="n">
        <f aca="false">IF(COUNT('Business Case'!B11:G11)=0,"",H1032+NPV(G1032,I1032:M1032))</f>
        <v>-558751280.466649</v>
      </c>
      <c r="P1032" s="54" t="n">
        <f aca="true">RAND()</f>
        <v>0.921345374367754</v>
      </c>
      <c r="Q1032" s="54" t="n">
        <f aca="true">RAND()</f>
        <v>0.0393914987151482</v>
      </c>
      <c r="R1032" s="54" t="n">
        <f aca="true">RAND()</f>
        <v>0.3316418002552</v>
      </c>
      <c r="S1032" s="54" t="n">
        <f aca="true">RAND()</f>
        <v>0.273854733672675</v>
      </c>
      <c r="T1032" s="54" t="n">
        <f aca="true">RAND()</f>
        <v>0.530790513241292</v>
      </c>
      <c r="U1032" s="54" t="n">
        <f aca="true">RAND()</f>
        <v>0.010037917463529</v>
      </c>
    </row>
    <row r="1033" customFormat="false" ht="15" hidden="false" customHeight="false" outlineLevel="0" collapsed="false">
      <c r="A1033" s="50" t="n">
        <v>953</v>
      </c>
      <c r="B1033" s="51" t="n">
        <f aca="false">1+IF($G$6=$E$6,$F$6,IF(P1033&lt;($F$6-$E$6)/($G$6-$E$6),$E$6+SQRT(P1033*($G$6-$E$6)*($F$6-$E$6)),$G$6-SQRT((1-P1033)*($G$6-$E$6)*($G$6-$F$6))))</f>
        <v>0.926632170797091</v>
      </c>
      <c r="C1033" s="51" t="n">
        <f aca="false">1+IF($G$7=$E$7,$F$7,IF(Q1033&lt;($F$7-$E$7)/($G$7-$E$7),$E$7+SQRT(Q1033*($G$7-$E$7)*($F$7-$E$7)),$G$7-SQRT((1-Q1033)*($G$7-$E$7)*($G$7-$F$7))))</f>
        <v>1.00600113212423</v>
      </c>
      <c r="D1033" s="51" t="n">
        <f aca="false">1+IF($G$8=$E$8,$F$8,IF(R1033&lt;($F$8-$E$8)/($G$8-$E$8),$E$8+SQRT(R1033*($G$8-$E$8)*($F$8-$E$8)),$G$8-SQRT((1-R1033)*($G$8-$E$8)*($G$8-$F$8))))</f>
        <v>0.977158976908085</v>
      </c>
      <c r="E1033" s="51" t="n">
        <f aca="false">1+IF($G$9=$E$9,$F$9,IF(S1033&lt;($F$9-$E$9)/($G$9-$E$9),$E$9+SQRT(S1033*($G$9-$E$9)*($F$9-$E$9)),$G$9-SQRT((1-S1033)*($G$9-$E$9)*($G$9-$F$9))))</f>
        <v>1.05702613258188</v>
      </c>
      <c r="F1033" s="51" t="n">
        <f aca="false">1+IF($G$10=$E$10,$F$10,IF(T1033&lt;($F$10-$E$10)/($G$10-$E$10),$E$10+SQRT(T1033*($G$10-$E$10)*($F$10-$E$10)),$G$10-SQRT((1-T1033)*($G$10-$E$10)*($G$10-$F$10))))</f>
        <v>0.997383399484016</v>
      </c>
      <c r="G1033" s="52" t="n">
        <f aca="false">IF($G$11=$E$11,$F$11,IF(U1033&lt;($F$11-$E$11)/($G$11-$E$11),$E$11+SQRT(U1033*($G$11-$E$11)*($F$11-$E$11)),$G$11-SQRT((1-U1033)*($G$11-$E$11)*($G$11-$F$11))))</f>
        <v>0.0928374380473121</v>
      </c>
      <c r="H1033" s="53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-1994766798.96803</v>
      </c>
      <c r="I1033" s="53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-38068299.4589623</v>
      </c>
      <c r="J1033" s="53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222235742.871558</v>
      </c>
      <c r="K1033" s="53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532408955.176279</v>
      </c>
      <c r="L1033" s="53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651393559.811744</v>
      </c>
      <c r="M1033" s="53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828584807.70085</v>
      </c>
      <c r="N1033" s="53" t="n">
        <f aca="false">IF(COUNT('Business Case'!B11:G11)=0,"",H1033+NPV(G1033,I1033:M1033))</f>
        <v>-447338336.989302</v>
      </c>
      <c r="P1033" s="54" t="n">
        <f aca="true">RAND()</f>
        <v>0.047284834757694</v>
      </c>
      <c r="Q1033" s="54" t="n">
        <f aca="true">RAND()</f>
        <v>0.69280483037772</v>
      </c>
      <c r="R1033" s="54" t="n">
        <f aca="true">RAND()</f>
        <v>0.0983480035591856</v>
      </c>
      <c r="S1033" s="54" t="n">
        <f aca="true">RAND()</f>
        <v>0.769489599395122</v>
      </c>
      <c r="T1033" s="54" t="n">
        <f aca="true">RAND()</f>
        <v>0.149679103110787</v>
      </c>
      <c r="U1033" s="54" t="n">
        <f aca="true">RAND()</f>
        <v>0.164799815618575</v>
      </c>
    </row>
    <row r="1034" customFormat="false" ht="15" hidden="false" customHeight="false" outlineLevel="0" collapsed="false">
      <c r="A1034" s="50" t="n">
        <v>954</v>
      </c>
      <c r="B1034" s="51" t="n">
        <f aca="false">1+IF($G$6=$E$6,$F$6,IF(P1034&lt;($F$6-$E$6)/($G$6-$E$6),$E$6+SQRT(P1034*($G$6-$E$6)*($F$6-$E$6)),$G$6-SQRT((1-P1034)*($G$6-$E$6)*($G$6-$F$6))))</f>
        <v>0.989443552252552</v>
      </c>
      <c r="C1034" s="51" t="n">
        <f aca="false">1+IF($G$7=$E$7,$F$7,IF(Q1034&lt;($F$7-$E$7)/($G$7-$E$7),$E$7+SQRT(Q1034*($G$7-$E$7)*($F$7-$E$7)),$G$7-SQRT((1-Q1034)*($G$7-$E$7)*($G$7-$F$7))))</f>
        <v>0.938519841993596</v>
      </c>
      <c r="D1034" s="51" t="n">
        <f aca="false">1+IF($G$8=$E$8,$F$8,IF(R1034&lt;($F$8-$E$8)/($G$8-$E$8),$E$8+SQRT(R1034*($G$8-$E$8)*($F$8-$E$8)),$G$8-SQRT((1-R1034)*($G$8-$E$8)*($G$8-$F$8))))</f>
        <v>1.01633141352726</v>
      </c>
      <c r="E1034" s="51" t="n">
        <f aca="false">1+IF($G$9=$E$9,$F$9,IF(S1034&lt;($F$9-$E$9)/($G$9-$E$9),$E$9+SQRT(S1034*($G$9-$E$9)*($F$9-$E$9)),$G$9-SQRT((1-S1034)*($G$9-$E$9)*($G$9-$F$9))))</f>
        <v>0.995284283438651</v>
      </c>
      <c r="F1034" s="51" t="n">
        <f aca="false">1+IF($G$10=$E$10,$F$10,IF(T1034&lt;($F$10-$E$10)/($G$10-$E$10),$E$10+SQRT(T1034*($G$10-$E$10)*($F$10-$E$10)),$G$10-SQRT((1-T1034)*($G$10-$E$10)*($G$10-$F$10))))</f>
        <v>1.0855186837232</v>
      </c>
      <c r="G1034" s="52" t="n">
        <f aca="false">IF($G$11=$E$11,$F$11,IF(U1034&lt;($F$11-$E$11)/($G$11-$E$11),$E$11+SQRT(U1034*($G$11-$E$11)*($F$11-$E$11)),$G$11-SQRT((1-U1034)*($G$11-$E$11)*($G$11-$F$11))))</f>
        <v>0.0835660946097908</v>
      </c>
      <c r="H1034" s="53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-2171037367.44639</v>
      </c>
      <c r="I1034" s="53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-25913597.1645214</v>
      </c>
      <c r="J1034" s="53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246393366.291967</v>
      </c>
      <c r="K1034" s="53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572976263.934615</v>
      </c>
      <c r="L1034" s="53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695838096.515921</v>
      </c>
      <c r="M1034" s="53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872348742.70954</v>
      </c>
      <c r="N1034" s="53" t="n">
        <f aca="false">IF(COUNT('Business Case'!B11:G11)=0,"",H1034+NPV(G1034,I1034:M1034))</f>
        <v>-445964772.518406</v>
      </c>
      <c r="P1034" s="54" t="n">
        <f aca="true">RAND()</f>
        <v>0.533343269303664</v>
      </c>
      <c r="Q1034" s="54" t="n">
        <f aca="true">RAND()</f>
        <v>0.421420111293703</v>
      </c>
      <c r="R1034" s="54" t="n">
        <f aca="true">RAND()</f>
        <v>0.533304509176905</v>
      </c>
      <c r="S1034" s="54" t="n">
        <f aca="true">RAND()</f>
        <v>0.363163786816683</v>
      </c>
      <c r="T1034" s="54" t="n">
        <f aca="true">RAND()</f>
        <v>0.639278621277997</v>
      </c>
      <c r="U1034" s="54" t="n">
        <f aca="true">RAND()</f>
        <v>0.0127170307659787</v>
      </c>
    </row>
    <row r="1035" customFormat="false" ht="15" hidden="false" customHeight="false" outlineLevel="0" collapsed="false">
      <c r="A1035" s="50" t="n">
        <v>955</v>
      </c>
      <c r="B1035" s="51" t="n">
        <f aca="false">1+IF($G$6=$E$6,$F$6,IF(P1035&lt;($F$6-$E$6)/($G$6-$E$6),$E$6+SQRT(P1035*($G$6-$E$6)*($F$6-$E$6)),$G$6-SQRT((1-P1035)*($G$6-$E$6)*($G$6-$F$6))))</f>
        <v>0.996178829508946</v>
      </c>
      <c r="C1035" s="51" t="n">
        <f aca="false">1+IF($G$7=$E$7,$F$7,IF(Q1035&lt;($F$7-$E$7)/($G$7-$E$7),$E$7+SQRT(Q1035*($G$7-$E$7)*($F$7-$E$7)),$G$7-SQRT((1-Q1035)*($G$7-$E$7)*($G$7-$F$7))))</f>
        <v>0.913772753973295</v>
      </c>
      <c r="D1035" s="51" t="n">
        <f aca="false">1+IF($G$8=$E$8,$F$8,IF(R1035&lt;($F$8-$E$8)/($G$8-$E$8),$E$8+SQRT(R1035*($G$8-$E$8)*($F$8-$E$8)),$G$8-SQRT((1-R1035)*($G$8-$E$8)*($G$8-$F$8))))</f>
        <v>0.991626202678016</v>
      </c>
      <c r="E1035" s="51" t="n">
        <f aca="false">1+IF($G$9=$E$9,$F$9,IF(S1035&lt;($F$9-$E$9)/($G$9-$E$9),$E$9+SQRT(S1035*($G$9-$E$9)*($F$9-$E$9)),$G$9-SQRT((1-S1035)*($G$9-$E$9)*($G$9-$F$9))))</f>
        <v>0.949735021432283</v>
      </c>
      <c r="F1035" s="51" t="n">
        <f aca="false">1+IF($G$10=$E$10,$F$10,IF(T1035&lt;($F$10-$E$10)/($G$10-$E$10),$E$10+SQRT(T1035*($G$10-$E$10)*($F$10-$E$10)),$G$10-SQRT((1-T1035)*($G$10-$E$10)*($G$10-$F$10))))</f>
        <v>1.09565511455383</v>
      </c>
      <c r="G1035" s="52" t="n">
        <f aca="false">IF($G$11=$E$11,$F$11,IF(U1035&lt;($F$11-$E$11)/($G$11-$E$11),$E$11+SQRT(U1035*($G$11-$E$11)*($F$11-$E$11)),$G$11-SQRT((1-U1035)*($G$11-$E$11)*($G$11-$F$11))))</f>
        <v>0.103895524765749</v>
      </c>
      <c r="H1035" s="53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-2191310229.10767</v>
      </c>
      <c r="I1035" s="53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-10082529.1538817</v>
      </c>
      <c r="J1035" s="53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271641743.993187</v>
      </c>
      <c r="K1035" s="53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608148772.867947</v>
      </c>
      <c r="L1035" s="53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733516177.782234</v>
      </c>
      <c r="M1035" s="53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906542404.041187</v>
      </c>
      <c r="N1035" s="53" t="n">
        <f aca="false">IF(COUNT('Business Case'!B11:G11)=0,"",H1035+NPV(G1035,I1035:M1035))</f>
        <v>-478440806.482768</v>
      </c>
      <c r="P1035" s="54" t="n">
        <f aca="true">RAND()</f>
        <v>0.616691149714065</v>
      </c>
      <c r="Q1035" s="54" t="n">
        <f aca="true">RAND()</f>
        <v>0.338509558083902</v>
      </c>
      <c r="R1035" s="54" t="n">
        <f aca="true">RAND()</f>
        <v>0.23103209991883</v>
      </c>
      <c r="S1035" s="54" t="n">
        <f aca="true">RAND()</f>
        <v>0.0989428942747848</v>
      </c>
      <c r="T1035" s="54" t="n">
        <f aca="true">RAND()</f>
        <v>0.682368751154796</v>
      </c>
      <c r="U1035" s="54" t="n">
        <f aca="true">RAND()</f>
        <v>0.545704248496266</v>
      </c>
    </row>
    <row r="1036" customFormat="false" ht="15" hidden="false" customHeight="false" outlineLevel="0" collapsed="false">
      <c r="A1036" s="50" t="n">
        <v>956</v>
      </c>
      <c r="B1036" s="51" t="n">
        <f aca="false">1+IF($G$6=$E$6,$F$6,IF(P1036&lt;($F$6-$E$6)/($G$6-$E$6),$E$6+SQRT(P1036*($G$6-$E$6)*($F$6-$E$6)),$G$6-SQRT((1-P1036)*($G$6-$E$6)*($G$6-$F$6))))</f>
        <v>0.990368110414614</v>
      </c>
      <c r="C1036" s="51" t="n">
        <f aca="false">1+IF($G$7=$E$7,$F$7,IF(Q1036&lt;($F$7-$E$7)/($G$7-$E$7),$E$7+SQRT(Q1036*($G$7-$E$7)*($F$7-$E$7)),$G$7-SQRT((1-Q1036)*($G$7-$E$7)*($G$7-$F$7))))</f>
        <v>0.744512947672807</v>
      </c>
      <c r="D1036" s="51" t="n">
        <f aca="false">1+IF($G$8=$E$8,$F$8,IF(R1036&lt;($F$8-$E$8)/($G$8-$E$8),$E$8+SQRT(R1036*($G$8-$E$8)*($F$8-$E$8)),$G$8-SQRT((1-R1036)*($G$8-$E$8)*($G$8-$F$8))))</f>
        <v>1.04308022388602</v>
      </c>
      <c r="E1036" s="51" t="n">
        <f aca="false">1+IF($G$9=$E$9,$F$9,IF(S1036&lt;($F$9-$E$9)/($G$9-$E$9),$E$9+SQRT(S1036*($G$9-$E$9)*($F$9-$E$9)),$G$9-SQRT((1-S1036)*($G$9-$E$9)*($G$9-$F$9))))</f>
        <v>0.972946570554597</v>
      </c>
      <c r="F1036" s="51" t="n">
        <f aca="false">1+IF($G$10=$E$10,$F$10,IF(T1036&lt;($F$10-$E$10)/($G$10-$E$10),$E$10+SQRT(T1036*($G$10-$E$10)*($F$10-$E$10)),$G$10-SQRT((1-T1036)*($G$10-$E$10)*($G$10-$F$10))))</f>
        <v>1.04110881760484</v>
      </c>
      <c r="G1036" s="52" t="n">
        <f aca="false">IF($G$11=$E$11,$F$11,IF(U1036&lt;($F$11-$E$11)/($G$11-$E$11),$E$11+SQRT(U1036*($G$11-$E$11)*($F$11-$E$11)),$G$11-SQRT((1-U1036)*($G$11-$E$11)*($G$11-$F$11))))</f>
        <v>0.097009373676547</v>
      </c>
      <c r="H1036" s="53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-2082217635.20968</v>
      </c>
      <c r="I1036" s="53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-74301877.8421054</v>
      </c>
      <c r="J1036" s="53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132083931.528779</v>
      </c>
      <c r="K1036" s="53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390525181.779906</v>
      </c>
      <c r="L1036" s="53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484802986.983295</v>
      </c>
      <c r="M1036" s="53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624956931.755315</v>
      </c>
      <c r="N1036" s="53" t="n">
        <f aca="false">IF(COUNT('Business Case'!B11:G11)=0,"",H1036+NPV(G1036,I1036:M1036))</f>
        <v>-1016259144.63959</v>
      </c>
      <c r="P1036" s="54" t="n">
        <f aca="true">RAND()</f>
        <v>0.544426358660525</v>
      </c>
      <c r="Q1036" s="54" t="n">
        <f aca="true">RAND()</f>
        <v>0.0146770556334967</v>
      </c>
      <c r="R1036" s="54" t="n">
        <f aca="true">RAND()</f>
        <v>0.784009272475594</v>
      </c>
      <c r="S1036" s="54" t="n">
        <f aca="true">RAND()</f>
        <v>0.21284808622707</v>
      </c>
      <c r="T1036" s="54" t="n">
        <f aca="true">RAND()</f>
        <v>0.418192985567373</v>
      </c>
      <c r="U1036" s="54" t="n">
        <f aca="true">RAND()</f>
        <v>0.28931879286841</v>
      </c>
    </row>
    <row r="1037" customFormat="false" ht="15" hidden="false" customHeight="false" outlineLevel="0" collapsed="false">
      <c r="A1037" s="50" t="n">
        <v>957</v>
      </c>
      <c r="B1037" s="51" t="n">
        <f aca="false">1+IF($G$6=$E$6,$F$6,IF(P1037&lt;($F$6-$E$6)/($G$6-$E$6),$E$6+SQRT(P1037*($G$6-$E$6)*($F$6-$E$6)),$G$6-SQRT((1-P1037)*($G$6-$E$6)*($G$6-$F$6))))</f>
        <v>1.01734248997579</v>
      </c>
      <c r="C1037" s="51" t="n">
        <f aca="false">1+IF($G$7=$E$7,$F$7,IF(Q1037&lt;($F$7-$E$7)/($G$7-$E$7),$E$7+SQRT(Q1037*($G$7-$E$7)*($F$7-$E$7)),$G$7-SQRT((1-Q1037)*($G$7-$E$7)*($G$7-$F$7))))</f>
        <v>1.08134167157636</v>
      </c>
      <c r="D1037" s="51" t="n">
        <f aca="false">1+IF($G$8=$E$8,$F$8,IF(R1037&lt;($F$8-$E$8)/($G$8-$E$8),$E$8+SQRT(R1037*($G$8-$E$8)*($F$8-$E$8)),$G$8-SQRT((1-R1037)*($G$8-$E$8)*($G$8-$F$8))))</f>
        <v>0.991363639608571</v>
      </c>
      <c r="E1037" s="51" t="n">
        <f aca="false">1+IF($G$9=$E$9,$F$9,IF(S1037&lt;($F$9-$E$9)/($G$9-$E$9),$E$9+SQRT(S1037*($G$9-$E$9)*($F$9-$E$9)),$G$9-SQRT((1-S1037)*($G$9-$E$9)*($G$9-$F$9))))</f>
        <v>1.12639526456037</v>
      </c>
      <c r="F1037" s="51" t="n">
        <f aca="false">1+IF($G$10=$E$10,$F$10,IF(T1037&lt;($F$10-$E$10)/($G$10-$E$10),$E$10+SQRT(T1037*($G$10-$E$10)*($F$10-$E$10)),$G$10-SQRT((1-T1037)*($G$10-$E$10)*($G$10-$F$10))))</f>
        <v>1.14265722712978</v>
      </c>
      <c r="G1037" s="52" t="n">
        <f aca="false">IF($G$11=$E$11,$F$11,IF(U1037&lt;($F$11-$E$11)/($G$11-$E$11),$E$11+SQRT(U1037*($G$11-$E$11)*($F$11-$E$11)),$G$11-SQRT((1-U1037)*($G$11-$E$11)*($G$11-$F$11))))</f>
        <v>0.102674177377582</v>
      </c>
      <c r="H1037" s="53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-2285314454.25955</v>
      </c>
      <c r="I1037" s="53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20809145.107043</v>
      </c>
      <c r="J1037" s="53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373086335.466116</v>
      </c>
      <c r="K1037" s="53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782496387.181677</v>
      </c>
      <c r="L1037" s="53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937941394.580413</v>
      </c>
      <c r="M1037" s="53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1147047419.61516</v>
      </c>
      <c r="N1037" s="53" t="n">
        <f aca="false">IF(COUNT('Business Case'!B11:G11)=0,"",H1037+NPV(G1037,I1037:M1037))</f>
        <v>-37900379.5467749</v>
      </c>
      <c r="P1037" s="54" t="n">
        <f aca="true">RAND()</f>
        <v>0.857798271869114</v>
      </c>
      <c r="Q1037" s="54" t="n">
        <f aca="true">RAND()</f>
        <v>0.930163465749206</v>
      </c>
      <c r="R1037" s="54" t="n">
        <f aca="true">RAND()</f>
        <v>0.228126757555703</v>
      </c>
      <c r="S1037" s="54" t="n">
        <f aca="true">RAND()</f>
        <v>0.985141772395336</v>
      </c>
      <c r="T1037" s="54" t="n">
        <f aca="true">RAND()</f>
        <v>0.846367054833751</v>
      </c>
      <c r="U1037" s="54" t="n">
        <f aca="true">RAND()</f>
        <v>0.502199612005431</v>
      </c>
    </row>
    <row r="1038" customFormat="false" ht="15" hidden="false" customHeight="false" outlineLevel="0" collapsed="false">
      <c r="A1038" s="50" t="n">
        <v>958</v>
      </c>
      <c r="B1038" s="51" t="n">
        <f aca="false">1+IF($G$6=$E$6,$F$6,IF(P1038&lt;($F$6-$E$6)/($G$6-$E$6),$E$6+SQRT(P1038*($G$6-$E$6)*($F$6-$E$6)),$G$6-SQRT((1-P1038)*($G$6-$E$6)*($G$6-$F$6))))</f>
        <v>1.02281994560917</v>
      </c>
      <c r="C1038" s="51" t="n">
        <f aca="false">1+IF($G$7=$E$7,$F$7,IF(Q1038&lt;($F$7-$E$7)/($G$7-$E$7),$E$7+SQRT(Q1038*($G$7-$E$7)*($F$7-$E$7)),$G$7-SQRT((1-Q1038)*($G$7-$E$7)*($G$7-$F$7))))</f>
        <v>1.06720193468722</v>
      </c>
      <c r="D1038" s="51" t="n">
        <f aca="false">1+IF($G$8=$E$8,$F$8,IF(R1038&lt;($F$8-$E$8)/($G$8-$E$8),$E$8+SQRT(R1038*($G$8-$E$8)*($F$8-$E$8)),$G$8-SQRT((1-R1038)*($G$8-$E$8)*($G$8-$F$8))))</f>
        <v>1.05482387018466</v>
      </c>
      <c r="E1038" s="51" t="n">
        <f aca="false">1+IF($G$9=$E$9,$F$9,IF(S1038&lt;($F$9-$E$9)/($G$9-$E$9),$E$9+SQRT(S1038*($G$9-$E$9)*($F$9-$E$9)),$G$9-SQRT((1-S1038)*($G$9-$E$9)*($G$9-$F$9))))</f>
        <v>1.05016159436877</v>
      </c>
      <c r="F1038" s="51" t="n">
        <f aca="false">1+IF($G$10=$E$10,$F$10,IF(T1038&lt;($F$10-$E$10)/($G$10-$E$10),$E$10+SQRT(T1038*($G$10-$E$10)*($F$10-$E$10)),$G$10-SQRT((1-T1038)*($G$10-$E$10)*($G$10-$F$10))))</f>
        <v>1.00612806290018</v>
      </c>
      <c r="G1038" s="52" t="n">
        <f aca="false">IF($G$11=$E$11,$F$11,IF(U1038&lt;($F$11-$E$11)/($G$11-$E$11),$E$11+SQRT(U1038*($G$11-$E$11)*($F$11-$E$11)),$G$11-SQRT((1-U1038)*($G$11-$E$11)*($G$11-$F$11))))</f>
        <v>0.0853878127899042</v>
      </c>
      <c r="H1038" s="53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-2012256125.80036</v>
      </c>
      <c r="I1038" s="53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11256965.06198</v>
      </c>
      <c r="J1038" s="53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329045948.354371</v>
      </c>
      <c r="K1038" s="53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697141334.791771</v>
      </c>
      <c r="L1038" s="53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840795151.370005</v>
      </c>
      <c r="M1038" s="53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1048278006.51424</v>
      </c>
      <c r="N1038" s="53" t="n">
        <f aca="false">IF(COUNT('Business Case'!B11:G11)=0,"",H1038+NPV(G1038,I1038:M1038))</f>
        <v>124375557.431174</v>
      </c>
      <c r="P1038" s="54" t="n">
        <f aca="true">RAND()</f>
        <v>0.901499285774879</v>
      </c>
      <c r="Q1038" s="54" t="n">
        <f aca="true">RAND()</f>
        <v>0.898436746377201</v>
      </c>
      <c r="R1038" s="54" t="n">
        <f aca="true">RAND()</f>
        <v>0.86394115299383</v>
      </c>
      <c r="S1038" s="54" t="n">
        <f aca="true">RAND()</f>
        <v>0.734194473627022</v>
      </c>
      <c r="T1038" s="54" t="n">
        <f aca="true">RAND()</f>
        <v>0.20701971060242</v>
      </c>
      <c r="U1038" s="54" t="n">
        <f aca="true">RAND()</f>
        <v>0.0290285266590549</v>
      </c>
    </row>
    <row r="1039" customFormat="false" ht="15" hidden="false" customHeight="false" outlineLevel="0" collapsed="false">
      <c r="A1039" s="50" t="n">
        <v>959</v>
      </c>
      <c r="B1039" s="51" t="n">
        <f aca="false">1+IF($G$6=$E$6,$F$6,IF(P1039&lt;($F$6-$E$6)/($G$6-$E$6),$E$6+SQRT(P1039*($G$6-$E$6)*($F$6-$E$6)),$G$6-SQRT((1-P1039)*($G$6-$E$6)*($G$6-$F$6))))</f>
        <v>1.00280296459995</v>
      </c>
      <c r="C1039" s="51" t="n">
        <f aca="false">1+IF($G$7=$E$7,$F$7,IF(Q1039&lt;($F$7-$E$7)/($G$7-$E$7),$E$7+SQRT(Q1039*($G$7-$E$7)*($F$7-$E$7)),$G$7-SQRT((1-Q1039)*($G$7-$E$7)*($G$7-$F$7))))</f>
        <v>1.05642655850429</v>
      </c>
      <c r="D1039" s="51" t="n">
        <f aca="false">1+IF($G$8=$E$8,$F$8,IF(R1039&lt;($F$8-$E$8)/($G$8-$E$8),$E$8+SQRT(R1039*($G$8-$E$8)*($F$8-$E$8)),$G$8-SQRT((1-R1039)*($G$8-$E$8)*($G$8-$F$8))))</f>
        <v>1.00412251815637</v>
      </c>
      <c r="E1039" s="51" t="n">
        <f aca="false">1+IF($G$9=$E$9,$F$9,IF(S1039&lt;($F$9-$E$9)/($G$9-$E$9),$E$9+SQRT(S1039*($G$9-$E$9)*($F$9-$E$9)),$G$9-SQRT((1-S1039)*($G$9-$E$9)*($G$9-$F$9))))</f>
        <v>0.981135972967921</v>
      </c>
      <c r="F1039" s="51" t="n">
        <f aca="false">1+IF($G$10=$E$10,$F$10,IF(T1039&lt;($F$10-$E$10)/($G$10-$E$10),$E$10+SQRT(T1039*($G$10-$E$10)*($F$10-$E$10)),$G$10-SQRT((1-T1039)*($G$10-$E$10)*($G$10-$F$10))))</f>
        <v>1.00926497257761</v>
      </c>
      <c r="G1039" s="52" t="n">
        <f aca="false">IF($G$11=$E$11,$F$11,IF(U1039&lt;($F$11-$E$11)/($G$11-$E$11),$E$11+SQRT(U1039*($G$11-$E$11)*($F$11-$E$11)),$G$11-SQRT((1-U1039)*($G$11-$E$11)*($G$11-$F$11))))</f>
        <v>0.101790253830658</v>
      </c>
      <c r="H1039" s="53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-2018529945.15522</v>
      </c>
      <c r="I1039" s="53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29316733.6278082</v>
      </c>
      <c r="J1039" s="53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353996157.446867</v>
      </c>
      <c r="K1039" s="53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729138829.894807</v>
      </c>
      <c r="L1039" s="53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873977742.886128</v>
      </c>
      <c r="M1039" s="53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1075346154.00345</v>
      </c>
      <c r="N1039" s="53" t="n">
        <f aca="false">IF(COUNT('Business Case'!B11:G11)=0,"",H1039+NPV(G1039,I1039:M1039))</f>
        <v>100200509.324939</v>
      </c>
      <c r="P1039" s="54" t="n">
        <f aca="true">RAND()</f>
        <v>0.702991979926168</v>
      </c>
      <c r="Q1039" s="54" t="n">
        <f aca="true">RAND()</f>
        <v>0.870281645135546</v>
      </c>
      <c r="R1039" s="54" t="n">
        <f aca="true">RAND()</f>
        <v>0.387167231688311</v>
      </c>
      <c r="S1039" s="54" t="n">
        <f aca="true">RAND()</f>
        <v>0.263321844378052</v>
      </c>
      <c r="T1039" s="54" t="n">
        <f aca="true">RAND()</f>
        <v>0.227288620959212</v>
      </c>
      <c r="U1039" s="54" t="n">
        <f aca="true">RAND()</f>
        <v>0.469473480707517</v>
      </c>
    </row>
    <row r="1040" customFormat="false" ht="15" hidden="false" customHeight="false" outlineLevel="0" collapsed="false">
      <c r="A1040" s="50" t="n">
        <v>960</v>
      </c>
      <c r="B1040" s="51" t="n">
        <f aca="false">1+IF($G$6=$E$6,$F$6,IF(P1040&lt;($F$6-$E$6)/($G$6-$E$6),$E$6+SQRT(P1040*($G$6-$E$6)*($F$6-$E$6)),$G$6-SQRT((1-P1040)*($G$6-$E$6)*($G$6-$F$6))))</f>
        <v>0.990061045768406</v>
      </c>
      <c r="C1040" s="51" t="n">
        <f aca="false">1+IF($G$7=$E$7,$F$7,IF(Q1040&lt;($F$7-$E$7)/($G$7-$E$7),$E$7+SQRT(Q1040*($G$7-$E$7)*($F$7-$E$7)),$G$7-SQRT((1-Q1040)*($G$7-$E$7)*($G$7-$F$7))))</f>
        <v>1.07850969772989</v>
      </c>
      <c r="D1040" s="51" t="n">
        <f aca="false">1+IF($G$8=$E$8,$F$8,IF(R1040&lt;($F$8-$E$8)/($G$8-$E$8),$E$8+SQRT(R1040*($G$8-$E$8)*($F$8-$E$8)),$G$8-SQRT((1-R1040)*($G$8-$E$8)*($G$8-$F$8))))</f>
        <v>1.02546813089308</v>
      </c>
      <c r="E1040" s="51" t="n">
        <f aca="false">1+IF($G$9=$E$9,$F$9,IF(S1040&lt;($F$9-$E$9)/($G$9-$E$9),$E$9+SQRT(S1040*($G$9-$E$9)*($F$9-$E$9)),$G$9-SQRT((1-S1040)*($G$9-$E$9)*($G$9-$F$9))))</f>
        <v>0.951022890816012</v>
      </c>
      <c r="F1040" s="51" t="n">
        <f aca="false">1+IF($G$10=$E$10,$F$10,IF(T1040&lt;($F$10-$E$10)/($G$10-$E$10),$E$10+SQRT(T1040*($G$10-$E$10)*($F$10-$E$10)),$G$10-SQRT((1-T1040)*($G$10-$E$10)*($G$10-$F$10))))</f>
        <v>1.14328810056653</v>
      </c>
      <c r="G1040" s="52" t="n">
        <f aca="false">IF($G$11=$E$11,$F$11,IF(U1040&lt;($F$11-$E$11)/($G$11-$E$11),$E$11+SQRT(U1040*($G$11-$E$11)*($F$11-$E$11)),$G$11-SQRT((1-U1040)*($G$11-$E$11)*($G$11-$F$11))))</f>
        <v>0.0972017104145509</v>
      </c>
      <c r="H1040" s="53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-2286576201.13307</v>
      </c>
      <c r="I1040" s="53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3506817.48084092</v>
      </c>
      <c r="J1040" s="53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311932156.460802</v>
      </c>
      <c r="K1040" s="53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677521900.46909</v>
      </c>
      <c r="L1040" s="53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817233184.374697</v>
      </c>
      <c r="M1040" s="53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1020198791.05894</v>
      </c>
      <c r="N1040" s="53" t="n">
        <f aca="false">IF(COUNT('Business Case'!B11:G11)=0,"",H1040+NPV(G1040,I1040:M1040))</f>
        <v>-305851619.069697</v>
      </c>
      <c r="P1040" s="54" t="n">
        <f aca="true">RAND()</f>
        <v>0.540732797659924</v>
      </c>
      <c r="Q1040" s="54" t="n">
        <f aca="true">RAND()</f>
        <v>0.924283506390044</v>
      </c>
      <c r="R1040" s="54" t="n">
        <f aca="true">RAND()</f>
        <v>0.62966669916194</v>
      </c>
      <c r="S1040" s="54" t="n">
        <f aca="true">RAND()</f>
        <v>0.104133415488907</v>
      </c>
      <c r="T1040" s="54" t="n">
        <f aca="true">RAND()</f>
        <v>0.848167606924026</v>
      </c>
      <c r="U1040" s="54" t="n">
        <f aca="true">RAND()</f>
        <v>0.295898841186069</v>
      </c>
    </row>
    <row r="1041" customFormat="false" ht="15" hidden="false" customHeight="false" outlineLevel="0" collapsed="false">
      <c r="A1041" s="50" t="n">
        <v>961</v>
      </c>
      <c r="B1041" s="51" t="n">
        <f aca="false">1+IF($G$6=$E$6,$F$6,IF(P1041&lt;($F$6-$E$6)/($G$6-$E$6),$E$6+SQRT(P1041*($G$6-$E$6)*($F$6-$E$6)),$G$6-SQRT((1-P1041)*($G$6-$E$6)*($G$6-$F$6))))</f>
        <v>1.01041865254399</v>
      </c>
      <c r="C1041" s="51" t="n">
        <f aca="false">1+IF($G$7=$E$7,$F$7,IF(Q1041&lt;($F$7-$E$7)/($G$7-$E$7),$E$7+SQRT(Q1041*($G$7-$E$7)*($F$7-$E$7)),$G$7-SQRT((1-Q1041)*($G$7-$E$7)*($G$7-$F$7))))</f>
        <v>1.02579762955931</v>
      </c>
      <c r="D1041" s="51" t="n">
        <f aca="false">1+IF($G$8=$E$8,$F$8,IF(R1041&lt;($F$8-$E$8)/($G$8-$E$8),$E$8+SQRT(R1041*($G$8-$E$8)*($F$8-$E$8)),$G$8-SQRT((1-R1041)*($G$8-$E$8)*($G$8-$F$8))))</f>
        <v>1.01096184195099</v>
      </c>
      <c r="E1041" s="51" t="n">
        <f aca="false">1+IF($G$9=$E$9,$F$9,IF(S1041&lt;($F$9-$E$9)/($G$9-$E$9),$E$9+SQRT(S1041*($G$9-$E$9)*($F$9-$E$9)),$G$9-SQRT((1-S1041)*($G$9-$E$9)*($G$9-$F$9))))</f>
        <v>1.01673572110126</v>
      </c>
      <c r="F1041" s="51" t="n">
        <f aca="false">1+IF($G$10=$E$10,$F$10,IF(T1041&lt;($F$10-$E$10)/($G$10-$E$10),$E$10+SQRT(T1041*($G$10-$E$10)*($F$10-$E$10)),$G$10-SQRT((1-T1041)*($G$10-$E$10)*($G$10-$F$10))))</f>
        <v>1.1062744691044</v>
      </c>
      <c r="G1041" s="52" t="n">
        <f aca="false">IF($G$11=$E$11,$F$11,IF(U1041&lt;($F$11-$E$11)/($G$11-$E$11),$E$11+SQRT(U1041*($G$11-$E$11)*($F$11-$E$11)),$G$11-SQRT((1-U1041)*($G$11-$E$11)*($G$11-$F$11))))</f>
        <v>0.111490430578412</v>
      </c>
      <c r="H1041" s="53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-2212548938.2088</v>
      </c>
      <c r="I1041" s="53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9134563.78527173</v>
      </c>
      <c r="J1041" s="53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327207779.461592</v>
      </c>
      <c r="K1041" s="53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700594718.593131</v>
      </c>
      <c r="L1041" s="53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842440047.445244</v>
      </c>
      <c r="M1041" s="53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1039455127.39194</v>
      </c>
      <c r="N1041" s="53" t="n">
        <f aca="false">IF(COUNT('Business Case'!B11:G11)=0,"",H1041+NPV(G1041,I1041:M1041))</f>
        <v>-264550353.295122</v>
      </c>
      <c r="P1041" s="54" t="n">
        <f aca="true">RAND()</f>
        <v>0.791108924475587</v>
      </c>
      <c r="Q1041" s="54" t="n">
        <f aca="true">RAND()</f>
        <v>0.771463276695029</v>
      </c>
      <c r="R1041" s="54" t="n">
        <f aca="true">RAND()</f>
        <v>0.471480427416015</v>
      </c>
      <c r="S1041" s="54" t="n">
        <f aca="true">RAND()</f>
        <v>0.526416852522638</v>
      </c>
      <c r="T1041" s="54" t="n">
        <f aca="true">RAND()</f>
        <v>0.724572956917042</v>
      </c>
      <c r="U1041" s="54" t="n">
        <f aca="true">RAND()</f>
        <v>0.771597226551618</v>
      </c>
    </row>
    <row r="1042" customFormat="false" ht="15" hidden="false" customHeight="false" outlineLevel="0" collapsed="false">
      <c r="A1042" s="50" t="n">
        <v>962</v>
      </c>
      <c r="B1042" s="51" t="n">
        <f aca="false">1+IF($G$6=$E$6,$F$6,IF(P1042&lt;($F$6-$E$6)/($G$6-$E$6),$E$6+SQRT(P1042*($G$6-$E$6)*($F$6-$E$6)),$G$6-SQRT((1-P1042)*($G$6-$E$6)*($G$6-$F$6))))</f>
        <v>1.00519569289661</v>
      </c>
      <c r="C1042" s="51" t="n">
        <f aca="false">1+IF($G$7=$E$7,$F$7,IF(Q1042&lt;($F$7-$E$7)/($G$7-$E$7),$E$7+SQRT(Q1042*($G$7-$E$7)*($F$7-$E$7)),$G$7-SQRT((1-Q1042)*($G$7-$E$7)*($G$7-$F$7))))</f>
        <v>0.866401794616816</v>
      </c>
      <c r="D1042" s="51" t="n">
        <f aca="false">1+IF($G$8=$E$8,$F$8,IF(R1042&lt;($F$8-$E$8)/($G$8-$E$8),$E$8+SQRT(R1042*($G$8-$E$8)*($F$8-$E$8)),$G$8-SQRT((1-R1042)*($G$8-$E$8)*($G$8-$F$8))))</f>
        <v>0.996741745496091</v>
      </c>
      <c r="E1042" s="51" t="n">
        <f aca="false">1+IF($G$9=$E$9,$F$9,IF(S1042&lt;($F$9-$E$9)/($G$9-$E$9),$E$9+SQRT(S1042*($G$9-$E$9)*($F$9-$E$9)),$G$9-SQRT((1-S1042)*($G$9-$E$9)*($G$9-$F$9))))</f>
        <v>1.01078008880676</v>
      </c>
      <c r="F1042" s="51" t="n">
        <f aca="false">1+IF($G$10=$E$10,$F$10,IF(T1042&lt;($F$10-$E$10)/($G$10-$E$10),$E$10+SQRT(T1042*($G$10-$E$10)*($F$10-$E$10)),$G$10-SQRT((1-T1042)*($G$10-$E$10)*($G$10-$F$10))))</f>
        <v>0.983543557497237</v>
      </c>
      <c r="G1042" s="52" t="n">
        <f aca="false">IF($G$11=$E$11,$F$11,IF(U1042&lt;($F$11-$E$11)/($G$11-$E$11),$E$11+SQRT(U1042*($G$11-$E$11)*($F$11-$E$11)),$G$11-SQRT((1-U1042)*($G$11-$E$11)*($G$11-$F$11))))</f>
        <v>0.100963310044849</v>
      </c>
      <c r="H1042" s="53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-1967087114.99447</v>
      </c>
      <c r="I1042" s="53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-15985641.8832424</v>
      </c>
      <c r="J1042" s="53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255263630.393067</v>
      </c>
      <c r="K1042" s="53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575690080.544237</v>
      </c>
      <c r="L1042" s="53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696204924.490678</v>
      </c>
      <c r="M1042" s="53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861746233.689536</v>
      </c>
      <c r="N1042" s="53" t="n">
        <f aca="false">IF(COUNT('Business Case'!B11:G11)=0,"",H1042+NPV(G1042,I1042:M1042))</f>
        <v>-333028914.576476</v>
      </c>
      <c r="P1042" s="54" t="n">
        <f aca="true">RAND()</f>
        <v>0.732343208664722</v>
      </c>
      <c r="Q1042" s="54" t="n">
        <f aca="true">RAND()</f>
        <v>0.205107831494051</v>
      </c>
      <c r="R1042" s="54" t="n">
        <f aca="true">RAND()</f>
        <v>0.291305436269508</v>
      </c>
      <c r="S1042" s="54" t="n">
        <f aca="true">RAND()</f>
        <v>0.483141768729212</v>
      </c>
      <c r="T1042" s="54" t="n">
        <f aca="true">RAND()</f>
        <v>0.075011349971363</v>
      </c>
      <c r="U1042" s="54" t="n">
        <f aca="true">RAND()</f>
        <v>0.437913757632273</v>
      </c>
    </row>
    <row r="1043" customFormat="false" ht="15" hidden="false" customHeight="false" outlineLevel="0" collapsed="false">
      <c r="A1043" s="50" t="n">
        <v>963</v>
      </c>
      <c r="B1043" s="51" t="n">
        <f aca="false">1+IF($G$6=$E$6,$F$6,IF(P1043&lt;($F$6-$E$6)/($G$6-$E$6),$E$6+SQRT(P1043*($G$6-$E$6)*($F$6-$E$6)),$G$6-SQRT((1-P1043)*($G$6-$E$6)*($G$6-$F$6))))</f>
        <v>0.955856491251162</v>
      </c>
      <c r="C1043" s="51" t="n">
        <f aca="false">1+IF($G$7=$E$7,$F$7,IF(Q1043&lt;($F$7-$E$7)/($G$7-$E$7),$E$7+SQRT(Q1043*($G$7-$E$7)*($F$7-$E$7)),$G$7-SQRT((1-Q1043)*($G$7-$E$7)*($G$7-$F$7))))</f>
        <v>0.912456882500115</v>
      </c>
      <c r="D1043" s="51" t="n">
        <f aca="false">1+IF($G$8=$E$8,$F$8,IF(R1043&lt;($F$8-$E$8)/($G$8-$E$8),$E$8+SQRT(R1043*($G$8-$E$8)*($F$8-$E$8)),$G$8-SQRT((1-R1043)*($G$8-$E$8)*($G$8-$F$8))))</f>
        <v>1.0359451616397</v>
      </c>
      <c r="E1043" s="51" t="n">
        <f aca="false">1+IF($G$9=$E$9,$F$9,IF(S1043&lt;($F$9-$E$9)/($G$9-$E$9),$E$9+SQRT(S1043*($G$9-$E$9)*($F$9-$E$9)),$G$9-SQRT((1-S1043)*($G$9-$E$9)*($G$9-$F$9))))</f>
        <v>1.00533885180946</v>
      </c>
      <c r="F1043" s="51" t="n">
        <f aca="false">1+IF($G$10=$E$10,$F$10,IF(T1043&lt;($F$10-$E$10)/($G$10-$E$10),$E$10+SQRT(T1043*($G$10-$E$10)*($F$10-$E$10)),$G$10-SQRT((1-T1043)*($G$10-$E$10)*($G$10-$F$10))))</f>
        <v>1.01044356789823</v>
      </c>
      <c r="G1043" s="52" t="n">
        <f aca="false">IF($G$11=$E$11,$F$11,IF(U1043&lt;($F$11-$E$11)/($G$11-$E$11),$E$11+SQRT(U1043*($G$11-$E$11)*($F$11-$E$11)),$G$11-SQRT((1-U1043)*($G$11-$E$11)*($G$11-$F$11))))</f>
        <v>0.100862270403434</v>
      </c>
      <c r="H1043" s="53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-2020887135.79646</v>
      </c>
      <c r="I1043" s="53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-58735886.889675</v>
      </c>
      <c r="J1043" s="53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171745466.658794</v>
      </c>
      <c r="K1043" s="53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452748998.602175</v>
      </c>
      <c r="L1043" s="53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559718582.399009</v>
      </c>
      <c r="M1043" s="53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725502145.109401</v>
      </c>
      <c r="N1043" s="53" t="n">
        <f aca="false">IF(COUNT('Business Case'!B11:G11)=0,"",H1043+NPV(G1043,I1043:M1043))</f>
        <v>-763349836.76808</v>
      </c>
      <c r="P1043" s="54" t="n">
        <f aca="true">RAND()</f>
        <v>0.207996507659408</v>
      </c>
      <c r="Q1043" s="54" t="n">
        <f aca="true">RAND()</f>
        <v>0.334355014234574</v>
      </c>
      <c r="R1043" s="54" t="n">
        <f aca="true">RAND()</f>
        <v>0.726465178842422</v>
      </c>
      <c r="S1043" s="54" t="n">
        <f aca="true">RAND()</f>
        <v>0.441950725445216</v>
      </c>
      <c r="T1043" s="54" t="n">
        <f aca="true">RAND()</f>
        <v>0.234836211182258</v>
      </c>
      <c r="U1043" s="54" t="n">
        <f aca="true">RAND()</f>
        <v>0.433995142638264</v>
      </c>
    </row>
    <row r="1044" customFormat="false" ht="15" hidden="false" customHeight="false" outlineLevel="0" collapsed="false">
      <c r="A1044" s="50" t="n">
        <v>964</v>
      </c>
      <c r="B1044" s="51" t="n">
        <f aca="false">1+IF($G$6=$E$6,$F$6,IF(P1044&lt;($F$6-$E$6)/($G$6-$E$6),$E$6+SQRT(P1044*($G$6-$E$6)*($F$6-$E$6)),$G$6-SQRT((1-P1044)*($G$6-$E$6)*($G$6-$F$6))))</f>
        <v>1.02157251432377</v>
      </c>
      <c r="C1044" s="51" t="n">
        <f aca="false">1+IF($G$7=$E$7,$F$7,IF(Q1044&lt;($F$7-$E$7)/($G$7-$E$7),$E$7+SQRT(Q1044*($G$7-$E$7)*($F$7-$E$7)),$G$7-SQRT((1-Q1044)*($G$7-$E$7)*($G$7-$F$7))))</f>
        <v>1.05040870080335</v>
      </c>
      <c r="D1044" s="51" t="n">
        <f aca="false">1+IF($G$8=$E$8,$F$8,IF(R1044&lt;($F$8-$E$8)/($G$8-$E$8),$E$8+SQRT(R1044*($G$8-$E$8)*($F$8-$E$8)),$G$8-SQRT((1-R1044)*($G$8-$E$8)*($G$8-$F$8))))</f>
        <v>1.0029696707248</v>
      </c>
      <c r="E1044" s="51" t="n">
        <f aca="false">1+IF($G$9=$E$9,$F$9,IF(S1044&lt;($F$9-$E$9)/($G$9-$E$9),$E$9+SQRT(S1044*($G$9-$E$9)*($F$9-$E$9)),$G$9-SQRT((1-S1044)*($G$9-$E$9)*($G$9-$F$9))))</f>
        <v>0.938406596722009</v>
      </c>
      <c r="F1044" s="51" t="n">
        <f aca="false">1+IF($G$10=$E$10,$F$10,IF(T1044&lt;($F$10-$E$10)/($G$10-$E$10),$E$10+SQRT(T1044*($G$10-$E$10)*($F$10-$E$10)),$G$10-SQRT((1-T1044)*($G$10-$E$10)*($G$10-$F$10))))</f>
        <v>1.00654086493533</v>
      </c>
      <c r="G1044" s="52" t="n">
        <f aca="false">IF($G$11=$E$11,$F$11,IF(U1044&lt;($F$11-$E$11)/($G$11-$E$11),$E$11+SQRT(U1044*($G$11-$E$11)*($F$11-$E$11)),$G$11-SQRT((1-U1044)*($G$11-$E$11)*($G$11-$F$11))))</f>
        <v>0.1221557308984</v>
      </c>
      <c r="H1044" s="53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-2013081729.87066</v>
      </c>
      <c r="I1044" s="53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49875018.754532</v>
      </c>
      <c r="J1044" s="53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389473421.263716</v>
      </c>
      <c r="K1044" s="53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779398867.019666</v>
      </c>
      <c r="L1044" s="53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929683587.32756</v>
      </c>
      <c r="M1044" s="53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1133652477.75414</v>
      </c>
      <c r="N1044" s="53" t="n">
        <f aca="false">IF(COUNT('Business Case'!B11:G11)=0,"",H1044+NPV(G1044,I1044:M1044))</f>
        <v>115641203.232516</v>
      </c>
      <c r="P1044" s="54" t="n">
        <f aca="true">RAND()</f>
        <v>0.892250407750362</v>
      </c>
      <c r="Q1044" s="54" t="n">
        <f aca="true">RAND()</f>
        <v>0.853060342582566</v>
      </c>
      <c r="R1044" s="54" t="n">
        <f aca="true">RAND()</f>
        <v>0.372341013383035</v>
      </c>
      <c r="S1044" s="54" t="n">
        <f aca="true">RAND()</f>
        <v>0.0590026668706811</v>
      </c>
      <c r="T1044" s="54" t="n">
        <f aca="true">RAND()</f>
        <v>0.209701994047491</v>
      </c>
      <c r="U1044" s="54" t="n">
        <f aca="true">RAND()</f>
        <v>0.958978294841124</v>
      </c>
    </row>
    <row r="1045" customFormat="false" ht="15" hidden="false" customHeight="false" outlineLevel="0" collapsed="false">
      <c r="A1045" s="50" t="n">
        <v>965</v>
      </c>
      <c r="B1045" s="51" t="n">
        <f aca="false">1+IF($G$6=$E$6,$F$6,IF(P1045&lt;($F$6-$E$6)/($G$6-$E$6),$E$6+SQRT(P1045*($G$6-$E$6)*($F$6-$E$6)),$G$6-SQRT((1-P1045)*($G$6-$E$6)*($G$6-$F$6))))</f>
        <v>0.968897230783548</v>
      </c>
      <c r="C1045" s="51" t="n">
        <f aca="false">1+IF($G$7=$E$7,$F$7,IF(Q1045&lt;($F$7-$E$7)/($G$7-$E$7),$E$7+SQRT(Q1045*($G$7-$E$7)*($F$7-$E$7)),$G$7-SQRT((1-Q1045)*($G$7-$E$7)*($G$7-$F$7))))</f>
        <v>0.818724372378174</v>
      </c>
      <c r="D1045" s="51" t="n">
        <f aca="false">1+IF($G$8=$E$8,$F$8,IF(R1045&lt;($F$8-$E$8)/($G$8-$E$8),$E$8+SQRT(R1045*($G$8-$E$8)*($F$8-$E$8)),$G$8-SQRT((1-R1045)*($G$8-$E$8)*($G$8-$F$8))))</f>
        <v>1.05129853134531</v>
      </c>
      <c r="E1045" s="51" t="n">
        <f aca="false">1+IF($G$9=$E$9,$F$9,IF(S1045&lt;($F$9-$E$9)/($G$9-$E$9),$E$9+SQRT(S1045*($G$9-$E$9)*($F$9-$E$9)),$G$9-SQRT((1-S1045)*($G$9-$E$9)*($G$9-$F$9))))</f>
        <v>0.927991859931538</v>
      </c>
      <c r="F1045" s="51" t="n">
        <f aca="false">1+IF($G$10=$E$10,$F$10,IF(T1045&lt;($F$10-$E$10)/($G$10-$E$10),$E$10+SQRT(T1045*($G$10-$E$10)*($F$10-$E$10)),$G$10-SQRT((1-T1045)*($G$10-$E$10)*($G$10-$F$10))))</f>
        <v>1.05852016811672</v>
      </c>
      <c r="G1045" s="52" t="n">
        <f aca="false">IF($G$11=$E$11,$F$11,IF(U1045&lt;($F$11-$E$11)/($G$11-$E$11),$E$11+SQRT(U1045*($G$11-$E$11)*($F$11-$E$11)),$G$11-SQRT((1-U1045)*($G$11-$E$11)*($G$11-$F$11))))</f>
        <v>0.116688306855616</v>
      </c>
      <c r="H1045" s="53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-2117040336.23344</v>
      </c>
      <c r="I1045" s="53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-69819865.92811</v>
      </c>
      <c r="J1045" s="53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139295314.286324</v>
      </c>
      <c r="K1045" s="53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401336502.906594</v>
      </c>
      <c r="L1045" s="53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498456620.877144</v>
      </c>
      <c r="M1045" s="53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649239439.322038</v>
      </c>
      <c r="N1045" s="53" t="n">
        <f aca="false">IF(COUNT('Business Case'!B11:G11)=0,"",H1045+NPV(G1045,I1045:M1045))</f>
        <v>-1085203150.38314</v>
      </c>
      <c r="P1045" s="54" t="n">
        <f aca="true">RAND()</f>
        <v>0.31645522730943</v>
      </c>
      <c r="Q1045" s="54" t="n">
        <f aca="true">RAND()</f>
        <v>0.104410937752529</v>
      </c>
      <c r="R1045" s="54" t="n">
        <f aca="true">RAND()</f>
        <v>0.841877796725051</v>
      </c>
      <c r="S1045" s="54" t="n">
        <f aca="true">RAND()</f>
        <v>0.0313417688970728</v>
      </c>
      <c r="T1045" s="54" t="n">
        <f aca="true">RAND()</f>
        <v>0.51113965309268</v>
      </c>
      <c r="U1045" s="54" t="n">
        <f aca="true">RAND()</f>
        <v>0.881865883753181</v>
      </c>
    </row>
    <row r="1046" customFormat="false" ht="15" hidden="false" customHeight="false" outlineLevel="0" collapsed="false">
      <c r="A1046" s="50" t="n">
        <v>966</v>
      </c>
      <c r="B1046" s="51" t="n">
        <f aca="false">1+IF($G$6=$E$6,$F$6,IF(P1046&lt;($F$6-$E$6)/($G$6-$E$6),$E$6+SQRT(P1046*($G$6-$E$6)*($F$6-$E$6)),$G$6-SQRT((1-P1046)*($G$6-$E$6)*($G$6-$F$6))))</f>
        <v>0.989770522954677</v>
      </c>
      <c r="C1046" s="51" t="n">
        <f aca="false">1+IF($G$7=$E$7,$F$7,IF(Q1046&lt;($F$7-$E$7)/($G$7-$E$7),$E$7+SQRT(Q1046*($G$7-$E$7)*($F$7-$E$7)),$G$7-SQRT((1-Q1046)*($G$7-$E$7)*($G$7-$F$7))))</f>
        <v>0.884570420913376</v>
      </c>
      <c r="D1046" s="51" t="n">
        <f aca="false">1+IF($G$8=$E$8,$F$8,IF(R1046&lt;($F$8-$E$8)/($G$8-$E$8),$E$8+SQRT(R1046*($G$8-$E$8)*($F$8-$E$8)),$G$8-SQRT((1-R1046)*($G$8-$E$8)*($G$8-$F$8))))</f>
        <v>1.03472980924058</v>
      </c>
      <c r="E1046" s="51" t="n">
        <f aca="false">1+IF($G$9=$E$9,$F$9,IF(S1046&lt;($F$9-$E$9)/($G$9-$E$9),$E$9+SQRT(S1046*($G$9-$E$9)*($F$9-$E$9)),$G$9-SQRT((1-S1046)*($G$9-$E$9)*($G$9-$F$9))))</f>
        <v>0.994088792262583</v>
      </c>
      <c r="F1046" s="51" t="n">
        <f aca="false">1+IF($G$10=$E$10,$F$10,IF(T1046&lt;($F$10-$E$10)/($G$10-$E$10),$E$10+SQRT(T1046*($G$10-$E$10)*($F$10-$E$10)),$G$10-SQRT((1-T1046)*($G$10-$E$10)*($G$10-$F$10))))</f>
        <v>1.0309319080555</v>
      </c>
      <c r="G1046" s="52" t="n">
        <f aca="false">IF($G$11=$E$11,$F$11,IF(U1046&lt;($F$11-$E$11)/($G$11-$E$11),$E$11+SQRT(U1046*($G$11-$E$11)*($F$11-$E$11)),$G$11-SQRT((1-U1046)*($G$11-$E$11)*($G$11-$F$11))))</f>
        <v>0.0886261543638278</v>
      </c>
      <c r="H1046" s="53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-2061863816.11099</v>
      </c>
      <c r="I1046" s="53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-41280295.303302</v>
      </c>
      <c r="J1046" s="53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207279072.843268</v>
      </c>
      <c r="K1046" s="53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507385036.392614</v>
      </c>
      <c r="L1046" s="53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620496190.031192</v>
      </c>
      <c r="M1046" s="53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786915360.107998</v>
      </c>
      <c r="N1046" s="53" t="n">
        <f aca="false">IF(COUNT('Business Case'!B11:G11)=0,"",H1046+NPV(G1046,I1046:M1046))</f>
        <v>-575125961.441433</v>
      </c>
      <c r="P1046" s="54" t="n">
        <f aca="true">RAND()</f>
        <v>0.537249786103749</v>
      </c>
      <c r="Q1046" s="54" t="n">
        <f aca="true">RAND()</f>
        <v>0.252342520564006</v>
      </c>
      <c r="R1046" s="54" t="n">
        <f aca="true">RAND()</f>
        <v>0.715986813215252</v>
      </c>
      <c r="S1046" s="54" t="n">
        <f aca="true">RAND()</f>
        <v>0.354108033177259</v>
      </c>
      <c r="T1046" s="54" t="n">
        <f aca="true">RAND()</f>
        <v>0.360122281223929</v>
      </c>
      <c r="U1046" s="54" t="n">
        <f aca="true">RAND()</f>
        <v>0.0744105391085853</v>
      </c>
    </row>
    <row r="1047" customFormat="false" ht="15" hidden="false" customHeight="false" outlineLevel="0" collapsed="false">
      <c r="A1047" s="50" t="n">
        <v>967</v>
      </c>
      <c r="B1047" s="51" t="n">
        <f aca="false">1+IF($G$6=$E$6,$F$6,IF(P1047&lt;($F$6-$E$6)/($G$6-$E$6),$E$6+SQRT(P1047*($G$6-$E$6)*($F$6-$E$6)),$G$6-SQRT((1-P1047)*($G$6-$E$6)*($G$6-$F$6))))</f>
        <v>1.00668681597163</v>
      </c>
      <c r="C1047" s="51" t="n">
        <f aca="false">1+IF($G$7=$E$7,$F$7,IF(Q1047&lt;($F$7-$E$7)/($G$7-$E$7),$E$7+SQRT(Q1047*($G$7-$E$7)*($F$7-$E$7)),$G$7-SQRT((1-Q1047)*($G$7-$E$7)*($G$7-$F$7))))</f>
        <v>0.747959708884927</v>
      </c>
      <c r="D1047" s="51" t="n">
        <f aca="false">1+IF($G$8=$E$8,$F$8,IF(R1047&lt;($F$8-$E$8)/($G$8-$E$8),$E$8+SQRT(R1047*($G$8-$E$8)*($F$8-$E$8)),$G$8-SQRT((1-R1047)*($G$8-$E$8)*($G$8-$F$8))))</f>
        <v>1.04924245923346</v>
      </c>
      <c r="E1047" s="51" t="n">
        <f aca="false">1+IF($G$9=$E$9,$F$9,IF(S1047&lt;($F$9-$E$9)/($G$9-$E$9),$E$9+SQRT(S1047*($G$9-$E$9)*($F$9-$E$9)),$G$9-SQRT((1-S1047)*($G$9-$E$9)*($G$9-$F$9))))</f>
        <v>1.00678843543106</v>
      </c>
      <c r="F1047" s="51" t="n">
        <f aca="false">1+IF($G$10=$E$10,$F$10,IF(T1047&lt;($F$10-$E$10)/($G$10-$E$10),$E$10+SQRT(T1047*($G$10-$E$10)*($F$10-$E$10)),$G$10-SQRT((1-T1047)*($G$10-$E$10)*($G$10-$F$10))))</f>
        <v>0.973138056421719</v>
      </c>
      <c r="G1047" s="52" t="n">
        <f aca="false">IF($G$11=$E$11,$F$11,IF(U1047&lt;($F$11-$E$11)/($G$11-$E$11),$E$11+SQRT(U1047*($G$11-$E$11)*($F$11-$E$11)),$G$11-SQRT((1-U1047)*($G$11-$E$11)*($G$11-$F$11))))</f>
        <v>0.0862100807634718</v>
      </c>
      <c r="H1047" s="53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-1946276112.84344</v>
      </c>
      <c r="I1047" s="53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-64533462.6896043</v>
      </c>
      <c r="J1047" s="53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150445703.239057</v>
      </c>
      <c r="K1047" s="53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414081771.988805</v>
      </c>
      <c r="L1047" s="53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511763832.270224</v>
      </c>
      <c r="M1047" s="53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654886692.948812</v>
      </c>
      <c r="N1047" s="53" t="n">
        <f aca="false">IF(COUNT('Business Case'!B11:G11)=0,"",H1047+NPV(G1047,I1047:M1047))</f>
        <v>-754328046.864668</v>
      </c>
      <c r="P1047" s="54" t="n">
        <f aca="true">RAND()</f>
        <v>0.749862411909991</v>
      </c>
      <c r="Q1047" s="54" t="n">
        <f aca="true">RAND()</f>
        <v>0.0170380272320516</v>
      </c>
      <c r="R1047" s="54" t="n">
        <f aca="true">RAND()</f>
        <v>0.828244803688847</v>
      </c>
      <c r="S1047" s="54" t="n">
        <f aca="true">RAND()</f>
        <v>0.453078607299128</v>
      </c>
      <c r="T1047" s="54" t="n">
        <f aca="true">RAND()</f>
        <v>0.0356913103316443</v>
      </c>
      <c r="U1047" s="54" t="n">
        <f aca="true">RAND()</f>
        <v>0.038565103088843</v>
      </c>
    </row>
    <row r="1048" customFormat="false" ht="15" hidden="false" customHeight="false" outlineLevel="0" collapsed="false">
      <c r="A1048" s="50" t="n">
        <v>968</v>
      </c>
      <c r="B1048" s="51" t="n">
        <f aca="false">1+IF($G$6=$E$6,$F$6,IF(P1048&lt;($F$6-$E$6)/($G$6-$E$6),$E$6+SQRT(P1048*($G$6-$E$6)*($F$6-$E$6)),$G$6-SQRT((1-P1048)*($G$6-$E$6)*($G$6-$F$6))))</f>
        <v>1.01431008712061</v>
      </c>
      <c r="C1048" s="51" t="n">
        <f aca="false">1+IF($G$7=$E$7,$F$7,IF(Q1048&lt;($F$7-$E$7)/($G$7-$E$7),$E$7+SQRT(Q1048*($G$7-$E$7)*($F$7-$E$7)),$G$7-SQRT((1-Q1048)*($G$7-$E$7)*($G$7-$F$7))))</f>
        <v>1.05094562755846</v>
      </c>
      <c r="D1048" s="51" t="n">
        <f aca="false">1+IF($G$8=$E$8,$F$8,IF(R1048&lt;($F$8-$E$8)/($G$8-$E$8),$E$8+SQRT(R1048*($G$8-$E$8)*($F$8-$E$8)),$G$8-SQRT((1-R1048)*($G$8-$E$8)*($G$8-$F$8))))</f>
        <v>0.980099321031191</v>
      </c>
      <c r="E1048" s="51" t="n">
        <f aca="false">1+IF($G$9=$E$9,$F$9,IF(S1048&lt;($F$9-$E$9)/($G$9-$E$9),$E$9+SQRT(S1048*($G$9-$E$9)*($F$9-$E$9)),$G$9-SQRT((1-S1048)*($G$9-$E$9)*($G$9-$F$9))))</f>
        <v>1.06987974524695</v>
      </c>
      <c r="F1048" s="51" t="n">
        <f aca="false">1+IF($G$10=$E$10,$F$10,IF(T1048&lt;($F$10-$E$10)/($G$10-$E$10),$E$10+SQRT(T1048*($G$10-$E$10)*($F$10-$E$10)),$G$10-SQRT((1-T1048)*($G$10-$E$10)*($G$10-$F$10))))</f>
        <v>1.04028900286801</v>
      </c>
      <c r="G1048" s="52" t="n">
        <f aca="false">IF($G$11=$E$11,$F$11,IF(U1048&lt;($F$11-$E$11)/($G$11-$E$11),$E$11+SQRT(U1048*($G$11-$E$11)*($F$11-$E$11)),$G$11-SQRT((1-U1048)*($G$11-$E$11)*($G$11-$F$11))))</f>
        <v>0.11027502767367</v>
      </c>
      <c r="H1048" s="53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-2080578005.73601</v>
      </c>
      <c r="I1048" s="53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34398293.785202</v>
      </c>
      <c r="J1048" s="53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380223037.12564</v>
      </c>
      <c r="K1048" s="53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778062230.609479</v>
      </c>
      <c r="L1048" s="53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930177578.052506</v>
      </c>
      <c r="M1048" s="53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1132799959.53168</v>
      </c>
      <c r="N1048" s="53" t="n">
        <f aca="false">IF(COUNT('Business Case'!B11:G11)=0,"",H1048+NPV(G1048,I1048:M1048))</f>
        <v>110897473.892617</v>
      </c>
      <c r="P1048" s="54" t="n">
        <f aca="true">RAND()</f>
        <v>0.830164015821536</v>
      </c>
      <c r="Q1048" s="54" t="n">
        <f aca="true">RAND()</f>
        <v>0.854640463706843</v>
      </c>
      <c r="R1048" s="54" t="n">
        <f aca="true">RAND()</f>
        <v>0.120795883538491</v>
      </c>
      <c r="S1048" s="54" t="n">
        <f aca="true">RAND()</f>
        <v>0.828819860754823</v>
      </c>
      <c r="T1048" s="54" t="n">
        <f aca="true">RAND()</f>
        <v>0.413617302425395</v>
      </c>
      <c r="U1048" s="54" t="n">
        <f aca="true">RAND()</f>
        <v>0.740616977817006</v>
      </c>
    </row>
    <row r="1049" customFormat="false" ht="15" hidden="false" customHeight="false" outlineLevel="0" collapsed="false">
      <c r="A1049" s="50" t="n">
        <v>969</v>
      </c>
      <c r="B1049" s="51" t="n">
        <f aca="false">1+IF($G$6=$E$6,$F$6,IF(P1049&lt;($F$6-$E$6)/($G$6-$E$6),$E$6+SQRT(P1049*($G$6-$E$6)*($F$6-$E$6)),$G$6-SQRT((1-P1049)*($G$6-$E$6)*($G$6-$F$6))))</f>
        <v>0.940690367513214</v>
      </c>
      <c r="C1049" s="51" t="n">
        <f aca="false">1+IF($G$7=$E$7,$F$7,IF(Q1049&lt;($F$7-$E$7)/($G$7-$E$7),$E$7+SQRT(Q1049*($G$7-$E$7)*($F$7-$E$7)),$G$7-SQRT((1-Q1049)*($G$7-$E$7)*($G$7-$F$7))))</f>
        <v>0.960273730755638</v>
      </c>
      <c r="D1049" s="51" t="n">
        <f aca="false">1+IF($G$8=$E$8,$F$8,IF(R1049&lt;($F$8-$E$8)/($G$8-$E$8),$E$8+SQRT(R1049*($G$8-$E$8)*($F$8-$E$8)),$G$8-SQRT((1-R1049)*($G$8-$E$8)*($G$8-$F$8))))</f>
        <v>1.0584082176692</v>
      </c>
      <c r="E1049" s="51" t="n">
        <f aca="false">1+IF($G$9=$E$9,$F$9,IF(S1049&lt;($F$9-$E$9)/($G$9-$E$9),$E$9+SQRT(S1049*($G$9-$E$9)*($F$9-$E$9)),$G$9-SQRT((1-S1049)*($G$9-$E$9)*($G$9-$F$9))))</f>
        <v>1.09940640465763</v>
      </c>
      <c r="F1049" s="51" t="n">
        <f aca="false">1+IF($G$10=$E$10,$F$10,IF(T1049&lt;($F$10-$E$10)/($G$10-$E$10),$E$10+SQRT(T1049*($G$10-$E$10)*($F$10-$E$10)),$G$10-SQRT((1-T1049)*($G$10-$E$10)*($G$10-$F$10))))</f>
        <v>1.05481775933741</v>
      </c>
      <c r="G1049" s="52" t="n">
        <f aca="false">IF($G$11=$E$11,$F$11,IF(U1049&lt;($F$11-$E$11)/($G$11-$E$11),$E$11+SQRT(U1049*($G$11-$E$11)*($F$11-$E$11)),$G$11-SQRT((1-U1049)*($G$11-$E$11)*($G$11-$F$11))))</f>
        <v>0.102103736665072</v>
      </c>
      <c r="H1049" s="53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-2109635518.67481</v>
      </c>
      <c r="I1049" s="53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-89056999.9144512</v>
      </c>
      <c r="J1049" s="53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130531488.539648</v>
      </c>
      <c r="K1049" s="53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402860864.960617</v>
      </c>
      <c r="L1049" s="53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507275775.573646</v>
      </c>
      <c r="M1049" s="53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678978888.446125</v>
      </c>
      <c r="N1049" s="53" t="n">
        <f aca="false">IF(COUNT('Business Case'!B11:G11)=0,"",H1049+NPV(G1049,I1049:M1049))</f>
        <v>-1020608383.7496</v>
      </c>
      <c r="P1049" s="54" t="n">
        <f aca="true">RAND()</f>
        <v>0.110380400557361</v>
      </c>
      <c r="Q1049" s="54" t="n">
        <f aca="true">RAND()</f>
        <v>0.501795666084877</v>
      </c>
      <c r="R1049" s="54" t="n">
        <f aca="true">RAND()</f>
        <v>0.88467490950316</v>
      </c>
      <c r="S1049" s="54" t="n">
        <f aca="true">RAND()</f>
        <v>0.931741016275542</v>
      </c>
      <c r="T1049" s="54" t="n">
        <f aca="true">RAND()</f>
        <v>0.492051905732391</v>
      </c>
      <c r="U1049" s="54" t="n">
        <f aca="true">RAND()</f>
        <v>0.481198994632236</v>
      </c>
    </row>
    <row r="1050" customFormat="false" ht="15" hidden="false" customHeight="false" outlineLevel="0" collapsed="false">
      <c r="A1050" s="50" t="n">
        <v>970</v>
      </c>
      <c r="B1050" s="51" t="n">
        <f aca="false">1+IF($G$6=$E$6,$F$6,IF(P1050&lt;($F$6-$E$6)/($G$6-$E$6),$E$6+SQRT(P1050*($G$6-$E$6)*($F$6-$E$6)),$G$6-SQRT((1-P1050)*($G$6-$E$6)*($G$6-$F$6))))</f>
        <v>0.986297070436563</v>
      </c>
      <c r="C1050" s="51" t="n">
        <f aca="false">1+IF($G$7=$E$7,$F$7,IF(Q1050&lt;($F$7-$E$7)/($G$7-$E$7),$E$7+SQRT(Q1050*($G$7-$E$7)*($F$7-$E$7)),$G$7-SQRT((1-Q1050)*($G$7-$E$7)*($G$7-$F$7))))</f>
        <v>1.01450599377601</v>
      </c>
      <c r="D1050" s="51" t="n">
        <f aca="false">1+IF($G$8=$E$8,$F$8,IF(R1050&lt;($F$8-$E$8)/($G$8-$E$8),$E$8+SQRT(R1050*($G$8-$E$8)*($F$8-$E$8)),$G$8-SQRT((1-R1050)*($G$8-$E$8)*($G$8-$F$8))))</f>
        <v>1.02617492191607</v>
      </c>
      <c r="E1050" s="51" t="n">
        <f aca="false">1+IF($G$9=$E$9,$F$9,IF(S1050&lt;($F$9-$E$9)/($G$9-$E$9),$E$9+SQRT(S1050*($G$9-$E$9)*($F$9-$E$9)),$G$9-SQRT((1-S1050)*($G$9-$E$9)*($G$9-$F$9))))</f>
        <v>1.03758269530704</v>
      </c>
      <c r="F1050" s="51" t="n">
        <f aca="false">1+IF($G$10=$E$10,$F$10,IF(T1050&lt;($F$10-$E$10)/($G$10-$E$10),$E$10+SQRT(T1050*($G$10-$E$10)*($F$10-$E$10)),$G$10-SQRT((1-T1050)*($G$10-$E$10)*($G$10-$F$10))))</f>
        <v>1.08884479455251</v>
      </c>
      <c r="G1050" s="52" t="n">
        <f aca="false">IF($G$11=$E$11,$F$11,IF(U1050&lt;($F$11-$E$11)/($G$11-$E$11),$E$11+SQRT(U1050*($G$11-$E$11)*($F$11-$E$11)),$G$11-SQRT((1-U1050)*($G$11-$E$11)*($G$11-$F$11))))</f>
        <v>0.113965625361299</v>
      </c>
      <c r="H1050" s="53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-2177689589.10502</v>
      </c>
      <c r="I1050" s="53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-21672855.3401683</v>
      </c>
      <c r="J1050" s="53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264954354.420523</v>
      </c>
      <c r="K1050" s="53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606023803.90884</v>
      </c>
      <c r="L1050" s="53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736147091.411036</v>
      </c>
      <c r="M1050" s="53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926341954.778512</v>
      </c>
      <c r="N1050" s="53" t="n">
        <f aca="false">IF(COUNT('Business Case'!B11:G11)=0,"",H1050+NPV(G1050,I1050:M1050))</f>
        <v>-527149124.075922</v>
      </c>
      <c r="P1050" s="54" t="n">
        <f aca="true">RAND()</f>
        <v>0.49647895772887</v>
      </c>
      <c r="Q1050" s="54" t="n">
        <f aca="true">RAND()</f>
        <v>0.728020359664809</v>
      </c>
      <c r="R1050" s="54" t="n">
        <f aca="true">RAND()</f>
        <v>0.636657189726747</v>
      </c>
      <c r="S1050" s="54" t="n">
        <f aca="true">RAND()</f>
        <v>0.662995989481871</v>
      </c>
      <c r="T1050" s="54" t="n">
        <f aca="true">RAND()</f>
        <v>0.653719996762364</v>
      </c>
      <c r="U1050" s="54" t="n">
        <f aca="true">RAND()</f>
        <v>0.828599219963847</v>
      </c>
    </row>
    <row r="1051" customFormat="false" ht="15" hidden="false" customHeight="false" outlineLevel="0" collapsed="false">
      <c r="A1051" s="50" t="n">
        <v>971</v>
      </c>
      <c r="B1051" s="51" t="n">
        <f aca="false">1+IF($G$6=$E$6,$F$6,IF(P1051&lt;($F$6-$E$6)/($G$6-$E$6),$E$6+SQRT(P1051*($G$6-$E$6)*($F$6-$E$6)),$G$6-SQRT((1-P1051)*($G$6-$E$6)*($G$6-$F$6))))</f>
        <v>0.949374892975561</v>
      </c>
      <c r="C1051" s="51" t="n">
        <f aca="false">1+IF($G$7=$E$7,$F$7,IF(Q1051&lt;($F$7-$E$7)/($G$7-$E$7),$E$7+SQRT(Q1051*($G$7-$E$7)*($F$7-$E$7)),$G$7-SQRT((1-Q1051)*($G$7-$E$7)*($G$7-$F$7))))</f>
        <v>0.980286387455398</v>
      </c>
      <c r="D1051" s="51" t="n">
        <f aca="false">1+IF($G$8=$E$8,$F$8,IF(R1051&lt;($F$8-$E$8)/($G$8-$E$8),$E$8+SQRT(R1051*($G$8-$E$8)*($F$8-$E$8)),$G$8-SQRT((1-R1051)*($G$8-$E$8)*($G$8-$F$8))))</f>
        <v>1.01883427100803</v>
      </c>
      <c r="E1051" s="51" t="n">
        <f aca="false">1+IF($G$9=$E$9,$F$9,IF(S1051&lt;($F$9-$E$9)/($G$9-$E$9),$E$9+SQRT(S1051*($G$9-$E$9)*($F$9-$E$9)),$G$9-SQRT((1-S1051)*($G$9-$E$9)*($G$9-$F$9))))</f>
        <v>1.04627647262546</v>
      </c>
      <c r="F1051" s="51" t="n">
        <f aca="false">1+IF($G$10=$E$10,$F$10,IF(T1051&lt;($F$10-$E$10)/($G$10-$E$10),$E$10+SQRT(T1051*($G$10-$E$10)*($F$10-$E$10)),$G$10-SQRT((1-T1051)*($G$10-$E$10)*($G$10-$F$10))))</f>
        <v>0.974600719012868</v>
      </c>
      <c r="G1051" s="52" t="n">
        <f aca="false">IF($G$11=$E$11,$F$11,IF(U1051&lt;($F$11-$E$11)/($G$11-$E$11),$E$11+SQRT(U1051*($G$11-$E$11)*($F$11-$E$11)),$G$11-SQRT((1-U1051)*($G$11-$E$11)*($G$11-$F$11))))</f>
        <v>0.10551118232447</v>
      </c>
      <c r="H1051" s="53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-1949201438.02574</v>
      </c>
      <c r="I1051" s="53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-43488778.3168667</v>
      </c>
      <c r="J1051" s="53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207508406.966571</v>
      </c>
      <c r="K1051" s="53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507235628.200651</v>
      </c>
      <c r="L1051" s="53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623064941.489581</v>
      </c>
      <c r="M1051" s="53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799964658.22573</v>
      </c>
      <c r="N1051" s="53" t="n">
        <f aca="false">IF(COUNT('Business Case'!B11:G11)=0,"",H1051+NPV(G1051,I1051:M1051))</f>
        <v>-541732311.45221</v>
      </c>
      <c r="P1051" s="54" t="n">
        <f aca="true">RAND()</f>
        <v>0.162525337089875</v>
      </c>
      <c r="Q1051" s="54" t="n">
        <f aca="true">RAND()</f>
        <v>0.581929325872572</v>
      </c>
      <c r="R1051" s="54" t="n">
        <f aca="true">RAND()</f>
        <v>0.560808295813477</v>
      </c>
      <c r="S1051" s="54" t="n">
        <f aca="true">RAND()</f>
        <v>0.713104796506205</v>
      </c>
      <c r="T1051" s="54" t="n">
        <f aca="true">RAND()</f>
        <v>0.0403463583966709</v>
      </c>
      <c r="U1051" s="54" t="n">
        <f aca="true">RAND()</f>
        <v>0.600198539236433</v>
      </c>
    </row>
    <row r="1052" customFormat="false" ht="15" hidden="false" customHeight="false" outlineLevel="0" collapsed="false">
      <c r="A1052" s="50" t="n">
        <v>972</v>
      </c>
      <c r="B1052" s="51" t="n">
        <f aca="false">1+IF($G$6=$E$6,$F$6,IF(P1052&lt;($F$6-$E$6)/($G$6-$E$6),$E$6+SQRT(P1052*($G$6-$E$6)*($F$6-$E$6)),$G$6-SQRT((1-P1052)*($G$6-$E$6)*($G$6-$F$6))))</f>
        <v>0.977224752178981</v>
      </c>
      <c r="C1052" s="51" t="n">
        <f aca="false">1+IF($G$7=$E$7,$F$7,IF(Q1052&lt;($F$7-$E$7)/($G$7-$E$7),$E$7+SQRT(Q1052*($G$7-$E$7)*($F$7-$E$7)),$G$7-SQRT((1-Q1052)*($G$7-$E$7)*($G$7-$F$7))))</f>
        <v>1.10484884671135</v>
      </c>
      <c r="D1052" s="51" t="n">
        <f aca="false">1+IF($G$8=$E$8,$F$8,IF(R1052&lt;($F$8-$E$8)/($G$8-$E$8),$E$8+SQRT(R1052*($G$8-$E$8)*($F$8-$E$8)),$G$8-SQRT((1-R1052)*($G$8-$E$8)*($G$8-$F$8))))</f>
        <v>1.03693968889273</v>
      </c>
      <c r="E1052" s="51" t="n">
        <f aca="false">1+IF($G$9=$E$9,$F$9,IF(S1052&lt;($F$9-$E$9)/($G$9-$E$9),$E$9+SQRT(S1052*($G$9-$E$9)*($F$9-$E$9)),$G$9-SQRT((1-S1052)*($G$9-$E$9)*($G$9-$F$9))))</f>
        <v>1.08364582556072</v>
      </c>
      <c r="F1052" s="51" t="n">
        <f aca="false">1+IF($G$10=$E$10,$F$10,IF(T1052&lt;($F$10-$E$10)/($G$10-$E$10),$E$10+SQRT(T1052*($G$10-$E$10)*($F$10-$E$10)),$G$10-SQRT((1-T1052)*($G$10-$E$10)*($G$10-$F$10))))</f>
        <v>1.04201463476354</v>
      </c>
      <c r="G1052" s="52" t="n">
        <f aca="false">IF($G$11=$E$11,$F$11,IF(U1052&lt;($F$11-$E$11)/($G$11-$E$11),$E$11+SQRT(U1052*($G$11-$E$11)*($F$11-$E$11)),$G$11-SQRT((1-U1052)*($G$11-$E$11)*($G$11-$F$11))))</f>
        <v>0.0921177520940325</v>
      </c>
      <c r="H1052" s="53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-2084029269.52707</v>
      </c>
      <c r="I1052" s="53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-16413622.7924901</v>
      </c>
      <c r="J1052" s="53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281439557.885622</v>
      </c>
      <c r="K1052" s="53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631393470.301911</v>
      </c>
      <c r="L1052" s="53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767991799.594292</v>
      </c>
      <c r="M1052" s="53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973218446.125846</v>
      </c>
      <c r="N1052" s="53" t="n">
        <f aca="false">IF(COUNT('Business Case'!B11:G11)=0,"",H1052+NPV(G1052,I1052:M1052))</f>
        <v>-212100154.855113</v>
      </c>
      <c r="P1052" s="54" t="n">
        <f aca="true">RAND()</f>
        <v>0.39757748994034</v>
      </c>
      <c r="Q1052" s="54" t="n">
        <f aca="true">RAND()</f>
        <v>0.969798123803041</v>
      </c>
      <c r="R1052" s="54" t="n">
        <f aca="true">RAND()</f>
        <v>0.734893144203621</v>
      </c>
      <c r="S1052" s="54" t="n">
        <f aca="true">RAND()</f>
        <v>0.882589960919501</v>
      </c>
      <c r="T1052" s="54" t="n">
        <f aca="true">RAND()</f>
        <v>0.423227837966065</v>
      </c>
      <c r="U1052" s="54" t="n">
        <f aca="true">RAND()</f>
        <v>0.146839915812428</v>
      </c>
    </row>
    <row r="1053" customFormat="false" ht="15" hidden="false" customHeight="false" outlineLevel="0" collapsed="false">
      <c r="A1053" s="50" t="n">
        <v>973</v>
      </c>
      <c r="B1053" s="51" t="n">
        <f aca="false">1+IF($G$6=$E$6,$F$6,IF(P1053&lt;($F$6-$E$6)/($G$6-$E$6),$E$6+SQRT(P1053*($G$6-$E$6)*($F$6-$E$6)),$G$6-SQRT((1-P1053)*($G$6-$E$6)*($G$6-$F$6))))</f>
        <v>1.01548298291131</v>
      </c>
      <c r="C1053" s="51" t="n">
        <f aca="false">1+IF($G$7=$E$7,$F$7,IF(Q1053&lt;($F$7-$E$7)/($G$7-$E$7),$E$7+SQRT(Q1053*($G$7-$E$7)*($F$7-$E$7)),$G$7-SQRT((1-Q1053)*($G$7-$E$7)*($G$7-$F$7))))</f>
        <v>0.829211035976766</v>
      </c>
      <c r="D1053" s="51" t="n">
        <f aca="false">1+IF($G$8=$E$8,$F$8,IF(R1053&lt;($F$8-$E$8)/($G$8-$E$8),$E$8+SQRT(R1053*($G$8-$E$8)*($F$8-$E$8)),$G$8-SQRT((1-R1053)*($G$8-$E$8)*($G$8-$F$8))))</f>
        <v>1.0015142372371</v>
      </c>
      <c r="E1053" s="51" t="n">
        <f aca="false">1+IF($G$9=$E$9,$F$9,IF(S1053&lt;($F$9-$E$9)/($G$9-$E$9),$E$9+SQRT(S1053*($G$9-$E$9)*($F$9-$E$9)),$G$9-SQRT((1-S1053)*($G$9-$E$9)*($G$9-$F$9))))</f>
        <v>1.03052373334672</v>
      </c>
      <c r="F1053" s="51" t="n">
        <f aca="false">1+IF($G$10=$E$10,$F$10,IF(T1053&lt;($F$10-$E$10)/($G$10-$E$10),$E$10+SQRT(T1053*($G$10-$E$10)*($F$10-$E$10)),$G$10-SQRT((1-T1053)*($G$10-$E$10)*($G$10-$F$10))))</f>
        <v>1.14284799421353</v>
      </c>
      <c r="G1053" s="52" t="n">
        <f aca="false">IF($G$11=$E$11,$F$11,IF(U1053&lt;($F$11-$E$11)/($G$11-$E$11),$E$11+SQRT(U1053*($G$11-$E$11)*($F$11-$E$11)),$G$11-SQRT((1-U1053)*($G$11-$E$11)*($G$11-$F$11))))</f>
        <v>0.111613813074614</v>
      </c>
      <c r="H1053" s="53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-2285695988.42706</v>
      </c>
      <c r="I1053" s="53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-39910293.397746</v>
      </c>
      <c r="J1053" s="53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224656543.762747</v>
      </c>
      <c r="K1053" s="53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546365780.633917</v>
      </c>
      <c r="L1053" s="53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663655963.857403</v>
      </c>
      <c r="M1053" s="53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823712770.125672</v>
      </c>
      <c r="N1053" s="53" t="n">
        <f aca="false">IF(COUNT('Business Case'!B11:G11)=0,"",H1053+NPV(G1053,I1053:M1053))</f>
        <v>-822098311.848689</v>
      </c>
      <c r="P1053" s="54" t="n">
        <f aca="true">RAND()</f>
        <v>0.841143404173231</v>
      </c>
      <c r="Q1053" s="54" t="n">
        <f aca="true">RAND()</f>
        <v>0.123670309764364</v>
      </c>
      <c r="R1053" s="54" t="n">
        <f aca="true">RAND()</f>
        <v>0.353370302200588</v>
      </c>
      <c r="S1053" s="54" t="n">
        <f aca="true">RAND()</f>
        <v>0.619344578842524</v>
      </c>
      <c r="T1053" s="54" t="n">
        <f aca="true">RAND()</f>
        <v>0.846912635412486</v>
      </c>
      <c r="U1053" s="54" t="n">
        <f aca="true">RAND()</f>
        <v>0.774632086896507</v>
      </c>
    </row>
    <row r="1054" customFormat="false" ht="15" hidden="false" customHeight="false" outlineLevel="0" collapsed="false">
      <c r="A1054" s="50" t="n">
        <v>974</v>
      </c>
      <c r="B1054" s="51" t="n">
        <f aca="false">1+IF($G$6=$E$6,$F$6,IF(P1054&lt;($F$6-$E$6)/($G$6-$E$6),$E$6+SQRT(P1054*($G$6-$E$6)*($F$6-$E$6)),$G$6-SQRT((1-P1054)*($G$6-$E$6)*($G$6-$F$6))))</f>
        <v>0.937563463200036</v>
      </c>
      <c r="C1054" s="51" t="n">
        <f aca="false">1+IF($G$7=$E$7,$F$7,IF(Q1054&lt;($F$7-$E$7)/($G$7-$E$7),$E$7+SQRT(Q1054*($G$7-$E$7)*($F$7-$E$7)),$G$7-SQRT((1-Q1054)*($G$7-$E$7)*($G$7-$F$7))))</f>
        <v>1.04131724896392</v>
      </c>
      <c r="D1054" s="51" t="n">
        <f aca="false">1+IF($G$8=$E$8,$F$8,IF(R1054&lt;($F$8-$E$8)/($G$8-$E$8),$E$8+SQRT(R1054*($G$8-$E$8)*($F$8-$E$8)),$G$8-SQRT((1-R1054)*($G$8-$E$8)*($G$8-$F$8))))</f>
        <v>0.97950050114882</v>
      </c>
      <c r="E1054" s="51" t="n">
        <f aca="false">1+IF($G$9=$E$9,$F$9,IF(S1054&lt;($F$9-$E$9)/($G$9-$E$9),$E$9+SQRT(S1054*($G$9-$E$9)*($F$9-$E$9)),$G$9-SQRT((1-S1054)*($G$9-$E$9)*($G$9-$F$9))))</f>
        <v>1.07074893782013</v>
      </c>
      <c r="F1054" s="51" t="n">
        <f aca="false">1+IF($G$10=$E$10,$F$10,IF(T1054&lt;($F$10-$E$10)/($G$10-$E$10),$E$10+SQRT(T1054*($G$10-$E$10)*($F$10-$E$10)),$G$10-SQRT((1-T1054)*($G$10-$E$10)*($G$10-$F$10))))</f>
        <v>1.02524701699099</v>
      </c>
      <c r="G1054" s="52" t="n">
        <f aca="false">IF($G$11=$E$11,$F$11,IF(U1054&lt;($F$11-$E$11)/($G$11-$E$11),$E$11+SQRT(U1054*($G$11-$E$11)*($F$11-$E$11)),$G$11-SQRT((1-U1054)*($G$11-$E$11)*($G$11-$F$11))))</f>
        <v>0.103076819368298</v>
      </c>
      <c r="H1054" s="53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-2050494033.98197</v>
      </c>
      <c r="I1054" s="53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-27879262.199119</v>
      </c>
      <c r="J1054" s="53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249638120.421771</v>
      </c>
      <c r="K1054" s="53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578417853.892211</v>
      </c>
      <c r="L1054" s="53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704664610.874433</v>
      </c>
      <c r="M1054" s="53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890239906.138355</v>
      </c>
      <c r="N1054" s="53" t="n">
        <f aca="false">IF(COUNT('Business Case'!B11:G11)=0,"",H1054+NPV(G1054,I1054:M1054))</f>
        <v>-418606878.447428</v>
      </c>
      <c r="P1054" s="54" t="n">
        <f aca="true">RAND()</f>
        <v>0.0940675845053652</v>
      </c>
      <c r="Q1054" s="54" t="n">
        <f aca="true">RAND()</f>
        <v>0.825008290773773</v>
      </c>
      <c r="R1054" s="54" t="n">
        <f aca="true">RAND()</f>
        <v>0.116037275737536</v>
      </c>
      <c r="S1054" s="54" t="n">
        <f aca="true">RAND()</f>
        <v>0.832513843823002</v>
      </c>
      <c r="T1054" s="54" t="n">
        <f aca="true">RAND()</f>
        <v>0.326481288380669</v>
      </c>
      <c r="U1054" s="54" t="n">
        <f aca="true">RAND()</f>
        <v>0.516761563115152</v>
      </c>
    </row>
    <row r="1055" customFormat="false" ht="15" hidden="false" customHeight="false" outlineLevel="0" collapsed="false">
      <c r="A1055" s="50" t="n">
        <v>975</v>
      </c>
      <c r="B1055" s="51" t="n">
        <f aca="false">1+IF($G$6=$E$6,$F$6,IF(P1055&lt;($F$6-$E$6)/($G$6-$E$6),$E$6+SQRT(P1055*($G$6-$E$6)*($F$6-$E$6)),$G$6-SQRT((1-P1055)*($G$6-$E$6)*($G$6-$F$6))))</f>
        <v>0.934074512055205</v>
      </c>
      <c r="C1055" s="51" t="n">
        <f aca="false">1+IF($G$7=$E$7,$F$7,IF(Q1055&lt;($F$7-$E$7)/($G$7-$E$7),$E$7+SQRT(Q1055*($G$7-$E$7)*($F$7-$E$7)),$G$7-SQRT((1-Q1055)*($G$7-$E$7)*($G$7-$F$7))))</f>
        <v>1.08633761390675</v>
      </c>
      <c r="D1055" s="51" t="n">
        <f aca="false">1+IF($G$8=$E$8,$F$8,IF(R1055&lt;($F$8-$E$8)/($G$8-$E$8),$E$8+SQRT(R1055*($G$8-$E$8)*($F$8-$E$8)),$G$8-SQRT((1-R1055)*($G$8-$E$8)*($G$8-$F$8))))</f>
        <v>1.05131444332885</v>
      </c>
      <c r="E1055" s="51" t="n">
        <f aca="false">1+IF($G$9=$E$9,$F$9,IF(S1055&lt;($F$9-$E$9)/($G$9-$E$9),$E$9+SQRT(S1055*($G$9-$E$9)*($F$9-$E$9)),$G$9-SQRT((1-S1055)*($G$9-$E$9)*($G$9-$F$9))))</f>
        <v>0.949172636430465</v>
      </c>
      <c r="F1055" s="51" t="n">
        <f aca="false">1+IF($G$10=$E$10,$F$10,IF(T1055&lt;($F$10-$E$10)/($G$10-$E$10),$E$10+SQRT(T1055*($G$10-$E$10)*($F$10-$E$10)),$G$10-SQRT((1-T1055)*($G$10-$E$10)*($G$10-$F$10))))</f>
        <v>1.00090675233394</v>
      </c>
      <c r="G1055" s="52" t="n">
        <f aca="false">IF($G$11=$E$11,$F$11,IF(U1055&lt;($F$11-$E$11)/($G$11-$E$11),$E$11+SQRT(U1055*($G$11-$E$11)*($F$11-$E$11)),$G$11-SQRT((1-U1055)*($G$11-$E$11)*($G$11-$F$11))))</f>
        <v>0.0959551624331747</v>
      </c>
      <c r="H1055" s="53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-2001813504.66787</v>
      </c>
      <c r="I1055" s="53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-41191991.2567773</v>
      </c>
      <c r="J1055" s="53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205282140.761121</v>
      </c>
      <c r="K1055" s="53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501801610.395717</v>
      </c>
      <c r="L1055" s="53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619028387.162263</v>
      </c>
      <c r="M1055" s="53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811906417.345455</v>
      </c>
      <c r="N1055" s="53" t="n">
        <f aca="false">IF(COUNT('Business Case'!B11:G11)=0,"",H1055+NPV(G1055,I1055:M1055))</f>
        <v>-544705998.959216</v>
      </c>
      <c r="P1055" s="54" t="n">
        <f aca="true">RAND()</f>
        <v>0.0774048247866856</v>
      </c>
      <c r="Q1055" s="54" t="n">
        <f aca="true">RAND()</f>
        <v>0.939957045880198</v>
      </c>
      <c r="R1055" s="54" t="n">
        <f aca="true">RAND()</f>
        <v>0.841981104774674</v>
      </c>
      <c r="S1055" s="54" t="n">
        <f aca="true">RAND()</f>
        <v>0.0967179269409068</v>
      </c>
      <c r="T1055" s="54" t="n">
        <f aca="true">RAND()</f>
        <v>0.172700719562305</v>
      </c>
      <c r="U1055" s="54" t="n">
        <f aca="true">RAND()</f>
        <v>0.25456720826899</v>
      </c>
    </row>
    <row r="1056" customFormat="false" ht="15" hidden="false" customHeight="false" outlineLevel="0" collapsed="false">
      <c r="A1056" s="50" t="n">
        <v>976</v>
      </c>
      <c r="B1056" s="51" t="n">
        <f aca="false">1+IF($G$6=$E$6,$F$6,IF(P1056&lt;($F$6-$E$6)/($G$6-$E$6),$E$6+SQRT(P1056*($G$6-$E$6)*($F$6-$E$6)),$G$6-SQRT((1-P1056)*($G$6-$E$6)*($G$6-$F$6))))</f>
        <v>0.986268233863426</v>
      </c>
      <c r="C1056" s="51" t="n">
        <f aca="false">1+IF($G$7=$E$7,$F$7,IF(Q1056&lt;($F$7-$E$7)/($G$7-$E$7),$E$7+SQRT(Q1056*($G$7-$E$7)*($F$7-$E$7)),$G$7-SQRT((1-Q1056)*($G$7-$E$7)*($G$7-$F$7))))</f>
        <v>0.880733719624001</v>
      </c>
      <c r="D1056" s="51" t="n">
        <f aca="false">1+IF($G$8=$E$8,$F$8,IF(R1056&lt;($F$8-$E$8)/($G$8-$E$8),$E$8+SQRT(R1056*($G$8-$E$8)*($F$8-$E$8)),$G$8-SQRT((1-R1056)*($G$8-$E$8)*($G$8-$F$8))))</f>
        <v>1.0144028281657</v>
      </c>
      <c r="E1056" s="51" t="n">
        <f aca="false">1+IF($G$9=$E$9,$F$9,IF(S1056&lt;($F$9-$E$9)/($G$9-$E$9),$E$9+SQRT(S1056*($G$9-$E$9)*($F$9-$E$9)),$G$9-SQRT((1-S1056)*($G$9-$E$9)*($G$9-$F$9))))</f>
        <v>0.987707021429298</v>
      </c>
      <c r="F1056" s="51" t="n">
        <f aca="false">1+IF($G$10=$E$10,$F$10,IF(T1056&lt;($F$10-$E$10)/($G$10-$E$10),$E$10+SQRT(T1056*($G$10-$E$10)*($F$10-$E$10)),$G$10-SQRT((1-T1056)*($G$10-$E$10)*($G$10-$F$10))))</f>
        <v>1.06467378306949</v>
      </c>
      <c r="G1056" s="52" t="n">
        <f aca="false">IF($G$11=$E$11,$F$11,IF(U1056&lt;($F$11-$E$11)/($G$11-$E$11),$E$11+SQRT(U1056*($G$11-$E$11)*($F$11-$E$11)),$G$11-SQRT((1-U1056)*($G$11-$E$11)*($G$11-$F$11))))</f>
        <v>0.105199243815119</v>
      </c>
      <c r="H1056" s="53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-2129347566.13898</v>
      </c>
      <c r="I1056" s="53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-37830089.829481</v>
      </c>
      <c r="J1056" s="53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216289418.632999</v>
      </c>
      <c r="K1056" s="53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523642616.248954</v>
      </c>
      <c r="L1056" s="53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638369306.761626</v>
      </c>
      <c r="M1056" s="53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803480339.066769</v>
      </c>
      <c r="N1056" s="53" t="n">
        <f aca="false">IF(COUNT('Business Case'!B11:G11)=0,"",H1056+NPV(G1056,I1056:M1056))</f>
        <v>-683467994.455407</v>
      </c>
      <c r="P1056" s="54" t="n">
        <f aca="true">RAND()</f>
        <v>0.496147211594316</v>
      </c>
      <c r="Q1056" s="54" t="n">
        <f aca="true">RAND()</f>
        <v>0.24196057340094</v>
      </c>
      <c r="R1056" s="54" t="n">
        <f aca="true">RAND()</f>
        <v>0.511541611597942</v>
      </c>
      <c r="S1056" s="54" t="n">
        <f aca="true">RAND()</f>
        <v>0.307700864319975</v>
      </c>
      <c r="T1056" s="54" t="n">
        <f aca="true">RAND()</f>
        <v>0.542055910909674</v>
      </c>
      <c r="U1056" s="54" t="n">
        <f aca="true">RAND()</f>
        <v>0.589948328438732</v>
      </c>
    </row>
    <row r="1057" customFormat="false" ht="15" hidden="false" customHeight="false" outlineLevel="0" collapsed="false">
      <c r="A1057" s="50" t="n">
        <v>977</v>
      </c>
      <c r="B1057" s="51" t="n">
        <f aca="false">1+IF($G$6=$E$6,$F$6,IF(P1057&lt;($F$6-$E$6)/($G$6-$E$6),$E$6+SQRT(P1057*($G$6-$E$6)*($F$6-$E$6)),$G$6-SQRT((1-P1057)*($G$6-$E$6)*($G$6-$F$6))))</f>
        <v>0.970809706736246</v>
      </c>
      <c r="C1057" s="51" t="n">
        <f aca="false">1+IF($G$7=$E$7,$F$7,IF(Q1057&lt;($F$7-$E$7)/($G$7-$E$7),$E$7+SQRT(Q1057*($G$7-$E$7)*($F$7-$E$7)),$G$7-SQRT((1-Q1057)*($G$7-$E$7)*($G$7-$F$7))))</f>
        <v>1.02268398639064</v>
      </c>
      <c r="D1057" s="51" t="n">
        <f aca="false">1+IF($G$8=$E$8,$F$8,IF(R1057&lt;($F$8-$E$8)/($G$8-$E$8),$E$8+SQRT(R1057*($G$8-$E$8)*($F$8-$E$8)),$G$8-SQRT((1-R1057)*($G$8-$E$8)*($G$8-$F$8))))</f>
        <v>1.00524442872284</v>
      </c>
      <c r="E1057" s="51" t="n">
        <f aca="false">1+IF($G$9=$E$9,$F$9,IF(S1057&lt;($F$9-$E$9)/($G$9-$E$9),$E$9+SQRT(S1057*($G$9-$E$9)*($F$9-$E$9)),$G$9-SQRT((1-S1057)*($G$9-$E$9)*($G$9-$F$9))))</f>
        <v>1.04693675759167</v>
      </c>
      <c r="F1057" s="51" t="n">
        <f aca="false">1+IF($G$10=$E$10,$F$10,IF(T1057&lt;($F$10-$E$10)/($G$10-$E$10),$E$10+SQRT(T1057*($G$10-$E$10)*($F$10-$E$10)),$G$10-SQRT((1-T1057)*($G$10-$E$10)*($G$10-$F$10))))</f>
        <v>1.06785131426086</v>
      </c>
      <c r="G1057" s="52" t="n">
        <f aca="false">IF($G$11=$E$11,$F$11,IF(U1057&lt;($F$11-$E$11)/($G$11-$E$11),$E$11+SQRT(U1057*($G$11-$E$11)*($F$11-$E$11)),$G$11-SQRT((1-U1057)*($G$11-$E$11)*($G$11-$F$11))))</f>
        <v>0.0993010456239803</v>
      </c>
      <c r="H1057" s="53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-2135702628.52171</v>
      </c>
      <c r="I1057" s="53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-20205424.156031</v>
      </c>
      <c r="J1057" s="53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266717077.124424</v>
      </c>
      <c r="K1057" s="53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607032144.117922</v>
      </c>
      <c r="L1057" s="53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736985235.931984</v>
      </c>
      <c r="M1057" s="53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925702655.22849</v>
      </c>
      <c r="N1057" s="53" t="n">
        <f aca="false">IF(COUNT('Business Case'!B11:G11)=0,"",H1057+NPV(G1057,I1057:M1057))</f>
        <v>-395162017.734045</v>
      </c>
      <c r="P1057" s="54" t="n">
        <f aca="true">RAND()</f>
        <v>0.334267637871546</v>
      </c>
      <c r="Q1057" s="54" t="n">
        <f aca="true">RAND()</f>
        <v>0.759861224868458</v>
      </c>
      <c r="R1057" s="54" t="n">
        <f aca="true">RAND()</f>
        <v>0.401425447462641</v>
      </c>
      <c r="S1057" s="54" t="n">
        <f aca="true">RAND()</f>
        <v>0.716745815047508</v>
      </c>
      <c r="T1057" s="54" t="n">
        <f aca="true">RAND()</f>
        <v>0.557624750446703</v>
      </c>
      <c r="U1057" s="54" t="n">
        <f aca="true">RAND()</f>
        <v>0.372530362178969</v>
      </c>
    </row>
    <row r="1058" customFormat="false" ht="15" hidden="false" customHeight="false" outlineLevel="0" collapsed="false">
      <c r="A1058" s="50" t="n">
        <v>978</v>
      </c>
      <c r="B1058" s="51" t="n">
        <f aca="false">1+IF($G$6=$E$6,$F$6,IF(P1058&lt;($F$6-$E$6)/($G$6-$E$6),$E$6+SQRT(P1058*($G$6-$E$6)*($F$6-$E$6)),$G$6-SQRT((1-P1058)*($G$6-$E$6)*($G$6-$F$6))))</f>
        <v>1.00161950116574</v>
      </c>
      <c r="C1058" s="51" t="n">
        <f aca="false">1+IF($G$7=$E$7,$F$7,IF(Q1058&lt;($F$7-$E$7)/($G$7-$E$7),$E$7+SQRT(Q1058*($G$7-$E$7)*($F$7-$E$7)),$G$7-SQRT((1-Q1058)*($G$7-$E$7)*($G$7-$F$7))))</f>
        <v>0.964006156512751</v>
      </c>
      <c r="D1058" s="51" t="n">
        <f aca="false">1+IF($G$8=$E$8,$F$8,IF(R1058&lt;($F$8-$E$8)/($G$8-$E$8),$E$8+SQRT(R1058*($G$8-$E$8)*($F$8-$E$8)),$G$8-SQRT((1-R1058)*($G$8-$E$8)*($G$8-$F$8))))</f>
        <v>1.01741546623848</v>
      </c>
      <c r="E1058" s="51" t="n">
        <f aca="false">1+IF($G$9=$E$9,$F$9,IF(S1058&lt;($F$9-$E$9)/($G$9-$E$9),$E$9+SQRT(S1058*($G$9-$E$9)*($F$9-$E$9)),$G$9-SQRT((1-S1058)*($G$9-$E$9)*($G$9-$F$9))))</f>
        <v>1.02574612798604</v>
      </c>
      <c r="F1058" s="51" t="n">
        <f aca="false">1+IF($G$10=$E$10,$F$10,IF(T1058&lt;($F$10-$E$10)/($G$10-$E$10),$E$10+SQRT(T1058*($G$10-$E$10)*($F$10-$E$10)),$G$10-SQRT((1-T1058)*($G$10-$E$10)*($G$10-$F$10))))</f>
        <v>0.961932760548934</v>
      </c>
      <c r="G1058" s="52" t="n">
        <f aca="false">IF($G$11=$E$11,$F$11,IF(U1058&lt;($F$11-$E$11)/($G$11-$E$11),$E$11+SQRT(U1058*($G$11-$E$11)*($F$11-$E$11)),$G$11-SQRT((1-U1058)*($G$11-$E$11)*($G$11-$F$11))))</f>
        <v>0.0929153523241589</v>
      </c>
      <c r="H1058" s="53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-1923865521.09787</v>
      </c>
      <c r="I1058" s="53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-3328654.69407867</v>
      </c>
      <c r="J1058" s="53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285452078.299418</v>
      </c>
      <c r="K1058" s="53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622329449.320361</v>
      </c>
      <c r="L1058" s="53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751959701.806905</v>
      </c>
      <c r="M1058" s="53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935494746.661483</v>
      </c>
      <c r="N1058" s="53" t="n">
        <f aca="false">IF(COUNT('Business Case'!B11:G11)=0,"",H1058+NPV(G1058,I1058:M1058))</f>
        <v>-84227639.7859328</v>
      </c>
      <c r="P1058" s="54" t="n">
        <f aca="true">RAND()</f>
        <v>0.687910311006362</v>
      </c>
      <c r="Q1058" s="54" t="n">
        <f aca="true">RAND()</f>
        <v>0.516290745752852</v>
      </c>
      <c r="R1058" s="54" t="n">
        <f aca="true">RAND()</f>
        <v>0.545319652226144</v>
      </c>
      <c r="S1058" s="54" t="n">
        <f aca="true">RAND()</f>
        <v>0.588292674387697</v>
      </c>
      <c r="T1058" s="54" t="n">
        <f aca="true">RAND()</f>
        <v>0.00949271828788014</v>
      </c>
      <c r="U1058" s="54" t="n">
        <f aca="true">RAND()</f>
        <v>0.166806325657157</v>
      </c>
    </row>
    <row r="1059" customFormat="false" ht="15" hidden="false" customHeight="false" outlineLevel="0" collapsed="false">
      <c r="A1059" s="50" t="n">
        <v>979</v>
      </c>
      <c r="B1059" s="51" t="n">
        <f aca="false">1+IF($G$6=$E$6,$F$6,IF(P1059&lt;($F$6-$E$6)/($G$6-$E$6),$E$6+SQRT(P1059*($G$6-$E$6)*($F$6-$E$6)),$G$6-SQRT((1-P1059)*($G$6-$E$6)*($G$6-$F$6))))</f>
        <v>0.987790375505141</v>
      </c>
      <c r="C1059" s="51" t="n">
        <f aca="false">1+IF($G$7=$E$7,$F$7,IF(Q1059&lt;($F$7-$E$7)/($G$7-$E$7),$E$7+SQRT(Q1059*($G$7-$E$7)*($F$7-$E$7)),$G$7-SQRT((1-Q1059)*($G$7-$E$7)*($G$7-$F$7))))</f>
        <v>0.888581084159966</v>
      </c>
      <c r="D1059" s="51" t="n">
        <f aca="false">1+IF($G$8=$E$8,$F$8,IF(R1059&lt;($F$8-$E$8)/($G$8-$E$8),$E$8+SQRT(R1059*($G$8-$E$8)*($F$8-$E$8)),$G$8-SQRT((1-R1059)*($G$8-$E$8)*($G$8-$F$8))))</f>
        <v>1.04018950789555</v>
      </c>
      <c r="E1059" s="51" t="n">
        <f aca="false">1+IF($G$9=$E$9,$F$9,IF(S1059&lt;($F$9-$E$9)/($G$9-$E$9),$E$9+SQRT(S1059*($G$9-$E$9)*($F$9-$E$9)),$G$9-SQRT((1-S1059)*($G$9-$E$9)*($G$9-$F$9))))</f>
        <v>0.94887067384503</v>
      </c>
      <c r="F1059" s="51" t="n">
        <f aca="false">1+IF($G$10=$E$10,$F$10,IF(T1059&lt;($F$10-$E$10)/($G$10-$E$10),$E$10+SQRT(T1059*($G$10-$E$10)*($F$10-$E$10)),$G$10-SQRT((1-T1059)*($G$10-$E$10)*($G$10-$F$10))))</f>
        <v>1.01580616553932</v>
      </c>
      <c r="G1059" s="52" t="n">
        <f aca="false">IF($G$11=$E$11,$F$11,IF(U1059&lt;($F$11-$E$11)/($G$11-$E$11),$E$11+SQRT(U1059*($G$11-$E$11)*($F$11-$E$11)),$G$11-SQRT((1-U1059)*($G$11-$E$11)*($G$11-$F$11))))</f>
        <v>0.114123581901836</v>
      </c>
      <c r="H1059" s="53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-2031612331.07865</v>
      </c>
      <c r="I1059" s="53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-36249998.7269626</v>
      </c>
      <c r="J1059" s="53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209511647.650959</v>
      </c>
      <c r="K1059" s="53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506063602.305848</v>
      </c>
      <c r="L1059" s="53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618318563.585281</v>
      </c>
      <c r="M1059" s="53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785157832.26264</v>
      </c>
      <c r="N1059" s="53" t="n">
        <f aca="false">IF(COUNT('Business Case'!B11:G11)=0,"",H1059+NPV(G1059,I1059:M1059))</f>
        <v>-670722700.709822</v>
      </c>
      <c r="P1059" s="54" t="n">
        <f aca="true">RAND()</f>
        <v>0.513810002088909</v>
      </c>
      <c r="Q1059" s="54" t="n">
        <f aca="true">RAND()</f>
        <v>0.263428335577394</v>
      </c>
      <c r="R1059" s="54" t="n">
        <f aca="true">RAND()</f>
        <v>0.761513668948219</v>
      </c>
      <c r="S1059" s="54" t="n">
        <f aca="true">RAND()</f>
        <v>0.0955337104826913</v>
      </c>
      <c r="T1059" s="54" t="n">
        <f aca="true">RAND()</f>
        <v>0.268709972008067</v>
      </c>
      <c r="U1059" s="54" t="n">
        <f aca="true">RAND()</f>
        <v>0.83195956558152</v>
      </c>
    </row>
    <row r="1060" customFormat="false" ht="15" hidden="false" customHeight="false" outlineLevel="0" collapsed="false">
      <c r="A1060" s="50" t="n">
        <v>980</v>
      </c>
      <c r="B1060" s="51" t="n">
        <f aca="false">1+IF($G$6=$E$6,$F$6,IF(P1060&lt;($F$6-$E$6)/($G$6-$E$6),$E$6+SQRT(P1060*($G$6-$E$6)*($F$6-$E$6)),$G$6-SQRT((1-P1060)*($G$6-$E$6)*($G$6-$F$6))))</f>
        <v>0.992780655240081</v>
      </c>
      <c r="C1060" s="51" t="n">
        <f aca="false">1+IF($G$7=$E$7,$F$7,IF(Q1060&lt;($F$7-$E$7)/($G$7-$E$7),$E$7+SQRT(Q1060*($G$7-$E$7)*($F$7-$E$7)),$G$7-SQRT((1-Q1060)*($G$7-$E$7)*($G$7-$F$7))))</f>
        <v>0.99666840770724</v>
      </c>
      <c r="D1060" s="51" t="n">
        <f aca="false">1+IF($G$8=$E$8,$F$8,IF(R1060&lt;($F$8-$E$8)/($G$8-$E$8),$E$8+SQRT(R1060*($G$8-$E$8)*($F$8-$E$8)),$G$8-SQRT((1-R1060)*($G$8-$E$8)*($G$8-$F$8))))</f>
        <v>1.03845228309998</v>
      </c>
      <c r="E1060" s="51" t="n">
        <f aca="false">1+IF($G$9=$E$9,$F$9,IF(S1060&lt;($F$9-$E$9)/($G$9-$E$9),$E$9+SQRT(S1060*($G$9-$E$9)*($F$9-$E$9)),$G$9-SQRT((1-S1060)*($G$9-$E$9)*($G$9-$F$9))))</f>
        <v>0.96934793340996</v>
      </c>
      <c r="F1060" s="51" t="n">
        <f aca="false">1+IF($G$10=$E$10,$F$10,IF(T1060&lt;($F$10-$E$10)/($G$10-$E$10),$E$10+SQRT(T1060*($G$10-$E$10)*($F$10-$E$10)),$G$10-SQRT((1-T1060)*($G$10-$E$10)*($G$10-$F$10))))</f>
        <v>0.996195501192911</v>
      </c>
      <c r="G1060" s="52" t="n">
        <f aca="false">IF($G$11=$E$11,$F$11,IF(U1060&lt;($F$11-$E$11)/($G$11-$E$11),$E$11+SQRT(U1060*($G$11-$E$11)*($F$11-$E$11)),$G$11-SQRT((1-U1060)*($G$11-$E$11)*($G$11-$F$11))))</f>
        <v>0.0881258464644473</v>
      </c>
      <c r="H1060" s="53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-1992391002.38582</v>
      </c>
      <c r="I1060" s="53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-8138792.72304718</v>
      </c>
      <c r="J1060" s="53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272477527.078471</v>
      </c>
      <c r="K1060" s="53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602903621.939634</v>
      </c>
      <c r="L1060" s="53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730638586.056392</v>
      </c>
      <c r="M1060" s="53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918717635.729111</v>
      </c>
      <c r="N1060" s="53" t="n">
        <f aca="false">IF(COUNT('Business Case'!B11:G11)=0,"",H1060+NPV(G1060,I1060:M1060))</f>
        <v>-178337790.265526</v>
      </c>
      <c r="P1060" s="54" t="n">
        <f aca="true">RAND()</f>
        <v>0.573883332451918</v>
      </c>
      <c r="Q1060" s="54" t="n">
        <f aca="true">RAND()</f>
        <v>0.651941808381848</v>
      </c>
      <c r="R1060" s="54" t="n">
        <f aca="true">RAND()</f>
        <v>0.747458569626328</v>
      </c>
      <c r="S1060" s="54" t="n">
        <f aca="true">RAND()</f>
        <v>0.192365434729292</v>
      </c>
      <c r="T1060" s="54" t="n">
        <f aca="true">RAND()</f>
        <v>0.142268288697617</v>
      </c>
      <c r="U1060" s="54" t="n">
        <f aca="true">RAND()</f>
        <v>0.0660293807637704</v>
      </c>
    </row>
    <row r="1061" customFormat="false" ht="15" hidden="false" customHeight="false" outlineLevel="0" collapsed="false">
      <c r="A1061" s="50" t="n">
        <v>981</v>
      </c>
      <c r="B1061" s="51" t="n">
        <f aca="false">1+IF($G$6=$E$6,$F$6,IF(P1061&lt;($F$6-$E$6)/($G$6-$E$6),$E$6+SQRT(P1061*($G$6-$E$6)*($F$6-$E$6)),$G$6-SQRT((1-P1061)*($G$6-$E$6)*($G$6-$F$6))))</f>
        <v>1.03942391862725</v>
      </c>
      <c r="C1061" s="51" t="n">
        <f aca="false">1+IF($G$7=$E$7,$F$7,IF(Q1061&lt;($F$7-$E$7)/($G$7-$E$7),$E$7+SQRT(Q1061*($G$7-$E$7)*($F$7-$E$7)),$G$7-SQRT((1-Q1061)*($G$7-$E$7)*($G$7-$F$7))))</f>
        <v>1.13062663274579</v>
      </c>
      <c r="D1061" s="51" t="n">
        <f aca="false">1+IF($G$8=$E$8,$F$8,IF(R1061&lt;($F$8-$E$8)/($G$8-$E$8),$E$8+SQRT(R1061*($G$8-$E$8)*($F$8-$E$8)),$G$8-SQRT((1-R1061)*($G$8-$E$8)*($G$8-$F$8))))</f>
        <v>0.981163687502467</v>
      </c>
      <c r="E1061" s="51" t="n">
        <f aca="false">1+IF($G$9=$E$9,$F$9,IF(S1061&lt;($F$9-$E$9)/($G$9-$E$9),$E$9+SQRT(S1061*($G$9-$E$9)*($F$9-$E$9)),$G$9-SQRT((1-S1061)*($G$9-$E$9)*($G$9-$F$9))))</f>
        <v>0.999401799469228</v>
      </c>
      <c r="F1061" s="51" t="n">
        <f aca="false">1+IF($G$10=$E$10,$F$10,IF(T1061&lt;($F$10-$E$10)/($G$10-$E$10),$E$10+SQRT(T1061*($G$10-$E$10)*($F$10-$E$10)),$G$10-SQRT((1-T1061)*($G$10-$E$10)*($G$10-$F$10))))</f>
        <v>0.972976205107286</v>
      </c>
      <c r="G1061" s="52" t="n">
        <f aca="false">IF($G$11=$E$11,$F$11,IF(U1061&lt;($F$11-$E$11)/($G$11-$E$11),$E$11+SQRT(U1061*($G$11-$E$11)*($F$11-$E$11)),$G$11-SQRT((1-U1061)*($G$11-$E$11)*($G$11-$F$11))))</f>
        <v>0.109683286048013</v>
      </c>
      <c r="H1061" s="53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-1945952410.21457</v>
      </c>
      <c r="I1061" s="53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94350660.8740321</v>
      </c>
      <c r="J1061" s="53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489036265.070773</v>
      </c>
      <c r="K1061" s="53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932370679.522879</v>
      </c>
      <c r="L1061" s="53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1104547472.20676</v>
      </c>
      <c r="M1061" s="53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1327929557.60744</v>
      </c>
      <c r="N1061" s="53" t="n">
        <f aca="false">IF(COUNT('Business Case'!B11:G11)=0,"",H1061+NPV(G1061,I1061:M1061))</f>
        <v>736154588.932272</v>
      </c>
      <c r="P1061" s="54" t="n">
        <f aca="true">RAND()</f>
        <v>0.985086200372936</v>
      </c>
      <c r="Q1061" s="54" t="n">
        <f aca="true">RAND()</f>
        <v>0.994439594684941</v>
      </c>
      <c r="R1061" s="54" t="n">
        <f aca="true">RAND()</f>
        <v>0.129490055833525</v>
      </c>
      <c r="S1061" s="54" t="n">
        <f aca="true">RAND()</f>
        <v>0.395228709508823</v>
      </c>
      <c r="T1061" s="54" t="n">
        <f aca="true">RAND()</f>
        <v>0.0351937334088062</v>
      </c>
      <c r="U1061" s="54" t="n">
        <f aca="true">RAND()</f>
        <v>0.724820756128767</v>
      </c>
    </row>
    <row r="1062" customFormat="false" ht="15" hidden="false" customHeight="false" outlineLevel="0" collapsed="false">
      <c r="A1062" s="50" t="n">
        <v>982</v>
      </c>
      <c r="B1062" s="51" t="n">
        <f aca="false">1+IF($G$6=$E$6,$F$6,IF(P1062&lt;($F$6-$E$6)/($G$6-$E$6),$E$6+SQRT(P1062*($G$6-$E$6)*($F$6-$E$6)),$G$6-SQRT((1-P1062)*($G$6-$E$6)*($G$6-$F$6))))</f>
        <v>1.01068650073078</v>
      </c>
      <c r="C1062" s="51" t="n">
        <f aca="false">1+IF($G$7=$E$7,$F$7,IF(Q1062&lt;($F$7-$E$7)/($G$7-$E$7),$E$7+SQRT(Q1062*($G$7-$E$7)*($F$7-$E$7)),$G$7-SQRT((1-Q1062)*($G$7-$E$7)*($G$7-$F$7))))</f>
        <v>0.936423710462961</v>
      </c>
      <c r="D1062" s="51" t="n">
        <f aca="false">1+IF($G$8=$E$8,$F$8,IF(R1062&lt;($F$8-$E$8)/($G$8-$E$8),$E$8+SQRT(R1062*($G$8-$E$8)*($F$8-$E$8)),$G$8-SQRT((1-R1062)*($G$8-$E$8)*($G$8-$F$8))))</f>
        <v>0.961023681797748</v>
      </c>
      <c r="E1062" s="51" t="n">
        <f aca="false">1+IF($G$9=$E$9,$F$9,IF(S1062&lt;($F$9-$E$9)/($G$9-$E$9),$E$9+SQRT(S1062*($G$9-$E$9)*($F$9-$E$9)),$G$9-SQRT((1-S1062)*($G$9-$E$9)*($G$9-$F$9))))</f>
        <v>1.01670930188447</v>
      </c>
      <c r="F1062" s="51" t="n">
        <f aca="false">1+IF($G$10=$E$10,$F$10,IF(T1062&lt;($F$10-$E$10)/($G$10-$E$10),$E$10+SQRT(T1062*($G$10-$E$10)*($F$10-$E$10)),$G$10-SQRT((1-T1062)*($G$10-$E$10)*($G$10-$F$10))))</f>
        <v>1.05217478487376</v>
      </c>
      <c r="G1062" s="52" t="n">
        <f aca="false">IF($G$11=$E$11,$F$11,IF(U1062&lt;($F$11-$E$11)/($G$11-$E$11),$E$11+SQRT(U1062*($G$11-$E$11)*($F$11-$E$11)),$G$11-SQRT((1-U1062)*($G$11-$E$11)*($G$11-$F$11))))</f>
        <v>0.0927080873331955</v>
      </c>
      <c r="H1062" s="53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-2104349569.74751</v>
      </c>
      <c r="I1062" s="53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15648665.4406561</v>
      </c>
      <c r="J1062" s="53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330153844.930874</v>
      </c>
      <c r="K1062" s="53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697267763.664779</v>
      </c>
      <c r="L1062" s="53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834811472.050995</v>
      </c>
      <c r="M1062" s="53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1014709039.10978</v>
      </c>
      <c r="N1062" s="53" t="n">
        <f aca="false">IF(COUNT('Business Case'!B11:G11)=0,"",H1062+NPV(G1062,I1062:M1062))</f>
        <v>-42174933.7469368</v>
      </c>
      <c r="P1062" s="54" t="n">
        <f aca="true">RAND()</f>
        <v>0.793926503361224</v>
      </c>
      <c r="Q1062" s="54" t="n">
        <f aca="true">RAND()</f>
        <v>0.41404571014129</v>
      </c>
      <c r="R1062" s="54" t="n">
        <f aca="true">RAND()</f>
        <v>0.0162028747170681</v>
      </c>
      <c r="S1062" s="54" t="n">
        <f aca="true">RAND()</f>
        <v>0.526229061223288</v>
      </c>
      <c r="T1062" s="54" t="n">
        <f aca="true">RAND()</f>
        <v>0.4782024568034</v>
      </c>
      <c r="U1062" s="54" t="n">
        <f aca="true">RAND()</f>
        <v>0.161495483668124</v>
      </c>
    </row>
    <row r="1063" customFormat="false" ht="15" hidden="false" customHeight="false" outlineLevel="0" collapsed="false">
      <c r="A1063" s="50" t="n">
        <v>983</v>
      </c>
      <c r="B1063" s="51" t="n">
        <f aca="false">1+IF($G$6=$E$6,$F$6,IF(P1063&lt;($F$6-$E$6)/($G$6-$E$6),$E$6+SQRT(P1063*($G$6-$E$6)*($F$6-$E$6)),$G$6-SQRT((1-P1063)*($G$6-$E$6)*($G$6-$F$6))))</f>
        <v>0.996894175222576</v>
      </c>
      <c r="C1063" s="51" t="n">
        <f aca="false">1+IF($G$7=$E$7,$F$7,IF(Q1063&lt;($F$7-$E$7)/($G$7-$E$7),$E$7+SQRT(Q1063*($G$7-$E$7)*($F$7-$E$7)),$G$7-SQRT((1-Q1063)*($G$7-$E$7)*($G$7-$F$7))))</f>
        <v>0.778441335965344</v>
      </c>
      <c r="D1063" s="51" t="n">
        <f aca="false">1+IF($G$8=$E$8,$F$8,IF(R1063&lt;($F$8-$E$8)/($G$8-$E$8),$E$8+SQRT(R1063*($G$8-$E$8)*($F$8-$E$8)),$G$8-SQRT((1-R1063)*($G$8-$E$8)*($G$8-$F$8))))</f>
        <v>1.03142552936622</v>
      </c>
      <c r="E1063" s="51" t="n">
        <f aca="false">1+IF($G$9=$E$9,$F$9,IF(S1063&lt;($F$9-$E$9)/($G$9-$E$9),$E$9+SQRT(S1063*($G$9-$E$9)*($F$9-$E$9)),$G$9-SQRT((1-S1063)*($G$9-$E$9)*($G$9-$F$9))))</f>
        <v>1.11139821083689</v>
      </c>
      <c r="F1063" s="51" t="n">
        <f aca="false">1+IF($G$10=$E$10,$F$10,IF(T1063&lt;($F$10-$E$10)/($G$10-$E$10),$E$10+SQRT(T1063*($G$10-$E$10)*($F$10-$E$10)),$G$10-SQRT((1-T1063)*($G$10-$E$10)*($G$10-$F$10))))</f>
        <v>1.1091579859688</v>
      </c>
      <c r="G1063" s="52" t="n">
        <f aca="false">IF($G$11=$E$11,$F$11,IF(U1063&lt;($F$11-$E$11)/($G$11-$E$11),$E$11+SQRT(U1063*($G$11-$E$11)*($F$11-$E$11)),$G$11-SQRT((1-U1063)*($G$11-$E$11)*($G$11-$F$11))))</f>
        <v>0.115113959601316</v>
      </c>
      <c r="H1063" s="53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-2218315971.9376</v>
      </c>
      <c r="I1063" s="53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-84589212.1191314</v>
      </c>
      <c r="J1063" s="53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140007265.10422</v>
      </c>
      <c r="K1063" s="53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420061641.626011</v>
      </c>
      <c r="L1063" s="53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521746510.810193</v>
      </c>
      <c r="M1063" s="53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669253083.080382</v>
      </c>
      <c r="N1063" s="53" t="n">
        <f aca="false">IF(COUNT('Business Case'!B11:G11)=0,"",H1063+NPV(G1063,I1063:M1063))</f>
        <v>-1153066535.9623</v>
      </c>
      <c r="P1063" s="54" t="n">
        <f aca="true">RAND()</f>
        <v>0.625898746137545</v>
      </c>
      <c r="Q1063" s="54" t="n">
        <f aca="true">RAND()</f>
        <v>0.045578097689096</v>
      </c>
      <c r="R1063" s="54" t="n">
        <f aca="true">RAND()</f>
        <v>0.68650279848644</v>
      </c>
      <c r="S1063" s="54" t="n">
        <f aca="true">RAND()</f>
        <v>0.960264049957516</v>
      </c>
      <c r="T1063" s="54" t="n">
        <f aca="true">RAND()</f>
        <v>0.735513694448468</v>
      </c>
      <c r="U1063" s="54" t="n">
        <f aca="true">RAND()</f>
        <v>0.852270534165839</v>
      </c>
    </row>
    <row r="1064" customFormat="false" ht="15" hidden="false" customHeight="false" outlineLevel="0" collapsed="false">
      <c r="A1064" s="50" t="n">
        <v>984</v>
      </c>
      <c r="B1064" s="51" t="n">
        <f aca="false">1+IF($G$6=$E$6,$F$6,IF(P1064&lt;($F$6-$E$6)/($G$6-$E$6),$E$6+SQRT(P1064*($G$6-$E$6)*($F$6-$E$6)),$G$6-SQRT((1-P1064)*($G$6-$E$6)*($G$6-$F$6))))</f>
        <v>1.01148872194136</v>
      </c>
      <c r="C1064" s="51" t="n">
        <f aca="false">1+IF($G$7=$E$7,$F$7,IF(Q1064&lt;($F$7-$E$7)/($G$7-$E$7),$E$7+SQRT(Q1064*($G$7-$E$7)*($F$7-$E$7)),$G$7-SQRT((1-Q1064)*($G$7-$E$7)*($G$7-$F$7))))</f>
        <v>0.965632258469092</v>
      </c>
      <c r="D1064" s="51" t="n">
        <f aca="false">1+IF($G$8=$E$8,$F$8,IF(R1064&lt;($F$8-$E$8)/($G$8-$E$8),$E$8+SQRT(R1064*($G$8-$E$8)*($F$8-$E$8)),$G$8-SQRT((1-R1064)*($G$8-$E$8)*($G$8-$F$8))))</f>
        <v>0.982275957362762</v>
      </c>
      <c r="E1064" s="51" t="n">
        <f aca="false">1+IF($G$9=$E$9,$F$9,IF(S1064&lt;($F$9-$E$9)/($G$9-$E$9),$E$9+SQRT(S1064*($G$9-$E$9)*($F$9-$E$9)),$G$9-SQRT((1-S1064)*($G$9-$E$9)*($G$9-$F$9))))</f>
        <v>0.955303002395004</v>
      </c>
      <c r="F1064" s="51" t="n">
        <f aca="false">1+IF($G$10=$E$10,$F$10,IF(T1064&lt;($F$10-$E$10)/($G$10-$E$10),$E$10+SQRT(T1064*($G$10-$E$10)*($F$10-$E$10)),$G$10-SQRT((1-T1064)*($G$10-$E$10)*($G$10-$F$10))))</f>
        <v>0.977458677122162</v>
      </c>
      <c r="G1064" s="52" t="n">
        <f aca="false">IF($G$11=$E$11,$F$11,IF(U1064&lt;($F$11-$E$11)/($G$11-$E$11),$E$11+SQRT(U1064*($G$11-$E$11)*($F$11-$E$11)),$G$11-SQRT((1-U1064)*($G$11-$E$11)*($G$11-$F$11))))</f>
        <v>0.118468424679105</v>
      </c>
      <c r="H1064" s="53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-1954917354.24432</v>
      </c>
      <c r="I1064" s="53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30220592.0126493</v>
      </c>
      <c r="J1064" s="53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344664621.723028</v>
      </c>
      <c r="K1064" s="53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707981585.289515</v>
      </c>
      <c r="L1064" s="53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846551917.222937</v>
      </c>
      <c r="M1064" s="53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1032208021.72106</v>
      </c>
      <c r="N1064" s="53" t="n">
        <f aca="false">IF(COUNT('Business Case'!B11:G11)=0,"",H1064+NPV(G1064,I1064:M1064))</f>
        <v>-15704237.4648311</v>
      </c>
      <c r="P1064" s="54" t="n">
        <f aca="true">RAND()</f>
        <v>0.802250861638718</v>
      </c>
      <c r="Q1064" s="54" t="n">
        <f aca="true">RAND()</f>
        <v>0.522670346217705</v>
      </c>
      <c r="R1064" s="54" t="n">
        <f aca="true">RAND()</f>
        <v>0.138898323157714</v>
      </c>
      <c r="S1064" s="54" t="n">
        <f aca="true">RAND()</f>
        <v>0.122336882956073</v>
      </c>
      <c r="T1064" s="54" t="n">
        <f aca="true">RAND()</f>
        <v>0.0502652632866108</v>
      </c>
      <c r="U1064" s="54" t="n">
        <f aca="true">RAND()</f>
        <v>0.911348513745687</v>
      </c>
    </row>
    <row r="1065" customFormat="false" ht="15" hidden="false" customHeight="false" outlineLevel="0" collapsed="false">
      <c r="A1065" s="50" t="n">
        <v>985</v>
      </c>
      <c r="B1065" s="51" t="n">
        <f aca="false">1+IF($G$6=$E$6,$F$6,IF(P1065&lt;($F$6-$E$6)/($G$6-$E$6),$E$6+SQRT(P1065*($G$6-$E$6)*($F$6-$E$6)),$G$6-SQRT((1-P1065)*($G$6-$E$6)*($G$6-$F$6))))</f>
        <v>0.995587934780612</v>
      </c>
      <c r="C1065" s="51" t="n">
        <f aca="false">1+IF($G$7=$E$7,$F$7,IF(Q1065&lt;($F$7-$E$7)/($G$7-$E$7),$E$7+SQRT(Q1065*($G$7-$E$7)*($F$7-$E$7)),$G$7-SQRT((1-Q1065)*($G$7-$E$7)*($G$7-$F$7))))</f>
        <v>0.971279493949404</v>
      </c>
      <c r="D1065" s="51" t="n">
        <f aca="false">1+IF($G$8=$E$8,$F$8,IF(R1065&lt;($F$8-$E$8)/($G$8-$E$8),$E$8+SQRT(R1065*($G$8-$E$8)*($F$8-$E$8)),$G$8-SQRT((1-R1065)*($G$8-$E$8)*($G$8-$F$8))))</f>
        <v>1.08355602230712</v>
      </c>
      <c r="E1065" s="51" t="n">
        <f aca="false">1+IF($G$9=$E$9,$F$9,IF(S1065&lt;($F$9-$E$9)/($G$9-$E$9),$E$9+SQRT(S1065*($G$9-$E$9)*($F$9-$E$9)),$G$9-SQRT((1-S1065)*($G$9-$E$9)*($G$9-$F$9))))</f>
        <v>1.09260100062487</v>
      </c>
      <c r="F1065" s="51" t="n">
        <f aca="false">1+IF($G$10=$E$10,$F$10,IF(T1065&lt;($F$10-$E$10)/($G$10-$E$10),$E$10+SQRT(T1065*($G$10-$E$10)*($F$10-$E$10)),$G$10-SQRT((1-T1065)*($G$10-$E$10)*($G$10-$F$10))))</f>
        <v>1.06402381003153</v>
      </c>
      <c r="G1065" s="52" t="n">
        <f aca="false">IF($G$11=$E$11,$F$11,IF(U1065&lt;($F$11-$E$11)/($G$11-$E$11),$E$11+SQRT(U1065*($G$11-$E$11)*($F$11-$E$11)),$G$11-SQRT((1-U1065)*($G$11-$E$11)*($G$11-$F$11))))</f>
        <v>0.0844088798226721</v>
      </c>
      <c r="H1065" s="53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-2128047620.06307</v>
      </c>
      <c r="I1065" s="53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-58624297.6569773</v>
      </c>
      <c r="J1065" s="53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194650624.479524</v>
      </c>
      <c r="K1065" s="53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501126737.117602</v>
      </c>
      <c r="L1065" s="53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618971028.830748</v>
      </c>
      <c r="M1065" s="53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802777276.002796</v>
      </c>
      <c r="N1065" s="53" t="n">
        <f aca="false">IF(COUNT('Business Case'!B11:G11)=0,"",H1065+NPV(G1065,I1065:M1065))</f>
        <v>-640654951.284535</v>
      </c>
      <c r="P1065" s="54" t="n">
        <f aca="true">RAND()</f>
        <v>0.609136885041505</v>
      </c>
      <c r="Q1065" s="54" t="n">
        <f aca="true">RAND()</f>
        <v>0.545130102499591</v>
      </c>
      <c r="R1065" s="54" t="n">
        <f aca="true">RAND()</f>
        <v>0.981973039842403</v>
      </c>
      <c r="S1065" s="54" t="n">
        <f aca="true">RAND()</f>
        <v>0.912142796552915</v>
      </c>
      <c r="T1065" s="54" t="n">
        <f aca="true">RAND()</f>
        <v>0.538838090197509</v>
      </c>
      <c r="U1065" s="54" t="n">
        <f aca="true">RAND()</f>
        <v>0.0194382212907652</v>
      </c>
    </row>
    <row r="1066" customFormat="false" ht="15" hidden="false" customHeight="false" outlineLevel="0" collapsed="false">
      <c r="A1066" s="50" t="n">
        <v>986</v>
      </c>
      <c r="B1066" s="51" t="n">
        <f aca="false">1+IF($G$6=$E$6,$F$6,IF(P1066&lt;($F$6-$E$6)/($G$6-$E$6),$E$6+SQRT(P1066*($G$6-$E$6)*($F$6-$E$6)),$G$6-SQRT((1-P1066)*($G$6-$E$6)*($G$6-$F$6))))</f>
        <v>1.00367776657054</v>
      </c>
      <c r="C1066" s="51" t="n">
        <f aca="false">1+IF($G$7=$E$7,$F$7,IF(Q1066&lt;($F$7-$E$7)/($G$7-$E$7),$E$7+SQRT(Q1066*($G$7-$E$7)*($F$7-$E$7)),$G$7-SQRT((1-Q1066)*($G$7-$E$7)*($G$7-$F$7))))</f>
        <v>0.900439033489108</v>
      </c>
      <c r="D1066" s="51" t="n">
        <f aca="false">1+IF($G$8=$E$8,$F$8,IF(R1066&lt;($F$8-$E$8)/($G$8-$E$8),$E$8+SQRT(R1066*($G$8-$E$8)*($F$8-$E$8)),$G$8-SQRT((1-R1066)*($G$8-$E$8)*($G$8-$F$8))))</f>
        <v>1.07019981090092</v>
      </c>
      <c r="E1066" s="51" t="n">
        <f aca="false">1+IF($G$9=$E$9,$F$9,IF(S1066&lt;($F$9-$E$9)/($G$9-$E$9),$E$9+SQRT(S1066*($G$9-$E$9)*($F$9-$E$9)),$G$9-SQRT((1-S1066)*($G$9-$E$9)*($G$9-$F$9))))</f>
        <v>0.958879994880436</v>
      </c>
      <c r="F1066" s="51" t="n">
        <f aca="false">1+IF($G$10=$E$10,$F$10,IF(T1066&lt;($F$10-$E$10)/($G$10-$E$10),$E$10+SQRT(T1066*($G$10-$E$10)*($F$10-$E$10)),$G$10-SQRT((1-T1066)*($G$10-$E$10)*($G$10-$F$10))))</f>
        <v>1.05716048475832</v>
      </c>
      <c r="G1066" s="52" t="n">
        <f aca="false">IF($G$11=$E$11,$F$11,IF(U1066&lt;($F$11-$E$11)/($G$11-$E$11),$E$11+SQRT(U1066*($G$11-$E$11)*($F$11-$E$11)),$G$11-SQRT((1-U1066)*($G$11-$E$11)*($G$11-$F$11))))</f>
        <v>0.0889599362040162</v>
      </c>
      <c r="H1066" s="53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-2114320969.51665</v>
      </c>
      <c r="I1066" s="53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-41993920.1133958</v>
      </c>
      <c r="J1066" s="53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204931376.598343</v>
      </c>
      <c r="K1066" s="53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504714697.547998</v>
      </c>
      <c r="L1066" s="53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618256751.836781</v>
      </c>
      <c r="M1066" s="53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790041673.12023</v>
      </c>
      <c r="N1066" s="53" t="n">
        <f aca="false">IF(COUNT('Business Case'!B11:G11)=0,"",H1066+NPV(G1066,I1066:M1066))</f>
        <v>-633623890.005649</v>
      </c>
      <c r="P1066" s="54" t="n">
        <f aca="true">RAND()</f>
        <v>0.71390009201421</v>
      </c>
      <c r="Q1066" s="54" t="n">
        <f aca="true">RAND()</f>
        <v>0.297598564044797</v>
      </c>
      <c r="R1066" s="54" t="n">
        <f aca="true">RAND()</f>
        <v>0.940796581977261</v>
      </c>
      <c r="S1066" s="54" t="n">
        <f aca="true">RAND()</f>
        <v>0.138674151884808</v>
      </c>
      <c r="T1066" s="54" t="n">
        <f aca="true">RAND()</f>
        <v>0.504172284818068</v>
      </c>
      <c r="U1066" s="54" t="n">
        <f aca="true">RAND()</f>
        <v>0.0802804567800405</v>
      </c>
    </row>
    <row r="1067" customFormat="false" ht="15" hidden="false" customHeight="false" outlineLevel="0" collapsed="false">
      <c r="A1067" s="50" t="n">
        <v>987</v>
      </c>
      <c r="B1067" s="51" t="n">
        <f aca="false">1+IF($G$6=$E$6,$F$6,IF(P1067&lt;($F$6-$E$6)/($G$6-$E$6),$E$6+SQRT(P1067*($G$6-$E$6)*($F$6-$E$6)),$G$6-SQRT((1-P1067)*($G$6-$E$6)*($G$6-$F$6))))</f>
        <v>0.989999175847594</v>
      </c>
      <c r="C1067" s="51" t="n">
        <f aca="false">1+IF($G$7=$E$7,$F$7,IF(Q1067&lt;($F$7-$E$7)/($G$7-$E$7),$E$7+SQRT(Q1067*($G$7-$E$7)*($F$7-$E$7)),$G$7-SQRT((1-Q1067)*($G$7-$E$7)*($G$7-$F$7))))</f>
        <v>0.933872315713283</v>
      </c>
      <c r="D1067" s="51" t="n">
        <f aca="false">1+IF($G$8=$E$8,$F$8,IF(R1067&lt;($F$8-$E$8)/($G$8-$E$8),$E$8+SQRT(R1067*($G$8-$E$8)*($F$8-$E$8)),$G$8-SQRT((1-R1067)*($G$8-$E$8)*($G$8-$F$8))))</f>
        <v>1.0492713507005</v>
      </c>
      <c r="E1067" s="51" t="n">
        <f aca="false">1+IF($G$9=$E$9,$F$9,IF(S1067&lt;($F$9-$E$9)/($G$9-$E$9),$E$9+SQRT(S1067*($G$9-$E$9)*($F$9-$E$9)),$G$9-SQRT((1-S1067)*($G$9-$E$9)*($G$9-$F$9))))</f>
        <v>0.931812281478591</v>
      </c>
      <c r="F1067" s="51" t="n">
        <f aca="false">1+IF($G$10=$E$10,$F$10,IF(T1067&lt;($F$10-$E$10)/($G$10-$E$10),$E$10+SQRT(T1067*($G$10-$E$10)*($F$10-$E$10)),$G$10-SQRT((1-T1067)*($G$10-$E$10)*($G$10-$F$10))))</f>
        <v>0.973668184160468</v>
      </c>
      <c r="G1067" s="52" t="n">
        <f aca="false">IF($G$11=$E$11,$F$11,IF(U1067&lt;($F$11-$E$11)/($G$11-$E$11),$E$11+SQRT(U1067*($G$11-$E$11)*($F$11-$E$11)),$G$11-SQRT((1-U1067)*($G$11-$E$11)*($G$11-$F$11))))</f>
        <v>0.0888240146655111</v>
      </c>
      <c r="H1067" s="53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-1947336368.32094</v>
      </c>
      <c r="I1067" s="53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-22162325.8616986</v>
      </c>
      <c r="J1067" s="53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233473654.658199</v>
      </c>
      <c r="K1067" s="53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537793044.386119</v>
      </c>
      <c r="L1067" s="53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654956892.25228</v>
      </c>
      <c r="M1067" s="53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830692091.229689</v>
      </c>
      <c r="N1067" s="53" t="n">
        <f aca="false">IF(COUNT('Business Case'!B11:G11)=0,"",H1067+NPV(G1067,I1067:M1067))</f>
        <v>-345323536.952948</v>
      </c>
      <c r="P1067" s="54" t="n">
        <f aca="true">RAND()</f>
        <v>0.53999011021641</v>
      </c>
      <c r="Q1067" s="54" t="n">
        <f aca="true">RAND()</f>
        <v>0.405157481904397</v>
      </c>
      <c r="R1067" s="54" t="n">
        <f aca="true">RAND()</f>
        <v>0.828440276016566</v>
      </c>
      <c r="S1067" s="54" t="n">
        <f aca="true">RAND()</f>
        <v>0.0404808501149234</v>
      </c>
      <c r="T1067" s="54" t="n">
        <f aca="true">RAND()</f>
        <v>0.0373455294302554</v>
      </c>
      <c r="U1067" s="54" t="n">
        <f aca="true">RAND()</f>
        <v>0.0778632348171546</v>
      </c>
    </row>
    <row r="1068" customFormat="false" ht="15" hidden="false" customHeight="false" outlineLevel="0" collapsed="false">
      <c r="A1068" s="50" t="n">
        <v>988</v>
      </c>
      <c r="B1068" s="51" t="n">
        <f aca="false">1+IF($G$6=$E$6,$F$6,IF(P1068&lt;($F$6-$E$6)/($G$6-$E$6),$E$6+SQRT(P1068*($G$6-$E$6)*($F$6-$E$6)),$G$6-SQRT((1-P1068)*($G$6-$E$6)*($G$6-$F$6))))</f>
        <v>1.01226569041708</v>
      </c>
      <c r="C1068" s="51" t="n">
        <f aca="false">1+IF($G$7=$E$7,$F$7,IF(Q1068&lt;($F$7-$E$7)/($G$7-$E$7),$E$7+SQRT(Q1068*($G$7-$E$7)*($F$7-$E$7)),$G$7-SQRT((1-Q1068)*($G$7-$E$7)*($G$7-$F$7))))</f>
        <v>0.947587067408297</v>
      </c>
      <c r="D1068" s="51" t="n">
        <f aca="false">1+IF($G$8=$E$8,$F$8,IF(R1068&lt;($F$8-$E$8)/($G$8-$E$8),$E$8+SQRT(R1068*($G$8-$E$8)*($F$8-$E$8)),$G$8-SQRT((1-R1068)*($G$8-$E$8)*($G$8-$F$8))))</f>
        <v>1.01882117282038</v>
      </c>
      <c r="E1068" s="51" t="n">
        <f aca="false">1+IF($G$9=$E$9,$F$9,IF(S1068&lt;($F$9-$E$9)/($G$9-$E$9),$E$9+SQRT(S1068*($G$9-$E$9)*($F$9-$E$9)),$G$9-SQRT((1-S1068)*($G$9-$E$9)*($G$9-$F$9))))</f>
        <v>0.973573479943469</v>
      </c>
      <c r="F1068" s="51" t="n">
        <f aca="false">1+IF($G$10=$E$10,$F$10,IF(T1068&lt;($F$10-$E$10)/($G$10-$E$10),$E$10+SQRT(T1068*($G$10-$E$10)*($F$10-$E$10)),$G$10-SQRT((1-T1068)*($G$10-$E$10)*($G$10-$F$10))))</f>
        <v>1.00917584382388</v>
      </c>
      <c r="G1068" s="52" t="n">
        <f aca="false">IF($G$11=$E$11,$F$11,IF(U1068&lt;($F$11-$E$11)/($G$11-$E$11),$E$11+SQRT(U1068*($G$11-$E$11)*($F$11-$E$11)),$G$11-SQRT((1-U1068)*($G$11-$E$11)*($G$11-$F$11))))</f>
        <v>0.0996402335873721</v>
      </c>
      <c r="H1068" s="53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-2018351687.64777</v>
      </c>
      <c r="I1068" s="53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2358067.98554662</v>
      </c>
      <c r="J1068" s="53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293801309.226178</v>
      </c>
      <c r="K1068" s="53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635703342.658003</v>
      </c>
      <c r="L1068" s="53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766001383.088037</v>
      </c>
      <c r="M1068" s="53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948327996.512065</v>
      </c>
      <c r="N1068" s="53" t="n">
        <f aca="false">IF(COUNT('Business Case'!B11:G11)=0,"",H1068+NPV(G1068,I1068:M1068))</f>
        <v>-181479905.323273</v>
      </c>
      <c r="P1068" s="54" t="n">
        <f aca="true">RAND()</f>
        <v>0.810149584039996</v>
      </c>
      <c r="Q1068" s="54" t="n">
        <f aca="true">RAND()</f>
        <v>0.454069303317337</v>
      </c>
      <c r="R1068" s="54" t="n">
        <f aca="true">RAND()</f>
        <v>0.560666534516145</v>
      </c>
      <c r="S1068" s="54" t="n">
        <f aca="true">RAND()</f>
        <v>0.216522278039679</v>
      </c>
      <c r="T1068" s="54" t="n">
        <f aca="true">RAND()</f>
        <v>0.226716344027482</v>
      </c>
      <c r="U1068" s="54" t="n">
        <f aca="true">RAND()</f>
        <v>0.38573877536654</v>
      </c>
    </row>
    <row r="1069" customFormat="false" ht="15" hidden="false" customHeight="false" outlineLevel="0" collapsed="false">
      <c r="A1069" s="50" t="n">
        <v>989</v>
      </c>
      <c r="B1069" s="51" t="n">
        <f aca="false">1+IF($G$6=$E$6,$F$6,IF(P1069&lt;($F$6-$E$6)/($G$6-$E$6),$E$6+SQRT(P1069*($G$6-$E$6)*($F$6-$E$6)),$G$6-SQRT((1-P1069)*($G$6-$E$6)*($G$6-$F$6))))</f>
        <v>0.982838360428991</v>
      </c>
      <c r="C1069" s="51" t="n">
        <f aca="false">1+IF($G$7=$E$7,$F$7,IF(Q1069&lt;($F$7-$E$7)/($G$7-$E$7),$E$7+SQRT(Q1069*($G$7-$E$7)*($F$7-$E$7)),$G$7-SQRT((1-Q1069)*($G$7-$E$7)*($G$7-$F$7))))</f>
        <v>0.958725998338721</v>
      </c>
      <c r="D1069" s="51" t="n">
        <f aca="false">1+IF($G$8=$E$8,$F$8,IF(R1069&lt;($F$8-$E$8)/($G$8-$E$8),$E$8+SQRT(R1069*($G$8-$E$8)*($F$8-$E$8)),$G$8-SQRT((1-R1069)*($G$8-$E$8)*($G$8-$F$8))))</f>
        <v>1.08346916862096</v>
      </c>
      <c r="E1069" s="51" t="n">
        <f aca="false">1+IF($G$9=$E$9,$F$9,IF(S1069&lt;($F$9-$E$9)/($G$9-$E$9),$E$9+SQRT(S1069*($G$9-$E$9)*($F$9-$E$9)),$G$9-SQRT((1-S1069)*($G$9-$E$9)*($G$9-$F$9))))</f>
        <v>1.01651147025647</v>
      </c>
      <c r="F1069" s="51" t="n">
        <f aca="false">1+IF($G$10=$E$10,$F$10,IF(T1069&lt;($F$10-$E$10)/($G$10-$E$10),$E$10+SQRT(T1069*($G$10-$E$10)*($F$10-$E$10)),$G$10-SQRT((1-T1069)*($G$10-$E$10)*($G$10-$F$10))))</f>
        <v>1.14751428166275</v>
      </c>
      <c r="G1069" s="52" t="n">
        <f aca="false">IF($G$11=$E$11,$F$11,IF(U1069&lt;($F$11-$E$11)/($G$11-$E$11),$E$11+SQRT(U1069*($G$11-$E$11)*($F$11-$E$11)),$G$11-SQRT((1-U1069)*($G$11-$E$11)*($G$11-$F$11))))</f>
        <v>0.0954019307087052</v>
      </c>
      <c r="H1069" s="53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-2295028563.3255</v>
      </c>
      <c r="I1069" s="53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-68114530.9380281</v>
      </c>
      <c r="J1069" s="53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171917713.522569</v>
      </c>
      <c r="K1069" s="53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469325672.066303</v>
      </c>
      <c r="L1069" s="53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581901364.327756</v>
      </c>
      <c r="M1069" s="53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761008556.921317</v>
      </c>
      <c r="N1069" s="53" t="n">
        <f aca="false">IF(COUNT('Business Case'!B11:G11)=0,"",H1069+NPV(G1069,I1069:M1069))</f>
        <v>-970175017.06765</v>
      </c>
      <c r="P1069" s="54" t="n">
        <f aca="true">RAND()</f>
        <v>0.457479597237557</v>
      </c>
      <c r="Q1069" s="54" t="n">
        <f aca="true">RAND()</f>
        <v>0.495845497899021</v>
      </c>
      <c r="R1069" s="54" t="n">
        <f aca="true">RAND()</f>
        <v>0.981782107594511</v>
      </c>
      <c r="S1069" s="54" t="n">
        <f aca="true">RAND()</f>
        <v>0.524821664717585</v>
      </c>
      <c r="T1069" s="54" t="n">
        <f aca="true">RAND()</f>
        <v>0.859955700491974</v>
      </c>
      <c r="U1069" s="54" t="n">
        <f aca="true">RAND()</f>
        <v>0.237219469555755</v>
      </c>
    </row>
    <row r="1070" customFormat="false" ht="15" hidden="false" customHeight="false" outlineLevel="0" collapsed="false">
      <c r="A1070" s="50" t="n">
        <v>990</v>
      </c>
      <c r="B1070" s="51" t="n">
        <f aca="false">1+IF($G$6=$E$6,$F$6,IF(P1070&lt;($F$6-$E$6)/($G$6-$E$6),$E$6+SQRT(P1070*($G$6-$E$6)*($F$6-$E$6)),$G$6-SQRT((1-P1070)*($G$6-$E$6)*($G$6-$F$6))))</f>
        <v>0.909500070860554</v>
      </c>
      <c r="C1070" s="51" t="n">
        <f aca="false">1+IF($G$7=$E$7,$F$7,IF(Q1070&lt;($F$7-$E$7)/($G$7-$E$7),$E$7+SQRT(Q1070*($G$7-$E$7)*($F$7-$E$7)),$G$7-SQRT((1-Q1070)*($G$7-$E$7)*($G$7-$F$7))))</f>
        <v>0.912155685102043</v>
      </c>
      <c r="D1070" s="51" t="n">
        <f aca="false">1+IF($G$8=$E$8,$F$8,IF(R1070&lt;($F$8-$E$8)/($G$8-$E$8),$E$8+SQRT(R1070*($G$8-$E$8)*($F$8-$E$8)),$G$8-SQRT((1-R1070)*($G$8-$E$8)*($G$8-$F$8))))</f>
        <v>1.06201608576858</v>
      </c>
      <c r="E1070" s="51" t="n">
        <f aca="false">1+IF($G$9=$E$9,$F$9,IF(S1070&lt;($F$9-$E$9)/($G$9-$E$9),$E$9+SQRT(S1070*($G$9-$E$9)*($F$9-$E$9)),$G$9-SQRT((1-S1070)*($G$9-$E$9)*($G$9-$F$9))))</f>
        <v>1.0391715049728</v>
      </c>
      <c r="F1070" s="51" t="n">
        <f aca="false">1+IF($G$10=$E$10,$F$10,IF(T1070&lt;($F$10-$E$10)/($G$10-$E$10),$E$10+SQRT(T1070*($G$10-$E$10)*($F$10-$E$10)),$G$10-SQRT((1-T1070)*($G$10-$E$10)*($G$10-$F$10))))</f>
        <v>1.06896306971923</v>
      </c>
      <c r="G1070" s="52" t="n">
        <f aca="false">IF($G$11=$E$11,$F$11,IF(U1070&lt;($F$11-$E$11)/($G$11-$E$11),$E$11+SQRT(U1070*($G$11-$E$11)*($F$11-$E$11)),$G$11-SQRT((1-U1070)*($G$11-$E$11)*($G$11-$F$11))))</f>
        <v>0.106125904923074</v>
      </c>
      <c r="H1070" s="53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-2137926139.43846</v>
      </c>
      <c r="I1070" s="53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-114075680.419378</v>
      </c>
      <c r="J1070" s="53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69521891.5669424</v>
      </c>
      <c r="K1070" s="53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306567617.039224</v>
      </c>
      <c r="L1070" s="53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396437979.319093</v>
      </c>
      <c r="M1070" s="53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554129423.216783</v>
      </c>
      <c r="N1070" s="53" t="n">
        <f aca="false">IF(COUNT('Business Case'!B11:G11)=0,"",H1070+NPV(G1070,I1070:M1070))</f>
        <v>-1358240435.66673</v>
      </c>
      <c r="P1070" s="54" t="n">
        <f aca="true">RAND()</f>
        <v>0.00601675642370257</v>
      </c>
      <c r="Q1070" s="54" t="n">
        <f aca="true">RAND()</f>
        <v>0.333407664600869</v>
      </c>
      <c r="R1070" s="54" t="n">
        <f aca="true">RAND()</f>
        <v>0.903814817310697</v>
      </c>
      <c r="S1070" s="54" t="n">
        <f aca="true">RAND()</f>
        <v>0.672454525066833</v>
      </c>
      <c r="T1070" s="54" t="n">
        <f aca="true">RAND()</f>
        <v>0.563008398326867</v>
      </c>
      <c r="U1070" s="54" t="n">
        <f aca="true">RAND()</f>
        <v>0.620018389505255</v>
      </c>
    </row>
    <row r="1071" customFormat="false" ht="15" hidden="false" customHeight="false" outlineLevel="0" collapsed="false">
      <c r="A1071" s="50" t="n">
        <v>991</v>
      </c>
      <c r="B1071" s="51" t="n">
        <f aca="false">1+IF($G$6=$E$6,$F$6,IF(P1071&lt;($F$6-$E$6)/($G$6-$E$6),$E$6+SQRT(P1071*($G$6-$E$6)*($F$6-$E$6)),$G$6-SQRT((1-P1071)*($G$6-$E$6)*($G$6-$F$6))))</f>
        <v>1.02542612345811</v>
      </c>
      <c r="C1071" s="51" t="n">
        <f aca="false">1+IF($G$7=$E$7,$F$7,IF(Q1071&lt;($F$7-$E$7)/($G$7-$E$7),$E$7+SQRT(Q1071*($G$7-$E$7)*($F$7-$E$7)),$G$7-SQRT((1-Q1071)*($G$7-$E$7)*($G$7-$F$7))))</f>
        <v>1.07657164318433</v>
      </c>
      <c r="D1071" s="51" t="n">
        <f aca="false">1+IF($G$8=$E$8,$F$8,IF(R1071&lt;($F$8-$E$8)/($G$8-$E$8),$E$8+SQRT(R1071*($G$8-$E$8)*($F$8-$E$8)),$G$8-SQRT((1-R1071)*($G$8-$E$8)*($G$8-$F$8))))</f>
        <v>1.06242922122748</v>
      </c>
      <c r="E1071" s="51" t="n">
        <f aca="false">1+IF($G$9=$E$9,$F$9,IF(S1071&lt;($F$9-$E$9)/($G$9-$E$9),$E$9+SQRT(S1071*($G$9-$E$9)*($F$9-$E$9)),$G$9-SQRT((1-S1071)*($G$9-$E$9)*($G$9-$F$9))))</f>
        <v>1.10636094652451</v>
      </c>
      <c r="F1071" s="51" t="n">
        <f aca="false">1+IF($G$10=$E$10,$F$10,IF(T1071&lt;($F$10-$E$10)/($G$10-$E$10),$E$10+SQRT(T1071*($G$10-$E$10)*($F$10-$E$10)),$G$10-SQRT((1-T1071)*($G$10-$E$10)*($G$10-$F$10))))</f>
        <v>1.14547793404513</v>
      </c>
      <c r="G1071" s="52" t="n">
        <f aca="false">IF($G$11=$E$11,$F$11,IF(U1071&lt;($F$11-$E$11)/($G$11-$E$11),$E$11+SQRT(U1071*($G$11-$E$11)*($F$11-$E$11)),$G$11-SQRT((1-U1071)*($G$11-$E$11)*($G$11-$F$11))))</f>
        <v>0.0903964355116282</v>
      </c>
      <c r="H1071" s="53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-2290955868.09026</v>
      </c>
      <c r="I1071" s="53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-10415087.9453149</v>
      </c>
      <c r="J1071" s="53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308270636.667959</v>
      </c>
      <c r="K1071" s="53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684230257.98349</v>
      </c>
      <c r="L1071" s="53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828611161.226776</v>
      </c>
      <c r="M1071" s="53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1038448967.27384</v>
      </c>
      <c r="N1071" s="53" t="n">
        <f aca="false">IF(COUNT('Business Case'!B11:G11)=0,"",H1071+NPV(G1071,I1071:M1071))</f>
        <v>-253605302.834119</v>
      </c>
      <c r="P1071" s="54" t="n">
        <f aca="true">RAND()</f>
        <v>0.919483278893835</v>
      </c>
      <c r="Q1071" s="54" t="n">
        <f aca="true">RAND()</f>
        <v>0.920122613560758</v>
      </c>
      <c r="R1071" s="54" t="n">
        <f aca="true">RAND()</f>
        <v>0.905895772161748</v>
      </c>
      <c r="S1071" s="54" t="n">
        <f aca="true">RAND()</f>
        <v>0.949216880313683</v>
      </c>
      <c r="T1071" s="54" t="n">
        <f aca="true">RAND()</f>
        <v>0.854335169713676</v>
      </c>
      <c r="U1071" s="54" t="n">
        <f aca="true">RAND()</f>
        <v>0.108085871347443</v>
      </c>
    </row>
    <row r="1072" customFormat="false" ht="15" hidden="false" customHeight="false" outlineLevel="0" collapsed="false">
      <c r="A1072" s="50" t="n">
        <v>992</v>
      </c>
      <c r="B1072" s="51" t="n">
        <f aca="false">1+IF($G$6=$E$6,$F$6,IF(P1072&lt;($F$6-$E$6)/($G$6-$E$6),$E$6+SQRT(P1072*($G$6-$E$6)*($F$6-$E$6)),$G$6-SQRT((1-P1072)*($G$6-$E$6)*($G$6-$F$6))))</f>
        <v>0.967721921695005</v>
      </c>
      <c r="C1072" s="51" t="n">
        <f aca="false">1+IF($G$7=$E$7,$F$7,IF(Q1072&lt;($F$7-$E$7)/($G$7-$E$7),$E$7+SQRT(Q1072*($G$7-$E$7)*($F$7-$E$7)),$G$7-SQRT((1-Q1072)*($G$7-$E$7)*($G$7-$F$7))))</f>
        <v>1.1204139670007</v>
      </c>
      <c r="D1072" s="51" t="n">
        <f aca="false">1+IF($G$8=$E$8,$F$8,IF(R1072&lt;($F$8-$E$8)/($G$8-$E$8),$E$8+SQRT(R1072*($G$8-$E$8)*($F$8-$E$8)),$G$8-SQRT((1-R1072)*($G$8-$E$8)*($G$8-$F$8))))</f>
        <v>0.963448033690598</v>
      </c>
      <c r="E1072" s="51" t="n">
        <f aca="false">1+IF($G$9=$E$9,$F$9,IF(S1072&lt;($F$9-$E$9)/($G$9-$E$9),$E$9+SQRT(S1072*($G$9-$E$9)*($F$9-$E$9)),$G$9-SQRT((1-S1072)*($G$9-$E$9)*($G$9-$F$9))))</f>
        <v>1.08484849540629</v>
      </c>
      <c r="F1072" s="51" t="n">
        <f aca="false">1+IF($G$10=$E$10,$F$10,IF(T1072&lt;($F$10-$E$10)/($G$10-$E$10),$E$10+SQRT(T1072*($G$10-$E$10)*($F$10-$E$10)),$G$10-SQRT((1-T1072)*($G$10-$E$10)*($G$10-$F$10))))</f>
        <v>1.07740545777203</v>
      </c>
      <c r="G1072" s="52" t="n">
        <f aca="false">IF($G$11=$E$11,$F$11,IF(U1072&lt;($F$11-$E$11)/($G$11-$E$11),$E$11+SQRT(U1072*($G$11-$E$11)*($F$11-$E$11)),$G$11-SQRT((1-U1072)*($G$11-$E$11)*($G$11-$F$11))))</f>
        <v>0.11509070577104</v>
      </c>
      <c r="H1072" s="53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-2154810915.54407</v>
      </c>
      <c r="I1072" s="53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17267160.119864</v>
      </c>
      <c r="J1072" s="53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352747798.375019</v>
      </c>
      <c r="K1072" s="53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742098709.518775</v>
      </c>
      <c r="L1072" s="53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891397239.811369</v>
      </c>
      <c r="M1072" s="53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1097491319.61952</v>
      </c>
      <c r="N1072" s="53" t="n">
        <f aca="false">IF(COUNT('Business Case'!B11:G11)=0,"",H1072+NPV(G1072,I1072:M1072))</f>
        <v>-107300349.995208</v>
      </c>
      <c r="P1072" s="54" t="n">
        <f aca="true">RAND()</f>
        <v>0.305750578537624</v>
      </c>
      <c r="Q1072" s="54" t="n">
        <f aca="true">RAND()</f>
        <v>0.987032098538727</v>
      </c>
      <c r="R1072" s="54" t="n">
        <f aca="true">RAND()</f>
        <v>0.0241132813524607</v>
      </c>
      <c r="S1072" s="54" t="n">
        <f aca="true">RAND()</f>
        <v>0.886807505311349</v>
      </c>
      <c r="T1072" s="54" t="n">
        <f aca="true">RAND()</f>
        <v>0.602814986574914</v>
      </c>
      <c r="U1072" s="54" t="n">
        <f aca="true">RAND()</f>
        <v>0.851808630396201</v>
      </c>
    </row>
    <row r="1073" customFormat="false" ht="15" hidden="false" customHeight="false" outlineLevel="0" collapsed="false">
      <c r="A1073" s="50" t="n">
        <v>993</v>
      </c>
      <c r="B1073" s="51" t="n">
        <f aca="false">1+IF($G$6=$E$6,$F$6,IF(P1073&lt;($F$6-$E$6)/($G$6-$E$6),$E$6+SQRT(P1073*($G$6-$E$6)*($F$6-$E$6)),$G$6-SQRT((1-P1073)*($G$6-$E$6)*($G$6-$F$6))))</f>
        <v>0.969944539506839</v>
      </c>
      <c r="C1073" s="51" t="n">
        <f aca="false">1+IF($G$7=$E$7,$F$7,IF(Q1073&lt;($F$7-$E$7)/($G$7-$E$7),$E$7+SQRT(Q1073*($G$7-$E$7)*($F$7-$E$7)),$G$7-SQRT((1-Q1073)*($G$7-$E$7)*($G$7-$F$7))))</f>
        <v>1.08479797104075</v>
      </c>
      <c r="D1073" s="51" t="n">
        <f aca="false">1+IF($G$8=$E$8,$F$8,IF(R1073&lt;($F$8-$E$8)/($G$8-$E$8),$E$8+SQRT(R1073*($G$8-$E$8)*($F$8-$E$8)),$G$8-SQRT((1-R1073)*($G$8-$E$8)*($G$8-$F$8))))</f>
        <v>0.953045846183846</v>
      </c>
      <c r="E1073" s="51" t="n">
        <f aca="false">1+IF($G$9=$E$9,$F$9,IF(S1073&lt;($F$9-$E$9)/($G$9-$E$9),$E$9+SQRT(S1073*($G$9-$E$9)*($F$9-$E$9)),$G$9-SQRT((1-S1073)*($G$9-$E$9)*($G$9-$F$9))))</f>
        <v>0.998128376614672</v>
      </c>
      <c r="F1073" s="51" t="n">
        <f aca="false">1+IF($G$10=$E$10,$F$10,IF(T1073&lt;($F$10-$E$10)/($G$10-$E$10),$E$10+SQRT(T1073*($G$10-$E$10)*($F$10-$E$10)),$G$10-SQRT((1-T1073)*($G$10-$E$10)*($G$10-$F$10))))</f>
        <v>0.993349464573234</v>
      </c>
      <c r="G1073" s="52" t="n">
        <f aca="false">IF($G$11=$E$11,$F$11,IF(U1073&lt;($F$11-$E$11)/($G$11-$E$11),$E$11+SQRT(U1073*($G$11-$E$11)*($F$11-$E$11)),$G$11-SQRT((1-U1073)*($G$11-$E$11)*($G$11-$F$11))))</f>
        <v>0.105891564301617</v>
      </c>
      <c r="H1073" s="53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-1986698929.14647</v>
      </c>
      <c r="I1073" s="53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36753266.9375128</v>
      </c>
      <c r="J1073" s="53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369321065.628911</v>
      </c>
      <c r="K1073" s="53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751556337.54897</v>
      </c>
      <c r="L1073" s="53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898776090.540739</v>
      </c>
      <c r="M1073" s="53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1098777101.06124</v>
      </c>
      <c r="N1073" s="53" t="n">
        <f aca="false">IF(COUNT('Business Case'!B11:G11)=0,"",H1073+NPV(G1073,I1073:M1073))</f>
        <v>169366800.089821</v>
      </c>
      <c r="P1073" s="54" t="n">
        <f aca="true">RAND()</f>
        <v>0.326149240454919</v>
      </c>
      <c r="Q1073" s="54" t="n">
        <f aca="true">RAND()</f>
        <v>0.937017709919956</v>
      </c>
      <c r="R1073" s="54" t="n">
        <f aca="true">RAND()</f>
        <v>0.00123695719675304</v>
      </c>
      <c r="S1073" s="54" t="n">
        <f aca="true">RAND()</f>
        <v>0.385167131881237</v>
      </c>
      <c r="T1073" s="54" t="n">
        <f aca="true">RAND()</f>
        <v>0.125278405252403</v>
      </c>
      <c r="U1073" s="54" t="n">
        <f aca="true">RAND()</f>
        <v>0.61252221878461</v>
      </c>
    </row>
    <row r="1074" customFormat="false" ht="15" hidden="false" customHeight="false" outlineLevel="0" collapsed="false">
      <c r="A1074" s="50" t="n">
        <v>994</v>
      </c>
      <c r="B1074" s="51" t="n">
        <f aca="false">1+IF($G$6=$E$6,$F$6,IF(P1074&lt;($F$6-$E$6)/($G$6-$E$6),$E$6+SQRT(P1074*($G$6-$E$6)*($F$6-$E$6)),$G$6-SQRT((1-P1074)*($G$6-$E$6)*($G$6-$F$6))))</f>
        <v>1.02739007125084</v>
      </c>
      <c r="C1074" s="51" t="n">
        <f aca="false">1+IF($G$7=$E$7,$F$7,IF(Q1074&lt;($F$7-$E$7)/($G$7-$E$7),$E$7+SQRT(Q1074*($G$7-$E$7)*($F$7-$E$7)),$G$7-SQRT((1-Q1074)*($G$7-$E$7)*($G$7-$F$7))))</f>
        <v>1.04417538439496</v>
      </c>
      <c r="D1074" s="51" t="n">
        <f aca="false">1+IF($G$8=$E$8,$F$8,IF(R1074&lt;($F$8-$E$8)/($G$8-$E$8),$E$8+SQRT(R1074*($G$8-$E$8)*($F$8-$E$8)),$G$8-SQRT((1-R1074)*($G$8-$E$8)*($G$8-$F$8))))</f>
        <v>1.05421012473088</v>
      </c>
      <c r="E1074" s="51" t="n">
        <f aca="false">1+IF($G$9=$E$9,$F$9,IF(S1074&lt;($F$9-$E$9)/($G$9-$E$9),$E$9+SQRT(S1074*($G$9-$E$9)*($F$9-$E$9)),$G$9-SQRT((1-S1074)*($G$9-$E$9)*($G$9-$F$9))))</f>
        <v>0.991696778882727</v>
      </c>
      <c r="F1074" s="51" t="n">
        <f aca="false">1+IF($G$10=$E$10,$F$10,IF(T1074&lt;($F$10-$E$10)/($G$10-$E$10),$E$10+SQRT(T1074*($G$10-$E$10)*($F$10-$E$10)),$G$10-SQRT((1-T1074)*($G$10-$E$10)*($G$10-$F$10))))</f>
        <v>1.11665878431573</v>
      </c>
      <c r="G1074" s="52" t="n">
        <f aca="false">IF($G$11=$E$11,$F$11,IF(U1074&lt;($F$11-$E$11)/($G$11-$E$11),$E$11+SQRT(U1074*($G$11-$E$11)*($F$11-$E$11)),$G$11-SQRT((1-U1074)*($G$11-$E$11)*($G$11-$F$11))))</f>
        <v>0.0888453068349162</v>
      </c>
      <c r="H1074" s="53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-2233317568.63147</v>
      </c>
      <c r="I1074" s="53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6871040.78432827</v>
      </c>
      <c r="J1074" s="53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322039919.863482</v>
      </c>
      <c r="K1074" s="53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693041738.158422</v>
      </c>
      <c r="L1074" s="53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835173149.788892</v>
      </c>
      <c r="M1074" s="53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1039086302.11136</v>
      </c>
      <c r="N1074" s="53" t="n">
        <f aca="false">IF(COUNT('Business Case'!B11:G11)=0,"",H1074+NPV(G1074,I1074:M1074))</f>
        <v>-145422932.37808</v>
      </c>
      <c r="P1074" s="54" t="n">
        <f aca="true">RAND()</f>
        <v>0.931838816261072</v>
      </c>
      <c r="Q1074" s="54" t="n">
        <f aca="true">RAND()</f>
        <v>0.834091121956242</v>
      </c>
      <c r="R1074" s="54" t="n">
        <f aca="true">RAND()</f>
        <v>0.860219154855882</v>
      </c>
      <c r="S1074" s="54" t="n">
        <f aca="true">RAND()</f>
        <v>0.336331970298706</v>
      </c>
      <c r="T1074" s="54" t="n">
        <f aca="true">RAND()</f>
        <v>0.76293493599789</v>
      </c>
      <c r="U1074" s="54" t="n">
        <f aca="true">RAND()</f>
        <v>0.0782394530038154</v>
      </c>
    </row>
    <row r="1075" customFormat="false" ht="15" hidden="false" customHeight="false" outlineLevel="0" collapsed="false">
      <c r="A1075" s="50" t="n">
        <v>995</v>
      </c>
      <c r="B1075" s="51" t="n">
        <f aca="false">1+IF($G$6=$E$6,$F$6,IF(P1075&lt;($F$6-$E$6)/($G$6-$E$6),$E$6+SQRT(P1075*($G$6-$E$6)*($F$6-$E$6)),$G$6-SQRT((1-P1075)*($G$6-$E$6)*($G$6-$F$6))))</f>
        <v>0.994110712405517</v>
      </c>
      <c r="C1075" s="51" t="n">
        <f aca="false">1+IF($G$7=$E$7,$F$7,IF(Q1075&lt;($F$7-$E$7)/($G$7-$E$7),$E$7+SQRT(Q1075*($G$7-$E$7)*($F$7-$E$7)),$G$7-SQRT((1-Q1075)*($G$7-$E$7)*($G$7-$F$7))))</f>
        <v>1.00129506621346</v>
      </c>
      <c r="D1075" s="51" t="n">
        <f aca="false">1+IF($G$8=$E$8,$F$8,IF(R1075&lt;($F$8-$E$8)/($G$8-$E$8),$E$8+SQRT(R1075*($G$8-$E$8)*($F$8-$E$8)),$G$8-SQRT((1-R1075)*($G$8-$E$8)*($G$8-$F$8))))</f>
        <v>1.07025074731342</v>
      </c>
      <c r="E1075" s="51" t="n">
        <f aca="false">1+IF($G$9=$E$9,$F$9,IF(S1075&lt;($F$9-$E$9)/($G$9-$E$9),$E$9+SQRT(S1075*($G$9-$E$9)*($F$9-$E$9)),$G$9-SQRT((1-S1075)*($G$9-$E$9)*($G$9-$F$9))))</f>
        <v>0.981706835192696</v>
      </c>
      <c r="F1075" s="51" t="n">
        <f aca="false">1+IF($G$10=$E$10,$F$10,IF(T1075&lt;($F$10-$E$10)/($G$10-$E$10),$E$10+SQRT(T1075*($G$10-$E$10)*($F$10-$E$10)),$G$10-SQRT((1-T1075)*($G$10-$E$10)*($G$10-$F$10))))</f>
        <v>1.0907013571032</v>
      </c>
      <c r="G1075" s="52" t="n">
        <f aca="false">IF($G$11=$E$11,$F$11,IF(U1075&lt;($F$11-$E$11)/($G$11-$E$11),$E$11+SQRT(U1075*($G$11-$E$11)*($F$11-$E$11)),$G$11-SQRT((1-U1075)*($G$11-$E$11)*($G$11-$F$11))))</f>
        <v>0.100206509055904</v>
      </c>
      <c r="H1075" s="53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-2181402714.2064</v>
      </c>
      <c r="I1075" s="53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-33559840.0445473</v>
      </c>
      <c r="J1075" s="53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233150607.764654</v>
      </c>
      <c r="K1075" s="53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554396123.429015</v>
      </c>
      <c r="L1075" s="53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677700566.151433</v>
      </c>
      <c r="M1075" s="53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866905846.807864</v>
      </c>
      <c r="N1075" s="53" t="n">
        <f aca="false">IF(COUNT('Business Case'!B11:G11)=0,"",H1075+NPV(G1075,I1075:M1075))</f>
        <v>-602693785.647031</v>
      </c>
      <c r="P1075" s="54" t="n">
        <f aca="true">RAND()</f>
        <v>0.590455079298258</v>
      </c>
      <c r="Q1075" s="54" t="n">
        <f aca="true">RAND()</f>
        <v>0.672397669148763</v>
      </c>
      <c r="R1075" s="54" t="n">
        <f aca="true">RAND()</f>
        <v>0.940998797639319</v>
      </c>
      <c r="S1075" s="54" t="n">
        <f aca="true">RAND()</f>
        <v>0.267040276688256</v>
      </c>
      <c r="T1075" s="54" t="n">
        <f aca="true">RAND()</f>
        <v>0.661652564949846</v>
      </c>
      <c r="U1075" s="54" t="n">
        <f aca="true">RAND()</f>
        <v>0.408231931576064</v>
      </c>
    </row>
    <row r="1076" customFormat="false" ht="15" hidden="false" customHeight="false" outlineLevel="0" collapsed="false">
      <c r="A1076" s="50" t="n">
        <v>996</v>
      </c>
      <c r="B1076" s="51" t="n">
        <f aca="false">1+IF($G$6=$E$6,$F$6,IF(P1076&lt;($F$6-$E$6)/($G$6-$E$6),$E$6+SQRT(P1076*($G$6-$E$6)*($F$6-$E$6)),$G$6-SQRT((1-P1076)*($G$6-$E$6)*($G$6-$F$6))))</f>
        <v>0.99382199211301</v>
      </c>
      <c r="C1076" s="51" t="n">
        <f aca="false">1+IF($G$7=$E$7,$F$7,IF(Q1076&lt;($F$7-$E$7)/($G$7-$E$7),$E$7+SQRT(Q1076*($G$7-$E$7)*($F$7-$E$7)),$G$7-SQRT((1-Q1076)*($G$7-$E$7)*($G$7-$F$7))))</f>
        <v>0.925014127871828</v>
      </c>
      <c r="D1076" s="51" t="n">
        <f aca="false">1+IF($G$8=$E$8,$F$8,IF(R1076&lt;($F$8-$E$8)/($G$8-$E$8),$E$8+SQRT(R1076*($G$8-$E$8)*($F$8-$E$8)),$G$8-SQRT((1-R1076)*($G$8-$E$8)*($G$8-$F$8))))</f>
        <v>0.975758708633955</v>
      </c>
      <c r="E1076" s="51" t="n">
        <f aca="false">1+IF($G$9=$E$9,$F$9,IF(S1076&lt;($F$9-$E$9)/($G$9-$E$9),$E$9+SQRT(S1076*($G$9-$E$9)*($F$9-$E$9)),$G$9-SQRT((1-S1076)*($G$9-$E$9)*($G$9-$F$9))))</f>
        <v>1.07404440540261</v>
      </c>
      <c r="F1076" s="51" t="n">
        <f aca="false">1+IF($G$10=$E$10,$F$10,IF(T1076&lt;($F$10-$E$10)/($G$10-$E$10),$E$10+SQRT(T1076*($G$10-$E$10)*($F$10-$E$10)),$G$10-SQRT((1-T1076)*($G$10-$E$10)*($G$10-$F$10))))</f>
        <v>1.0533076390284</v>
      </c>
      <c r="G1076" s="52" t="n">
        <f aca="false">IF($G$11=$E$11,$F$11,IF(U1076&lt;($F$11-$E$11)/($G$11-$E$11),$E$11+SQRT(U1076*($G$11-$E$11)*($F$11-$E$11)),$G$11-SQRT((1-U1076)*($G$11-$E$11)*($G$11-$F$11))))</f>
        <v>0.093606753809016</v>
      </c>
      <c r="H1076" s="53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-2106615278.05681</v>
      </c>
      <c r="I1076" s="53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-14798149.1909538</v>
      </c>
      <c r="J1076" s="53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276120059.999158</v>
      </c>
      <c r="K1076" s="53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619703651.140689</v>
      </c>
      <c r="L1076" s="53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748447374.224043</v>
      </c>
      <c r="M1076" s="53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923187801.000615</v>
      </c>
      <c r="N1076" s="53" t="n">
        <f aca="false">IF(COUNT('Business Case'!B11:G11)=0,"",H1076+NPV(G1076,I1076:M1076))</f>
        <v>-302028225.729564</v>
      </c>
      <c r="P1076" s="54" t="n">
        <f aca="true">RAND()</f>
        <v>0.586837746936919</v>
      </c>
      <c r="Q1076" s="54" t="n">
        <f aca="true">RAND()</f>
        <v>0.375047094384586</v>
      </c>
      <c r="R1076" s="54" t="n">
        <f aca="true">RAND()</f>
        <v>0.0884681427318683</v>
      </c>
      <c r="S1076" s="54" t="n">
        <f aca="true">RAND()</f>
        <v>0.846153270649499</v>
      </c>
      <c r="T1076" s="54" t="n">
        <f aca="true">RAND()</f>
        <v>0.484161535138918</v>
      </c>
      <c r="U1076" s="54" t="n">
        <f aca="true">RAND()</f>
        <v>0.185143749219171</v>
      </c>
    </row>
    <row r="1077" customFormat="false" ht="15" hidden="false" customHeight="false" outlineLevel="0" collapsed="false">
      <c r="A1077" s="50" t="n">
        <v>997</v>
      </c>
      <c r="B1077" s="51" t="n">
        <f aca="false">1+IF($G$6=$E$6,$F$6,IF(P1077&lt;($F$6-$E$6)/($G$6-$E$6),$E$6+SQRT(P1077*($G$6-$E$6)*($F$6-$E$6)),$G$6-SQRT((1-P1077)*($G$6-$E$6)*($G$6-$F$6))))</f>
        <v>0.985908605591763</v>
      </c>
      <c r="C1077" s="51" t="n">
        <f aca="false">1+IF($G$7=$E$7,$F$7,IF(Q1077&lt;($F$7-$E$7)/($G$7-$E$7),$E$7+SQRT(Q1077*($G$7-$E$7)*($F$7-$E$7)),$G$7-SQRT((1-Q1077)*($G$7-$E$7)*($G$7-$F$7))))</f>
        <v>0.960692515408922</v>
      </c>
      <c r="D1077" s="51" t="n">
        <f aca="false">1+IF($G$8=$E$8,$F$8,IF(R1077&lt;($F$8-$E$8)/($G$8-$E$8),$E$8+SQRT(R1077*($G$8-$E$8)*($F$8-$E$8)),$G$8-SQRT((1-R1077)*($G$8-$E$8)*($G$8-$F$8))))</f>
        <v>1.05270681383779</v>
      </c>
      <c r="E1077" s="51" t="n">
        <f aca="false">1+IF($G$9=$E$9,$F$9,IF(S1077&lt;($F$9-$E$9)/($G$9-$E$9),$E$9+SQRT(S1077*($G$9-$E$9)*($F$9-$E$9)),$G$9-SQRT((1-S1077)*($G$9-$E$9)*($G$9-$F$9))))</f>
        <v>0.939813327248981</v>
      </c>
      <c r="F1077" s="51" t="n">
        <f aca="false">1+IF($G$10=$E$10,$F$10,IF(T1077&lt;($F$10-$E$10)/($G$10-$E$10),$E$10+SQRT(T1077*($G$10-$E$10)*($F$10-$E$10)),$G$10-SQRT((1-T1077)*($G$10-$E$10)*($G$10-$F$10))))</f>
        <v>1.15578009042493</v>
      </c>
      <c r="G1077" s="52" t="n">
        <f aca="false">IF($G$11=$E$11,$F$11,IF(U1077&lt;($F$11-$E$11)/($G$11-$E$11),$E$11+SQRT(U1077*($G$11-$E$11)*($F$11-$E$11)),$G$11-SQRT((1-U1077)*($G$11-$E$11)*($G$11-$F$11))))</f>
        <v>0.108962359702228</v>
      </c>
      <c r="H1077" s="53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-2311560180.84987</v>
      </c>
      <c r="I1077" s="53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-40250628.1666419</v>
      </c>
      <c r="J1077" s="53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217818723.991093</v>
      </c>
      <c r="K1077" s="53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533677080.670074</v>
      </c>
      <c r="L1077" s="53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652433875.487371</v>
      </c>
      <c r="M1077" s="53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832469101.359991</v>
      </c>
      <c r="N1077" s="53" t="n">
        <f aca="false">IF(COUNT('Business Case'!B11:G11)=0,"",H1077+NPV(G1077,I1077:M1077))</f>
        <v>-851687191.302105</v>
      </c>
      <c r="P1077" s="54" t="n">
        <f aca="true">RAND()</f>
        <v>0.492019234314743</v>
      </c>
      <c r="Q1077" s="54" t="n">
        <f aca="true">RAND()</f>
        <v>0.503411759927638</v>
      </c>
      <c r="R1077" s="54" t="n">
        <f aca="true">RAND()</f>
        <v>0.850890302841785</v>
      </c>
      <c r="S1077" s="54" t="n">
        <f aca="true">RAND()</f>
        <v>0.0634040410653779</v>
      </c>
      <c r="T1077" s="54" t="n">
        <f aca="true">RAND()</f>
        <v>0.881634781862215</v>
      </c>
      <c r="U1077" s="54" t="n">
        <f aca="true">RAND()</f>
        <v>0.704945127134386</v>
      </c>
    </row>
    <row r="1078" customFormat="false" ht="15" hidden="false" customHeight="false" outlineLevel="0" collapsed="false">
      <c r="A1078" s="50" t="n">
        <v>998</v>
      </c>
      <c r="B1078" s="51" t="n">
        <f aca="false">1+IF($G$6=$E$6,$F$6,IF(P1078&lt;($F$6-$E$6)/($G$6-$E$6),$E$6+SQRT(P1078*($G$6-$E$6)*($F$6-$E$6)),$G$6-SQRT((1-P1078)*($G$6-$E$6)*($G$6-$F$6))))</f>
        <v>1.0207830340292</v>
      </c>
      <c r="C1078" s="51" t="n">
        <f aca="false">1+IF($G$7=$E$7,$F$7,IF(Q1078&lt;($F$7-$E$7)/($G$7-$E$7),$E$7+SQRT(Q1078*($G$7-$E$7)*($F$7-$E$7)),$G$7-SQRT((1-Q1078)*($G$7-$E$7)*($G$7-$F$7))))</f>
        <v>0.819536177274585</v>
      </c>
      <c r="D1078" s="51" t="n">
        <f aca="false">1+IF($G$8=$E$8,$F$8,IF(R1078&lt;($F$8-$E$8)/($G$8-$E$8),$E$8+SQRT(R1078*($G$8-$E$8)*($F$8-$E$8)),$G$8-SQRT((1-R1078)*($G$8-$E$8)*($G$8-$F$8))))</f>
        <v>1.07617108653329</v>
      </c>
      <c r="E1078" s="51" t="n">
        <f aca="false">1+IF($G$9=$E$9,$F$9,IF(S1078&lt;($F$9-$E$9)/($G$9-$E$9),$E$9+SQRT(S1078*($G$9-$E$9)*($F$9-$E$9)),$G$9-SQRT((1-S1078)*($G$9-$E$9)*($G$9-$F$9))))</f>
        <v>0.998374245624586</v>
      </c>
      <c r="F1078" s="51" t="n">
        <f aca="false">1+IF($G$10=$E$10,$F$10,IF(T1078&lt;($F$10-$E$10)/($G$10-$E$10),$E$10+SQRT(T1078*($G$10-$E$10)*($F$10-$E$10)),$G$10-SQRT((1-T1078)*($G$10-$E$10)*($G$10-$F$10))))</f>
        <v>0.961714257247373</v>
      </c>
      <c r="G1078" s="52" t="n">
        <f aca="false">IF($G$11=$E$11,$F$11,IF(U1078&lt;($F$11-$E$11)/($G$11-$E$11),$E$11+SQRT(U1078*($G$11-$E$11)*($F$11-$E$11)),$G$11-SQRT((1-U1078)*($G$11-$E$11)*($G$11-$F$11))))</f>
        <v>0.1057607519579</v>
      </c>
      <c r="H1078" s="53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-1923428514.49475</v>
      </c>
      <c r="I1078" s="53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-47791569.6906608</v>
      </c>
      <c r="J1078" s="53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185924821.618968</v>
      </c>
      <c r="K1078" s="53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467726925.790966</v>
      </c>
      <c r="L1078" s="53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574544201.259333</v>
      </c>
      <c r="M1078" s="53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733559165.601034</v>
      </c>
      <c r="N1078" s="53" t="n">
        <f aca="false">IF(COUNT('Business Case'!B11:G11)=0,"",H1078+NPV(G1078,I1078:M1078))</f>
        <v>-640594454.96002</v>
      </c>
      <c r="P1078" s="54" t="n">
        <f aca="true">RAND()</f>
        <v>0.886182519928122</v>
      </c>
      <c r="Q1078" s="54" t="n">
        <f aca="true">RAND()</f>
        <v>0.105843686499415</v>
      </c>
      <c r="R1078" s="54" t="n">
        <f aca="true">RAND()</f>
        <v>0.962145525533069</v>
      </c>
      <c r="S1078" s="54" t="n">
        <f aca="true">RAND()</f>
        <v>0.387099688088253</v>
      </c>
      <c r="T1078" s="54" t="n">
        <f aca="true">RAND()</f>
        <v>0.00914825485717589</v>
      </c>
      <c r="U1078" s="54" t="n">
        <f aca="true">RAND()</f>
        <v>0.60830590290236</v>
      </c>
    </row>
    <row r="1079" customFormat="false" ht="15" hidden="false" customHeight="false" outlineLevel="0" collapsed="false">
      <c r="A1079" s="50" t="n">
        <v>999</v>
      </c>
      <c r="B1079" s="51" t="n">
        <f aca="false">1+IF($G$6=$E$6,$F$6,IF(P1079&lt;($F$6-$E$6)/($G$6-$E$6),$E$6+SQRT(P1079*($G$6-$E$6)*($F$6-$E$6)),$G$6-SQRT((1-P1079)*($G$6-$E$6)*($G$6-$F$6))))</f>
        <v>1.00837230968482</v>
      </c>
      <c r="C1079" s="51" t="n">
        <f aca="false">1+IF($G$7=$E$7,$F$7,IF(Q1079&lt;($F$7-$E$7)/($G$7-$E$7),$E$7+SQRT(Q1079*($G$7-$E$7)*($F$7-$E$7)),$G$7-SQRT((1-Q1079)*($G$7-$E$7)*($G$7-$F$7))))</f>
        <v>0.85946312378699</v>
      </c>
      <c r="D1079" s="51" t="n">
        <f aca="false">1+IF($G$8=$E$8,$F$8,IF(R1079&lt;($F$8-$E$8)/($G$8-$E$8),$E$8+SQRT(R1079*($G$8-$E$8)*($F$8-$E$8)),$G$8-SQRT((1-R1079)*($G$8-$E$8)*($G$8-$F$8))))</f>
        <v>1.03146157508212</v>
      </c>
      <c r="E1079" s="51" t="n">
        <f aca="false">1+IF($G$9=$E$9,$F$9,IF(S1079&lt;($F$9-$E$9)/($G$9-$E$9),$E$9+SQRT(S1079*($G$9-$E$9)*($F$9-$E$9)),$G$9-SQRT((1-S1079)*($G$9-$E$9)*($G$9-$F$9))))</f>
        <v>1.10034788240302</v>
      </c>
      <c r="F1079" s="51" t="n">
        <f aca="false">1+IF($G$10=$E$10,$F$10,IF(T1079&lt;($F$10-$E$10)/($G$10-$E$10),$E$10+SQRT(T1079*($G$10-$E$10)*($F$10-$E$10)),$G$10-SQRT((1-T1079)*($G$10-$E$10)*($G$10-$F$10))))</f>
        <v>1.13068914695419</v>
      </c>
      <c r="G1079" s="52" t="n">
        <f aca="false">IF($G$11=$E$11,$F$11,IF(U1079&lt;($F$11-$E$11)/($G$11-$E$11),$E$11+SQRT(U1079*($G$11-$E$11)*($F$11-$E$11)),$G$11-SQRT((1-U1079)*($G$11-$E$11)*($G$11-$F$11))))</f>
        <v>0.0976677310639842</v>
      </c>
      <c r="H1079" s="53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-2261378293.90838</v>
      </c>
      <c r="I1079" s="53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-58428719.1395171</v>
      </c>
      <c r="J1079" s="53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197608538.275204</v>
      </c>
      <c r="K1079" s="53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510180253.037635</v>
      </c>
      <c r="L1079" s="53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625477734.163282</v>
      </c>
      <c r="M1079" s="53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790212241.760683</v>
      </c>
      <c r="N1079" s="53" t="n">
        <f aca="false">IF(COUNT('Business Case'!B11:G11)=0,"",H1079+NPV(G1079,I1079:M1079))</f>
        <v>-838099513.16082</v>
      </c>
      <c r="P1079" s="54" t="n">
        <f aca="true">RAND()</f>
        <v>0.768951386536465</v>
      </c>
      <c r="Q1079" s="54" t="n">
        <f aca="true">RAND()</f>
        <v>0.18835916924374</v>
      </c>
      <c r="R1079" s="54" t="n">
        <f aca="true">RAND()</f>
        <v>0.686832287318373</v>
      </c>
      <c r="S1079" s="54" t="n">
        <f aca="true">RAND()</f>
        <v>0.93425779248363</v>
      </c>
      <c r="T1079" s="54" t="n">
        <f aca="true">RAND()</f>
        <v>0.810198937939743</v>
      </c>
      <c r="U1079" s="54" t="n">
        <f aca="true">RAND()</f>
        <v>0.312148720949271</v>
      </c>
    </row>
    <row r="1080" customFormat="false" ht="15" hidden="false" customHeight="false" outlineLevel="0" collapsed="false">
      <c r="A1080" s="50" t="n">
        <v>1000</v>
      </c>
      <c r="B1080" s="51" t="n">
        <f aca="false">1+IF($G$6=$E$6,$F$6,IF(P1080&lt;($F$6-$E$6)/($G$6-$E$6),$E$6+SQRT(P1080*($G$6-$E$6)*($F$6-$E$6)),$G$6-SQRT((1-P1080)*($G$6-$E$6)*($G$6-$F$6))))</f>
        <v>1.02743299821776</v>
      </c>
      <c r="C1080" s="51" t="n">
        <f aca="false">1+IF($G$7=$E$7,$F$7,IF(Q1080&lt;($F$7-$E$7)/($G$7-$E$7),$E$7+SQRT(Q1080*($G$7-$E$7)*($F$7-$E$7)),$G$7-SQRT((1-Q1080)*($G$7-$E$7)*($G$7-$F$7))))</f>
        <v>0.708950914899869</v>
      </c>
      <c r="D1080" s="51" t="n">
        <f aca="false">1+IF($G$8=$E$8,$F$8,IF(R1080&lt;($F$8-$E$8)/($G$8-$E$8),$E$8+SQRT(R1080*($G$8-$E$8)*($F$8-$E$8)),$G$8-SQRT((1-R1080)*($G$8-$E$8)*($G$8-$F$8))))</f>
        <v>1.07941394550809</v>
      </c>
      <c r="E1080" s="51" t="n">
        <f aca="false">1+IF($G$9=$E$9,$F$9,IF(S1080&lt;($F$9-$E$9)/($G$9-$E$9),$E$9+SQRT(S1080*($G$9-$E$9)*($F$9-$E$9)),$G$9-SQRT((1-S1080)*($G$9-$E$9)*($G$9-$F$9))))</f>
        <v>0.931131832119018</v>
      </c>
      <c r="F1080" s="51" t="n">
        <f aca="false">1+IF($G$10=$E$10,$F$10,IF(T1080&lt;($F$10-$E$10)/($G$10-$E$10),$E$10+SQRT(T1080*($G$10-$E$10)*($F$10-$E$10)),$G$10-SQRT((1-T1080)*($G$10-$E$10)*($G$10-$F$10))))</f>
        <v>1.00089043134915</v>
      </c>
      <c r="G1080" s="52" t="n">
        <f aca="false">IF($G$11=$E$11,$F$11,IF(U1080&lt;($F$11-$E$11)/($G$11-$E$11),$E$11+SQRT(U1080*($G$11-$E$11)*($F$11-$E$11)),$G$11-SQRT((1-U1080)*($G$11-$E$11)*($G$11-$F$11))))</f>
        <v>0.108981470537317</v>
      </c>
      <c r="H1080" s="53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-2001780862.6983</v>
      </c>
      <c r="I1080" s="53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-65392085.3524985</v>
      </c>
      <c r="J1080" s="53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139472052.359398</v>
      </c>
      <c r="K1080" s="53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394380711.638753</v>
      </c>
      <c r="L1080" s="53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487842246.477488</v>
      </c>
      <c r="M1080" s="53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626296435.618726</v>
      </c>
      <c r="N1080" s="53" t="n">
        <f aca="false">IF(COUNT('Business Case'!B11:G11)=0,"",H1080+NPV(G1080,I1080:M1080))</f>
        <v>-962251628.679829</v>
      </c>
      <c r="P1080" s="54" t="n">
        <f aca="true">RAND()</f>
        <v>0.932097390741367</v>
      </c>
      <c r="Q1080" s="54" t="n">
        <f aca="true">RAND()</f>
        <v>0.000593473166997707</v>
      </c>
      <c r="R1080" s="54" t="n">
        <f aca="true">RAND()</f>
        <v>0.971747624030402</v>
      </c>
      <c r="S1080" s="54" t="n">
        <f aca="true">RAND()</f>
        <v>0.0387676388434698</v>
      </c>
      <c r="T1080" s="54" t="n">
        <f aca="true">RAND()</f>
        <v>0.172592304087843</v>
      </c>
      <c r="U1080" s="54" t="n">
        <f aca="true">RAND()</f>
        <v>0.705480946150873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7" t="s">
        <v>739</v>
      </c>
    </row>
    <row r="2" customFormat="false" ht="15" hidden="false" customHeight="false" outlineLevel="0" collapsed="false">
      <c r="A2" s="3" t="s">
        <v>740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418</v>
      </c>
      <c r="B5" s="38" t="n">
        <v>20000</v>
      </c>
    </row>
    <row r="6" customFormat="false" ht="15" hidden="false" customHeight="false" outlineLevel="0" collapsed="false">
      <c r="A6" s="5" t="s">
        <v>442</v>
      </c>
      <c r="B6" s="38" t="n">
        <v>180000000</v>
      </c>
    </row>
    <row r="7" customFormat="false" ht="23.85" hidden="false" customHeight="false" outlineLevel="0" collapsed="false">
      <c r="A7" s="5" t="s">
        <v>741</v>
      </c>
      <c r="B7" s="38" t="n">
        <v>28000</v>
      </c>
    </row>
    <row r="8" customFormat="false" ht="23.85" hidden="false" customHeight="false" outlineLevel="0" collapsed="false">
      <c r="A8" s="5" t="s">
        <v>742</v>
      </c>
      <c r="B8" s="38" t="n">
        <v>36000</v>
      </c>
    </row>
    <row r="10" customFormat="false" ht="30" hidden="false" customHeight="true" outlineLevel="0" collapsed="false">
      <c r="A10" s="12" t="s">
        <v>743</v>
      </c>
      <c r="B10" s="12" t="s">
        <v>744</v>
      </c>
      <c r="C10" s="12" t="s">
        <v>622</v>
      </c>
      <c r="D10" s="12" t="s">
        <v>623</v>
      </c>
      <c r="E10" s="12" t="s">
        <v>423</v>
      </c>
      <c r="F10" s="12" t="s">
        <v>745</v>
      </c>
    </row>
    <row r="11" customFormat="false" ht="15" hidden="false" customHeight="false" outlineLevel="0" collapsed="false">
      <c r="A11" s="38" t="n">
        <v>28000</v>
      </c>
      <c r="B11" s="24" t="n">
        <v>42000</v>
      </c>
      <c r="C11" s="35" t="n">
        <f aca="false">IF(OR(A11="",B11=""),"",A11*B11)</f>
        <v>1176000000</v>
      </c>
      <c r="D11" s="35" t="n">
        <f aca="false">IF(C11="","",(A11-$B$5)*B11)</f>
        <v>336000000</v>
      </c>
      <c r="E11" s="41" t="n">
        <f aca="false">IF(D11="","",D11-$B$6)</f>
        <v>156000000</v>
      </c>
      <c r="F11" s="15" t="str">
        <f aca="false">IF(A11="","",IF(AND(A11&gt;=$B$7,A11&lt;=$B$8),"Yes","No"))</f>
        <v>Yes</v>
      </c>
    </row>
    <row r="12" customFormat="false" ht="15" hidden="false" customHeight="false" outlineLevel="0" collapsed="false">
      <c r="A12" s="38" t="n">
        <v>30000</v>
      </c>
      <c r="B12" s="24" t="n">
        <v>39000</v>
      </c>
      <c r="C12" s="35" t="n">
        <f aca="false">IF(OR(A12="",B12=""),"",A12*B12)</f>
        <v>1170000000</v>
      </c>
      <c r="D12" s="35" t="n">
        <f aca="false">IF(C12="","",(A12-$B$5)*B12)</f>
        <v>390000000</v>
      </c>
      <c r="E12" s="41" t="n">
        <f aca="false">IF(D12="","",D12-$B$6)</f>
        <v>210000000</v>
      </c>
      <c r="F12" s="15" t="str">
        <f aca="false">IF(A12="","",IF(AND(A12&gt;=$B$7,A12&lt;=$B$8),"Yes","No"))</f>
        <v>Yes</v>
      </c>
    </row>
    <row r="13" customFormat="false" ht="15" hidden="false" customHeight="false" outlineLevel="0" collapsed="false">
      <c r="A13" s="38" t="n">
        <v>32000</v>
      </c>
      <c r="B13" s="24" t="n">
        <v>36000</v>
      </c>
      <c r="C13" s="35" t="n">
        <f aca="false">IF(OR(A13="",B13=""),"",A13*B13)</f>
        <v>1152000000</v>
      </c>
      <c r="D13" s="35" t="n">
        <f aca="false">IF(C13="","",(A13-$B$5)*B13)</f>
        <v>432000000</v>
      </c>
      <c r="E13" s="41" t="n">
        <f aca="false">IF(D13="","",D13-$B$6)</f>
        <v>252000000</v>
      </c>
      <c r="F13" s="15" t="str">
        <f aca="false">IF(A13="","",IF(AND(A13&gt;=$B$7,A13&lt;=$B$8),"Yes","No"))</f>
        <v>Yes</v>
      </c>
    </row>
    <row r="14" customFormat="false" ht="15" hidden="false" customHeight="false" outlineLevel="0" collapsed="false">
      <c r="A14" s="38" t="n">
        <v>34000</v>
      </c>
      <c r="B14" s="24" t="n">
        <v>31000</v>
      </c>
      <c r="C14" s="35" t="n">
        <f aca="false">IF(OR(A14="",B14=""),"",A14*B14)</f>
        <v>1054000000</v>
      </c>
      <c r="D14" s="35" t="n">
        <f aca="false">IF(C14="","",(A14-$B$5)*B14)</f>
        <v>434000000</v>
      </c>
      <c r="E14" s="41" t="n">
        <f aca="false">IF(D14="","",D14-$B$6)</f>
        <v>254000000</v>
      </c>
      <c r="F14" s="15" t="str">
        <f aca="false">IF(A14="","",IF(AND(A14&gt;=$B$7,A14&lt;=$B$8),"Yes","No"))</f>
        <v>Yes</v>
      </c>
    </row>
    <row r="15" customFormat="false" ht="15" hidden="false" customHeight="false" outlineLevel="0" collapsed="false">
      <c r="A15" s="38" t="n">
        <v>36000</v>
      </c>
      <c r="B15" s="24" t="n">
        <v>26000</v>
      </c>
      <c r="C15" s="35" t="n">
        <f aca="false">IF(OR(A15="",B15=""),"",A15*B15)</f>
        <v>936000000</v>
      </c>
      <c r="D15" s="35" t="n">
        <f aca="false">IF(C15="","",(A15-$B$5)*B15)</f>
        <v>416000000</v>
      </c>
      <c r="E15" s="41" t="n">
        <f aca="false">IF(D15="","",D15-$B$6)</f>
        <v>236000000</v>
      </c>
      <c r="F15" s="15" t="str">
        <f aca="false">IF(A15="","",IF(AND(A15&gt;=$B$7,A15&lt;=$B$8),"Yes","No"))</f>
        <v>Yes</v>
      </c>
    </row>
    <row r="16" customFormat="false" ht="15" hidden="false" customHeight="false" outlineLevel="0" collapsed="false">
      <c r="A16" s="38"/>
      <c r="B16" s="24"/>
      <c r="C16" s="35" t="str">
        <f aca="false">IF(OR(A16="",B16=""),"",A16*B16)</f>
        <v/>
      </c>
      <c r="D16" s="35" t="str">
        <f aca="false">IF(C16="","",(A16-$B$5)*B16)</f>
        <v/>
      </c>
      <c r="E16" s="41" t="str">
        <f aca="false">IF(D16="","",D16-$B$6)</f>
        <v/>
      </c>
      <c r="F16" s="15" t="str">
        <f aca="false">IF(A16="","",IF(AND(A16&gt;=$B$7,A16&lt;=$B$8),"Yes","No"))</f>
        <v/>
      </c>
    </row>
    <row r="17" customFormat="false" ht="15" hidden="false" customHeight="false" outlineLevel="0" collapsed="false">
      <c r="A17" s="38"/>
      <c r="B17" s="24"/>
      <c r="C17" s="35" t="str">
        <f aca="false">IF(OR(A17="",B17=""),"",A17*B17)</f>
        <v/>
      </c>
      <c r="D17" s="35" t="str">
        <f aca="false">IF(C17="","",(A17-$B$5)*B17)</f>
        <v/>
      </c>
      <c r="E17" s="41" t="str">
        <f aca="false">IF(D17="","",D17-$B$6)</f>
        <v/>
      </c>
      <c r="F17" s="15" t="str">
        <f aca="false">IF(A17="","",IF(AND(A17&gt;=$B$7,A17&lt;=$B$8),"Yes","No"))</f>
        <v/>
      </c>
    </row>
    <row r="18" customFormat="false" ht="15" hidden="false" customHeight="false" outlineLevel="0" collapsed="false">
      <c r="A18" s="38"/>
      <c r="B18" s="24"/>
      <c r="C18" s="35" t="str">
        <f aca="false">IF(OR(A18="",B18=""),"",A18*B18)</f>
        <v/>
      </c>
      <c r="D18" s="35" t="str">
        <f aca="false">IF(C18="","",(A18-$B$5)*B18)</f>
        <v/>
      </c>
      <c r="E18" s="41" t="str">
        <f aca="false">IF(D18="","",D18-$B$6)</f>
        <v/>
      </c>
      <c r="F18" s="15" t="str">
        <f aca="false">IF(A18="","",IF(AND(A18&gt;=$B$7,A18&lt;=$B$8),"Yes","No"))</f>
        <v/>
      </c>
    </row>
    <row r="20" customFormat="false" ht="15" hidden="false" customHeight="false" outlineLevel="0" collapsed="false">
      <c r="A20" s="20" t="s">
        <v>746</v>
      </c>
      <c r="B20" s="48" t="n">
        <f aca="false">IFERROR(INDEX(A11:A18,MATCH(_xlfn.MAXIFS(E11:E18,F11:F18,"Yes"),E11:E18,0)),"")</f>
        <v>34000</v>
      </c>
      <c r="C20" s="5" t="s">
        <v>747</v>
      </c>
      <c r="D20" s="55" t="n">
        <f aca="false">IFERROR(_xlfn.MAXIFS(E11:E18,F11:F18,"Yes"),"")</f>
        <v>254000000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30"/>
  </cols>
  <sheetData>
    <row r="1" customFormat="false" ht="19.7" hidden="false" customHeight="false" outlineLevel="0" collapsed="false">
      <c r="A1" s="7" t="s">
        <v>748</v>
      </c>
    </row>
    <row r="2" customFormat="false" ht="15" hidden="false" customHeight="false" outlineLevel="0" collapsed="false">
      <c r="A2" s="3" t="s">
        <v>749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750</v>
      </c>
    </row>
    <row r="6" customFormat="false" ht="30" hidden="false" customHeight="true" outlineLevel="0" collapsed="false">
      <c r="A6" s="12" t="s">
        <v>751</v>
      </c>
      <c r="B6" s="12" t="s">
        <v>752</v>
      </c>
      <c r="C6" s="12" t="s">
        <v>753</v>
      </c>
      <c r="D6" s="12" t="s">
        <v>483</v>
      </c>
      <c r="E6" s="12" t="s">
        <v>754</v>
      </c>
      <c r="F6" s="12" t="s">
        <v>755</v>
      </c>
    </row>
    <row r="7" customFormat="false" ht="15" hidden="false" customHeight="false" outlineLevel="0" collapsed="false">
      <c r="A7" s="11" t="s">
        <v>756</v>
      </c>
      <c r="B7" s="56" t="n">
        <v>97200</v>
      </c>
      <c r="C7" s="56" t="n">
        <v>92000</v>
      </c>
      <c r="D7" s="11" t="s">
        <v>757</v>
      </c>
      <c r="E7" s="44" t="n">
        <f aca="false">IF(OR(B7="",C7="",B7=0),"",ABS(B7-C7)/ABS(B7))</f>
        <v>0.0534979423868313</v>
      </c>
      <c r="F7" s="16" t="str">
        <f aca="false">IF(E7="","",IF(E7&lt;0.1,"Yes","No"))</f>
        <v>Yes</v>
      </c>
    </row>
    <row r="8" customFormat="false" ht="15" hidden="false" customHeight="false" outlineLevel="0" collapsed="false">
      <c r="A8" s="11"/>
      <c r="B8" s="56"/>
      <c r="C8" s="56"/>
      <c r="D8" s="11"/>
      <c r="E8" s="44" t="str">
        <f aca="false">IF(OR(B8="",C8="",B8=0),"",ABS(B8-C8)/ABS(B8))</f>
        <v/>
      </c>
      <c r="F8" s="16" t="str">
        <f aca="false">IF(E8="","",IF(E8&lt;0.1,"Yes","No"))</f>
        <v/>
      </c>
    </row>
    <row r="9" customFormat="false" ht="15" hidden="false" customHeight="false" outlineLevel="0" collapsed="false">
      <c r="A9" s="11"/>
      <c r="B9" s="56"/>
      <c r="C9" s="56"/>
      <c r="D9" s="11"/>
      <c r="E9" s="44" t="str">
        <f aca="false">IF(OR(B9="",C9="",B9=0),"",ABS(B9-C9)/ABS(B9))</f>
        <v/>
      </c>
      <c r="F9" s="16" t="str">
        <f aca="false">IF(E9="","",IF(E9&lt;0.1,"Yes","No"))</f>
        <v/>
      </c>
    </row>
    <row r="10" customFormat="false" ht="15" hidden="false" customHeight="false" outlineLevel="0" collapsed="false">
      <c r="A10" s="11"/>
      <c r="B10" s="56"/>
      <c r="C10" s="56"/>
      <c r="D10" s="11"/>
      <c r="E10" s="44" t="str">
        <f aca="false">IF(OR(B10="",C10="",B10=0),"",ABS(B10-C10)/ABS(B10))</f>
        <v/>
      </c>
      <c r="F10" s="16" t="str">
        <f aca="false">IF(E10="","",IF(E10&lt;0.1,"Yes","No"))</f>
        <v/>
      </c>
    </row>
    <row r="11" customFormat="false" ht="15" hidden="false" customHeight="false" outlineLevel="0" collapsed="false">
      <c r="A11" s="11"/>
      <c r="B11" s="56"/>
      <c r="C11" s="56"/>
      <c r="D11" s="11"/>
      <c r="E11" s="44" t="str">
        <f aca="false">IF(OR(B11="",C11="",B11=0),"",ABS(B11-C11)/ABS(B11))</f>
        <v/>
      </c>
      <c r="F11" s="16" t="str">
        <f aca="false">IF(E11="","",IF(E11&lt;0.1,"Yes","No"))</f>
        <v/>
      </c>
    </row>
    <row r="12" customFormat="false" ht="15" hidden="false" customHeight="false" outlineLevel="0" collapsed="false">
      <c r="A12" s="11"/>
      <c r="B12" s="56"/>
      <c r="C12" s="56"/>
      <c r="D12" s="11"/>
      <c r="E12" s="44" t="str">
        <f aca="false">IF(OR(B12="",C12="",B12=0),"",ABS(B12-C12)/ABS(B12))</f>
        <v/>
      </c>
      <c r="F12" s="16" t="str">
        <f aca="false">IF(E12="","",IF(E12&lt;0.1,"Yes","No"))</f>
        <v/>
      </c>
    </row>
    <row r="13" customFormat="false" ht="15" hidden="false" customHeight="false" outlineLevel="0" collapsed="false">
      <c r="A13" s="11"/>
      <c r="B13" s="56"/>
      <c r="C13" s="56"/>
      <c r="D13" s="11"/>
      <c r="E13" s="44" t="str">
        <f aca="false">IF(OR(B13="",C13="",B13=0),"",ABS(B13-C13)/ABS(B13))</f>
        <v/>
      </c>
      <c r="F13" s="16" t="str">
        <f aca="false">IF(E13="","",IF(E13&lt;0.1,"Yes","No"))</f>
        <v/>
      </c>
    </row>
    <row r="14" customFormat="false" ht="15" hidden="false" customHeight="false" outlineLevel="0" collapsed="false">
      <c r="A14" s="11"/>
      <c r="B14" s="56"/>
      <c r="C14" s="56"/>
      <c r="D14" s="11"/>
      <c r="E14" s="44" t="str">
        <f aca="false">IF(OR(B14="",C14="",B14=0),"",ABS(B14-C14)/ABS(B14))</f>
        <v/>
      </c>
      <c r="F14" s="16" t="str">
        <f aca="false">IF(E14="","",IF(E14&lt;0.1,"Yes","No"))</f>
        <v/>
      </c>
    </row>
    <row r="16" customFormat="false" ht="15" hidden="false" customHeight="false" outlineLevel="0" collapsed="false">
      <c r="A16" s="17" t="s">
        <v>758</v>
      </c>
    </row>
    <row r="17" customFormat="false" ht="30" hidden="false" customHeight="true" outlineLevel="0" collapsed="false">
      <c r="A17" s="12" t="s">
        <v>759</v>
      </c>
      <c r="B17" s="12" t="s">
        <v>760</v>
      </c>
      <c r="C17" s="12" t="s">
        <v>761</v>
      </c>
      <c r="D17" s="12" t="s">
        <v>762</v>
      </c>
    </row>
    <row r="18" customFormat="false" ht="30" hidden="false" customHeight="true" outlineLevel="0" collapsed="false">
      <c r="A18" s="11"/>
      <c r="B18" s="11"/>
      <c r="C18" s="11"/>
      <c r="D18" s="11"/>
    </row>
    <row r="19" customFormat="false" ht="30" hidden="false" customHeight="true" outlineLevel="0" collapsed="false">
      <c r="A19" s="11"/>
      <c r="B19" s="11"/>
      <c r="C19" s="11"/>
      <c r="D19" s="11"/>
    </row>
    <row r="20" customFormat="false" ht="30" hidden="false" customHeight="true" outlineLevel="0" collapsed="false">
      <c r="A20" s="11"/>
      <c r="B20" s="11"/>
      <c r="C20" s="11"/>
      <c r="D20" s="11"/>
    </row>
    <row r="21" customFormat="false" ht="30" hidden="false" customHeight="true" outlineLevel="0" collapsed="false">
      <c r="A21" s="11"/>
      <c r="B21" s="11"/>
      <c r="C21" s="11"/>
      <c r="D21" s="11"/>
    </row>
    <row r="22" customFormat="false" ht="30" hidden="false" customHeight="true" outlineLevel="0" collapsed="false">
      <c r="A22" s="11"/>
      <c r="B22" s="11"/>
      <c r="C22" s="11"/>
      <c r="D22" s="11"/>
    </row>
    <row r="24" customFormat="false" ht="15" hidden="false" customHeight="false" outlineLevel="0" collapsed="false">
      <c r="A24" s="17" t="s">
        <v>763</v>
      </c>
    </row>
    <row r="25" customFormat="false" ht="30" hidden="false" customHeight="true" outlineLevel="0" collapsed="false">
      <c r="A25" s="12" t="s">
        <v>147</v>
      </c>
      <c r="B25" s="12" t="s">
        <v>764</v>
      </c>
      <c r="C25" s="12" t="s">
        <v>765</v>
      </c>
      <c r="D25" s="12" t="s">
        <v>766</v>
      </c>
      <c r="E25" s="12" t="s">
        <v>767</v>
      </c>
      <c r="F25" s="12" t="s">
        <v>768</v>
      </c>
      <c r="G25" s="12" t="s">
        <v>769</v>
      </c>
      <c r="H25" s="12" t="s">
        <v>770</v>
      </c>
    </row>
    <row r="26" customFormat="false" ht="23.85" hidden="false" customHeight="false" outlineLevel="0" collapsed="false">
      <c r="A26" s="11" t="s">
        <v>771</v>
      </c>
      <c r="B26" s="19" t="n">
        <v>4</v>
      </c>
      <c r="C26" s="19" t="n">
        <v>4</v>
      </c>
      <c r="D26" s="26" t="n">
        <f aca="false">IF(OR(B26="",C26=""),"",B26*C26)</f>
        <v>16</v>
      </c>
      <c r="E26" s="16" t="str">
        <f aca="false">IF(D26="","",IF(D26&gt;=15,"High",IF(D26&gt;=8,"Medium","Low")))</f>
        <v>High</v>
      </c>
      <c r="F26" s="11" t="s">
        <v>772</v>
      </c>
      <c r="G26" s="11" t="s">
        <v>773</v>
      </c>
      <c r="H26" s="11" t="s">
        <v>774</v>
      </c>
    </row>
    <row r="27" customFormat="false" ht="15" hidden="false" customHeight="false" outlineLevel="0" collapsed="false">
      <c r="A27" s="11"/>
      <c r="B27" s="19"/>
      <c r="C27" s="19"/>
      <c r="D27" s="26" t="str">
        <f aca="false">IF(OR(B27="",C27=""),"",B27*C27)</f>
        <v/>
      </c>
      <c r="E27" s="16" t="str">
        <f aca="false">IF(D27="","",IF(D27&gt;=15,"High",IF(D27&gt;=8,"Medium","Low")))</f>
        <v/>
      </c>
      <c r="F27" s="11"/>
      <c r="G27" s="11"/>
      <c r="H27" s="11"/>
    </row>
    <row r="28" customFormat="false" ht="15" hidden="false" customHeight="false" outlineLevel="0" collapsed="false">
      <c r="A28" s="11"/>
      <c r="B28" s="19"/>
      <c r="C28" s="19"/>
      <c r="D28" s="26" t="str">
        <f aca="false">IF(OR(B28="",C28=""),"",B28*C28)</f>
        <v/>
      </c>
      <c r="E28" s="16" t="str">
        <f aca="false">IF(D28="","",IF(D28&gt;=15,"High",IF(D28&gt;=8,"Medium","Low")))</f>
        <v/>
      </c>
      <c r="F28" s="11"/>
      <c r="G28" s="11"/>
      <c r="H28" s="11"/>
    </row>
    <row r="29" customFormat="false" ht="15" hidden="false" customHeight="false" outlineLevel="0" collapsed="false">
      <c r="A29" s="11"/>
      <c r="B29" s="19"/>
      <c r="C29" s="19"/>
      <c r="D29" s="26" t="str">
        <f aca="false">IF(OR(B29="",C29=""),"",B29*C29)</f>
        <v/>
      </c>
      <c r="E29" s="16" t="str">
        <f aca="false">IF(D29="","",IF(D29&gt;=15,"High",IF(D29&gt;=8,"Medium","Low")))</f>
        <v/>
      </c>
      <c r="F29" s="11"/>
      <c r="G29" s="11"/>
      <c r="H29" s="11"/>
    </row>
    <row r="30" customFormat="false" ht="15" hidden="false" customHeight="false" outlineLevel="0" collapsed="false">
      <c r="A30" s="11"/>
      <c r="B30" s="19"/>
      <c r="C30" s="19"/>
      <c r="D30" s="26" t="str">
        <f aca="false">IF(OR(B30="",C30=""),"",B30*C30)</f>
        <v/>
      </c>
      <c r="E30" s="16" t="str">
        <f aca="false">IF(D30="","",IF(D30&gt;=15,"High",IF(D30&gt;=8,"Medium","Low")))</f>
        <v/>
      </c>
      <c r="F30" s="11"/>
      <c r="G30" s="11"/>
      <c r="H30" s="11"/>
    </row>
    <row r="31" customFormat="false" ht="15" hidden="false" customHeight="false" outlineLevel="0" collapsed="false">
      <c r="A31" s="11"/>
      <c r="B31" s="19"/>
      <c r="C31" s="19"/>
      <c r="D31" s="26" t="str">
        <f aca="false">IF(OR(B31="",C31=""),"",B31*C31)</f>
        <v/>
      </c>
      <c r="E31" s="16" t="str">
        <f aca="false">IF(D31="","",IF(D31&gt;=15,"High",IF(D31&gt;=8,"Medium","Low")))</f>
        <v/>
      </c>
      <c r="F31" s="11"/>
      <c r="G31" s="11"/>
      <c r="H31" s="11"/>
    </row>
    <row r="32" customFormat="false" ht="15" hidden="false" customHeight="false" outlineLevel="0" collapsed="false">
      <c r="A32" s="11"/>
      <c r="B32" s="19"/>
      <c r="C32" s="19"/>
      <c r="D32" s="26" t="str">
        <f aca="false">IF(OR(B32="",C32=""),"",B32*C32)</f>
        <v/>
      </c>
      <c r="E32" s="16" t="str">
        <f aca="false">IF(D32="","",IF(D32&gt;=15,"High",IF(D32&gt;=8,"Medium","Low")))</f>
        <v/>
      </c>
      <c r="F32" s="11"/>
      <c r="G32" s="11"/>
      <c r="H32" s="11"/>
    </row>
    <row r="33" customFormat="false" ht="15" hidden="false" customHeight="false" outlineLevel="0" collapsed="false">
      <c r="A33" s="11"/>
      <c r="B33" s="19"/>
      <c r="C33" s="19"/>
      <c r="D33" s="26" t="str">
        <f aca="false">IF(OR(B33="",C33=""),"",B33*C33)</f>
        <v/>
      </c>
      <c r="E33" s="16" t="str">
        <f aca="false">IF(D33="","",IF(D33&gt;=15,"High",IF(D33&gt;=8,"Medium","Low")))</f>
        <v/>
      </c>
      <c r="F33" s="11"/>
      <c r="G33" s="11"/>
      <c r="H33" s="11"/>
    </row>
    <row r="34" customFormat="false" ht="15" hidden="false" customHeight="false" outlineLevel="0" collapsed="false">
      <c r="A34" s="11"/>
      <c r="B34" s="19"/>
      <c r="C34" s="19"/>
      <c r="D34" s="26" t="str">
        <f aca="false">IF(OR(B34="",C34=""),"",B34*C34)</f>
        <v/>
      </c>
      <c r="E34" s="16" t="str">
        <f aca="false">IF(D34="","",IF(D34&gt;=15,"High",IF(D34&gt;=8,"Medium","Low")))</f>
        <v/>
      </c>
      <c r="F34" s="11"/>
      <c r="G34" s="11"/>
      <c r="H34" s="11"/>
    </row>
    <row r="35" customFormat="false" ht="15" hidden="false" customHeight="false" outlineLevel="0" collapsed="false">
      <c r="A35" s="11"/>
      <c r="B35" s="19"/>
      <c r="C35" s="19"/>
      <c r="D35" s="26" t="str">
        <f aca="false">IF(OR(B35="",C35=""),"",B35*C35)</f>
        <v/>
      </c>
      <c r="E35" s="16" t="str">
        <f aca="false">IF(D35="","",IF(D35&gt;=15,"High",IF(D35&gt;=8,"Medium","Low")))</f>
        <v/>
      </c>
      <c r="F35" s="11"/>
      <c r="G35" s="11"/>
      <c r="H35" s="11"/>
    </row>
    <row r="37" customFormat="false" ht="15" hidden="false" customHeight="false" outlineLevel="0" collapsed="false">
      <c r="A37" s="20" t="s">
        <v>775</v>
      </c>
      <c r="B37" s="57" t="n">
        <f aca="false">COUNTIFS(E26:E35,"High",F26:F35,"")</f>
        <v>0</v>
      </c>
    </row>
  </sheetData>
  <conditionalFormatting sqref="F7:F14">
    <cfRule type="expression" priority="2" aboveAverage="0" equalAverage="0" bottom="0" percent="0" rank="0" text="" dxfId="0">
      <formula>F7="No"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F7="Yes"</formula>
    </cfRule>
  </conditionalFormatting>
  <conditionalFormatting sqref="E26:E35">
    <cfRule type="expression" priority="5" aboveAverage="0" equalAverage="0" bottom="0" percent="0" rank="0" text="" dxfId="0">
      <formula>E26="Low"</formula>
    </cfRule>
    <cfRule type="expression" priority="6" aboveAverage="0" equalAverage="0" bottom="0" percent="0" rank="0" text="" dxfId="1">
      <formula>E26="Medium"</formula>
    </cfRule>
    <cfRule type="expression" priority="7" aboveAverage="0" equalAverage="0" bottom="0" percent="0" rank="0" text="" dxfId="2">
      <formula>E26="High"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B26:C3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7" t="s">
        <v>776</v>
      </c>
    </row>
    <row r="2" customFormat="false" ht="15" hidden="false" customHeight="false" outlineLevel="0" collapsed="false">
      <c r="A2" s="3" t="s">
        <v>777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778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5" t="s">
        <v>779</v>
      </c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5" t="s">
        <v>780</v>
      </c>
      <c r="B7" s="11"/>
      <c r="C7" s="11"/>
      <c r="D7" s="11"/>
      <c r="E7" s="11"/>
      <c r="F7" s="11"/>
      <c r="G7" s="11"/>
      <c r="H7" s="11"/>
      <c r="I7" s="11"/>
    </row>
    <row r="9" customFormat="false" ht="30" hidden="false" customHeight="true" outlineLevel="0" collapsed="false">
      <c r="A9" s="12" t="s">
        <v>781</v>
      </c>
      <c r="B9" s="12" t="s">
        <v>782</v>
      </c>
      <c r="C9" s="12" t="s">
        <v>783</v>
      </c>
      <c r="D9" s="12" t="s">
        <v>784</v>
      </c>
      <c r="E9" s="12" t="s">
        <v>785</v>
      </c>
      <c r="F9" s="12" t="s">
        <v>786</v>
      </c>
      <c r="G9" s="12" t="s">
        <v>787</v>
      </c>
      <c r="H9" s="12" t="s">
        <v>788</v>
      </c>
      <c r="I9" s="12" t="s">
        <v>789</v>
      </c>
    </row>
    <row r="10" customFormat="false" ht="15" hidden="false" customHeight="false" outlineLevel="0" collapsed="false">
      <c r="A10" s="11" t="s">
        <v>790</v>
      </c>
      <c r="B10" s="38" t="n">
        <v>2000000</v>
      </c>
      <c r="C10" s="24" t="n">
        <v>400000</v>
      </c>
      <c r="D10" s="22" t="n">
        <v>0.02</v>
      </c>
      <c r="E10" s="22" t="n">
        <v>0.1</v>
      </c>
      <c r="F10" s="42" t="n">
        <f aca="false">IF(OR(C10="",D10=""),"",C10*D10)</f>
        <v>8000</v>
      </c>
      <c r="G10" s="42" t="n">
        <f aca="false">IF(OR(F10="",E10=""),"",F10*E10)</f>
        <v>800</v>
      </c>
      <c r="H10" s="35" t="n">
        <f aca="false">IFERROR(IF(G10&gt;0,B10/G10,""),"")</f>
        <v>2500</v>
      </c>
      <c r="I10" s="15" t="str">
        <f aca="false">IFERROR(IF(H10="","",IF('Unit Economics'!$E$13="","set LTV on Unit Economics",IF(H10&lt;='Unit Economics'!$E$13/3,"Fits (LTV/CAC ≥ 3)",IF(H10&lt;='Unit Economics'!$E$13,"Thin","Burns value")))),"")</f>
        <v>Thin</v>
      </c>
    </row>
    <row r="11" customFormat="false" ht="15" hidden="false" customHeight="false" outlineLevel="0" collapsed="false">
      <c r="A11" s="11" t="s">
        <v>791</v>
      </c>
      <c r="B11" s="38" t="n">
        <v>1500000</v>
      </c>
      <c r="C11" s="24" t="n">
        <v>900000</v>
      </c>
      <c r="D11" s="22" t="n">
        <v>0.01</v>
      </c>
      <c r="E11" s="22" t="n">
        <v>0.05</v>
      </c>
      <c r="F11" s="42" t="n">
        <f aca="false">IF(OR(C11="",D11=""),"",C11*D11)</f>
        <v>9000</v>
      </c>
      <c r="G11" s="42" t="n">
        <f aca="false">IF(OR(F11="",E11=""),"",F11*E11)</f>
        <v>450</v>
      </c>
      <c r="H11" s="35" t="n">
        <f aca="false">IFERROR(IF(G11&gt;0,B11/G11,""),"")</f>
        <v>3333.33333333333</v>
      </c>
      <c r="I11" s="15" t="str">
        <f aca="false">IFERROR(IF(H11="","",IF('Unit Economics'!$E$13="","set LTV on Unit Economics",IF(H11&lt;='Unit Economics'!$E$13/3,"Fits (LTV/CAC ≥ 3)",IF(H11&lt;='Unit Economics'!$E$13,"Thin","Burns value")))),"")</f>
        <v>Thin</v>
      </c>
    </row>
    <row r="12" customFormat="false" ht="15" hidden="false" customHeight="false" outlineLevel="0" collapsed="false">
      <c r="A12" s="11"/>
      <c r="B12" s="38"/>
      <c r="C12" s="24"/>
      <c r="D12" s="22"/>
      <c r="E12" s="22"/>
      <c r="F12" s="42" t="str">
        <f aca="false">IF(OR(C12="",D12=""),"",C12*D12)</f>
        <v/>
      </c>
      <c r="G12" s="42" t="str">
        <f aca="false">IF(OR(F12="",E12=""),"",F12*E12)</f>
        <v/>
      </c>
      <c r="H12" s="35" t="str">
        <f aca="false">IFERROR(IF(G12&gt;0,B12/G12,""),"")</f>
        <v/>
      </c>
      <c r="I12" s="15" t="str">
        <f aca="false">IFERROR(IF(H12="","",IF('Unit Economics'!$E$13="","set LTV on Unit Economics",IF(H12&lt;='Unit Economics'!$E$13/3,"Fits (LTV/CAC ≥ 3)",IF(H12&lt;='Unit Economics'!$E$13,"Thin","Burns value")))),"")</f>
        <v/>
      </c>
    </row>
    <row r="13" customFormat="false" ht="15" hidden="false" customHeight="false" outlineLevel="0" collapsed="false">
      <c r="A13" s="11"/>
      <c r="B13" s="38"/>
      <c r="C13" s="24"/>
      <c r="D13" s="22"/>
      <c r="E13" s="22"/>
      <c r="F13" s="42" t="str">
        <f aca="false">IF(OR(C13="",D13=""),"",C13*D13)</f>
        <v/>
      </c>
      <c r="G13" s="42" t="str">
        <f aca="false">IF(OR(F13="",E13=""),"",F13*E13)</f>
        <v/>
      </c>
      <c r="H13" s="35" t="str">
        <f aca="false">IFERROR(IF(G13&gt;0,B13/G13,""),"")</f>
        <v/>
      </c>
      <c r="I13" s="15" t="str">
        <f aca="false">IFERROR(IF(H13="","",IF('Unit Economics'!$E$13="","set LTV on Unit Economics",IF(H13&lt;='Unit Economics'!$E$13/3,"Fits (LTV/CAC ≥ 3)",IF(H13&lt;='Unit Economics'!$E$13,"Thin","Burns value")))),"")</f>
        <v/>
      </c>
    </row>
    <row r="14" customFormat="false" ht="15" hidden="false" customHeight="false" outlineLevel="0" collapsed="false">
      <c r="A14" s="11"/>
      <c r="B14" s="38"/>
      <c r="C14" s="24"/>
      <c r="D14" s="22"/>
      <c r="E14" s="22"/>
      <c r="F14" s="42" t="str">
        <f aca="false">IF(OR(C14="",D14=""),"",C14*D14)</f>
        <v/>
      </c>
      <c r="G14" s="42" t="str">
        <f aca="false">IF(OR(F14="",E14=""),"",F14*E14)</f>
        <v/>
      </c>
      <c r="H14" s="35" t="str">
        <f aca="false">IFERROR(IF(G14&gt;0,B14/G14,""),"")</f>
        <v/>
      </c>
      <c r="I14" s="15" t="str">
        <f aca="false">IFERROR(IF(H14="","",IF('Unit Economics'!$E$13="","set LTV on Unit Economics",IF(H14&lt;='Unit Economics'!$E$13/3,"Fits (LTV/CAC ≥ 3)",IF(H14&lt;='Unit Economics'!$E$13,"Thin","Burns value")))),"")</f>
        <v/>
      </c>
    </row>
    <row r="15" customFormat="false" ht="15" hidden="false" customHeight="false" outlineLevel="0" collapsed="false">
      <c r="A15" s="11"/>
      <c r="B15" s="38"/>
      <c r="C15" s="24"/>
      <c r="D15" s="22"/>
      <c r="E15" s="22"/>
      <c r="F15" s="42" t="str">
        <f aca="false">IF(OR(C15="",D15=""),"",C15*D15)</f>
        <v/>
      </c>
      <c r="G15" s="42" t="str">
        <f aca="false">IF(OR(F15="",E15=""),"",F15*E15)</f>
        <v/>
      </c>
      <c r="H15" s="35" t="str">
        <f aca="false">IFERROR(IF(G15&gt;0,B15/G15,""),"")</f>
        <v/>
      </c>
      <c r="I15" s="15" t="str">
        <f aca="false">IFERROR(IF(H15="","",IF('Unit Economics'!$E$13="","set LTV on Unit Economics",IF(H15&lt;='Unit Economics'!$E$13/3,"Fits (LTV/CAC ≥ 3)",IF(H15&lt;='Unit Economics'!$E$13,"Thin","Burns value")))),"")</f>
        <v/>
      </c>
    </row>
    <row r="16" customFormat="false" ht="15" hidden="false" customHeight="false" outlineLevel="0" collapsed="false">
      <c r="A16" s="11"/>
      <c r="B16" s="38"/>
      <c r="C16" s="24"/>
      <c r="D16" s="22"/>
      <c r="E16" s="22"/>
      <c r="F16" s="42" t="str">
        <f aca="false">IF(OR(C16="",D16=""),"",C16*D16)</f>
        <v/>
      </c>
      <c r="G16" s="42" t="str">
        <f aca="false">IF(OR(F16="",E16=""),"",F16*E16)</f>
        <v/>
      </c>
      <c r="H16" s="35" t="str">
        <f aca="false">IFERROR(IF(G16&gt;0,B16/G16,""),"")</f>
        <v/>
      </c>
      <c r="I16" s="15" t="str">
        <f aca="false">IFERROR(IF(H16="","",IF('Unit Economics'!$E$13="","set LTV on Unit Economics",IF(H16&lt;='Unit Economics'!$E$13/3,"Fits (LTV/CAC ≥ 3)",IF(H16&lt;='Unit Economics'!$E$13,"Thin","Burns value")))),"")</f>
        <v/>
      </c>
    </row>
    <row r="17" customFormat="false" ht="15" hidden="false" customHeight="false" outlineLevel="0" collapsed="false">
      <c r="A17" s="11"/>
      <c r="B17" s="38"/>
      <c r="C17" s="24"/>
      <c r="D17" s="22"/>
      <c r="E17" s="22"/>
      <c r="F17" s="42" t="str">
        <f aca="false">IF(OR(C17="",D17=""),"",C17*D17)</f>
        <v/>
      </c>
      <c r="G17" s="42" t="str">
        <f aca="false">IF(OR(F17="",E17=""),"",F17*E17)</f>
        <v/>
      </c>
      <c r="H17" s="35" t="str">
        <f aca="false">IFERROR(IF(G17&gt;0,B17/G17,""),"")</f>
        <v/>
      </c>
      <c r="I17" s="15" t="str">
        <f aca="false">IFERROR(IF(H17="","",IF('Unit Economics'!$E$13="","set LTV on Unit Economics",IF(H17&lt;='Unit Economics'!$E$13/3,"Fits (LTV/CAC ≥ 3)",IF(H17&lt;='Unit Economics'!$E$13,"Thin","Burns value")))),"")</f>
        <v/>
      </c>
    </row>
    <row r="18" customFormat="false" ht="15" hidden="false" customHeight="false" outlineLevel="0" collapsed="false">
      <c r="A18" s="20" t="s">
        <v>792</v>
      </c>
      <c r="B18" s="48" t="n">
        <f aca="false">SUM(B10:B17)</f>
        <v>3500000</v>
      </c>
      <c r="G18" s="23" t="n">
        <f aca="false">SUM(G10:G17)</f>
        <v>1250</v>
      </c>
      <c r="H18" s="48" t="n">
        <f aca="false">IFERROR(B18/G18,"")</f>
        <v>2800</v>
      </c>
    </row>
    <row r="20" customFormat="false" ht="15" hidden="false" customHeight="false" outlineLevel="0" collapsed="false">
      <c r="A20" s="17" t="s">
        <v>793</v>
      </c>
    </row>
    <row r="21" customFormat="false" ht="30" hidden="false" customHeight="true" outlineLevel="0" collapsed="false">
      <c r="A21" s="12" t="s">
        <v>794</v>
      </c>
      <c r="B21" s="12" t="s">
        <v>795</v>
      </c>
      <c r="C21" s="12" t="s">
        <v>796</v>
      </c>
      <c r="D21" s="12" t="s">
        <v>797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</sheetData>
  <mergeCells count="3">
    <mergeCell ref="B5:I5"/>
    <mergeCell ref="B6:I6"/>
    <mergeCell ref="B7:I7"/>
  </mergeCells>
  <conditionalFormatting sqref="I10:I17">
    <cfRule type="expression" priority="2" aboveAverage="0" equalAverage="0" bottom="0" percent="0" rank="0" text="" dxfId="0">
      <formula>LEFT(I10,4)="Fits"</formula>
    </cfRule>
    <cfRule type="expression" priority="3" aboveAverage="0" equalAverage="0" bottom="0" percent="0" rank="0" text="" dxfId="1">
      <formula>I10="Thin"</formula>
    </cfRule>
    <cfRule type="expression" priority="4" aboveAverage="0" equalAverage="0" bottom="0" percent="0" rank="0" text="" dxfId="2">
      <formula>I10="Burns value"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7" t="s">
        <v>798</v>
      </c>
    </row>
    <row r="2" customFormat="false" ht="15" hidden="false" customHeight="false" outlineLevel="0" collapsed="false">
      <c r="A2" s="3" t="s">
        <v>799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800</v>
      </c>
      <c r="C5" s="12" t="s">
        <v>801</v>
      </c>
      <c r="D5" s="12" t="s">
        <v>783</v>
      </c>
      <c r="E5" s="12" t="s">
        <v>802</v>
      </c>
      <c r="F5" s="12" t="s">
        <v>803</v>
      </c>
      <c r="G5" s="12" t="s">
        <v>804</v>
      </c>
      <c r="H5" s="12" t="s">
        <v>805</v>
      </c>
      <c r="I5" s="12" t="s">
        <v>368</v>
      </c>
      <c r="J5" s="12" t="s">
        <v>806</v>
      </c>
      <c r="K5" s="12" t="s">
        <v>471</v>
      </c>
    </row>
    <row r="6" customFormat="false" ht="15" hidden="false" customHeight="false" outlineLevel="0" collapsed="false">
      <c r="A6" s="11" t="s">
        <v>807</v>
      </c>
      <c r="B6" s="11" t="s">
        <v>808</v>
      </c>
      <c r="C6" s="11" t="s">
        <v>809</v>
      </c>
      <c r="D6" s="24" t="n">
        <v>5000</v>
      </c>
      <c r="E6" s="40" t="n">
        <v>2</v>
      </c>
      <c r="F6" s="31" t="n">
        <v>0.8</v>
      </c>
      <c r="G6" s="28" t="n">
        <v>4</v>
      </c>
      <c r="H6" s="23" t="n">
        <f aca="false">IF(OR(D6="",E6="",F6="",G6="",G6=0),"",D6*E6*F6/G6)</f>
        <v>2000</v>
      </c>
      <c r="I6" s="26" t="n">
        <f aca="false">IF(H6="","",RANK(H6,$H$6:$H$17))</f>
        <v>1</v>
      </c>
      <c r="J6" s="11"/>
      <c r="K6" s="11"/>
    </row>
    <row r="7" customFormat="false" ht="15" hidden="false" customHeight="false" outlineLevel="0" collapsed="false">
      <c r="A7" s="11" t="s">
        <v>810</v>
      </c>
      <c r="B7" s="11" t="s">
        <v>811</v>
      </c>
      <c r="C7" s="11" t="s">
        <v>174</v>
      </c>
      <c r="D7" s="24" t="n">
        <v>20000</v>
      </c>
      <c r="E7" s="40" t="n">
        <v>1</v>
      </c>
      <c r="F7" s="31" t="n">
        <v>0.5</v>
      </c>
      <c r="G7" s="28" t="n">
        <v>6</v>
      </c>
      <c r="H7" s="23" t="n">
        <f aca="false">IF(OR(D7="",E7="",F7="",G7="",G7=0),"",D7*E7*F7/G7)</f>
        <v>1666.66666666667</v>
      </c>
      <c r="I7" s="26" t="n">
        <f aca="false">IF(H7="","",RANK(H7,$H$6:$H$17))</f>
        <v>2</v>
      </c>
      <c r="J7" s="11"/>
      <c r="K7" s="11"/>
    </row>
    <row r="8" customFormat="false" ht="15" hidden="false" customHeight="false" outlineLevel="0" collapsed="false">
      <c r="A8" s="11"/>
      <c r="B8" s="11"/>
      <c r="C8" s="11"/>
      <c r="D8" s="24"/>
      <c r="E8" s="40"/>
      <c r="F8" s="31"/>
      <c r="G8" s="28"/>
      <c r="H8" s="23" t="str">
        <f aca="false">IF(OR(D8="",E8="",F8="",G8="",G8=0),"",D8*E8*F8/G8)</f>
        <v/>
      </c>
      <c r="I8" s="26" t="str">
        <f aca="false">IF(H8="","",RANK(H8,$H$6:$H$17))</f>
        <v/>
      </c>
      <c r="J8" s="11"/>
      <c r="K8" s="11"/>
    </row>
    <row r="9" customFormat="false" ht="15" hidden="false" customHeight="false" outlineLevel="0" collapsed="false">
      <c r="A9" s="11"/>
      <c r="B9" s="11"/>
      <c r="C9" s="11"/>
      <c r="D9" s="24"/>
      <c r="E9" s="40"/>
      <c r="F9" s="31"/>
      <c r="G9" s="28"/>
      <c r="H9" s="23" t="str">
        <f aca="false">IF(OR(D9="",E9="",F9="",G9="",G9=0),"",D9*E9*F9/G9)</f>
        <v/>
      </c>
      <c r="I9" s="26" t="str">
        <f aca="false">IF(H9="","",RANK(H9,$H$6:$H$17))</f>
        <v/>
      </c>
      <c r="J9" s="11"/>
      <c r="K9" s="11"/>
    </row>
    <row r="10" customFormat="false" ht="15" hidden="false" customHeight="false" outlineLevel="0" collapsed="false">
      <c r="A10" s="11"/>
      <c r="B10" s="11"/>
      <c r="C10" s="11"/>
      <c r="D10" s="24"/>
      <c r="E10" s="40"/>
      <c r="F10" s="31"/>
      <c r="G10" s="28"/>
      <c r="H10" s="23" t="str">
        <f aca="false">IF(OR(D10="",E10="",F10="",G10="",G10=0),"",D10*E10*F10/G10)</f>
        <v/>
      </c>
      <c r="I10" s="26" t="str">
        <f aca="false">IF(H10="","",RANK(H10,$H$6:$H$17))</f>
        <v/>
      </c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24"/>
      <c r="E11" s="40"/>
      <c r="F11" s="31"/>
      <c r="G11" s="28"/>
      <c r="H11" s="23" t="str">
        <f aca="false">IF(OR(D11="",E11="",F11="",G11="",G11=0),"",D11*E11*F11/G11)</f>
        <v/>
      </c>
      <c r="I11" s="26" t="str">
        <f aca="false">IF(H11="","",RANK(H11,$H$6:$H$17))</f>
        <v/>
      </c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24"/>
      <c r="E12" s="40"/>
      <c r="F12" s="31"/>
      <c r="G12" s="28"/>
      <c r="H12" s="23" t="str">
        <f aca="false">IF(OR(D12="",E12="",F12="",G12="",G12=0),"",D12*E12*F12/G12)</f>
        <v/>
      </c>
      <c r="I12" s="26" t="str">
        <f aca="false">IF(H12="","",RANK(H12,$H$6:$H$17))</f>
        <v/>
      </c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24"/>
      <c r="E13" s="40"/>
      <c r="F13" s="31"/>
      <c r="G13" s="28"/>
      <c r="H13" s="23" t="str">
        <f aca="false">IF(OR(D13="",E13="",F13="",G13="",G13=0),"",D13*E13*F13/G13)</f>
        <v/>
      </c>
      <c r="I13" s="26" t="str">
        <f aca="false">IF(H13="","",RANK(H13,$H$6:$H$17))</f>
        <v/>
      </c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24"/>
      <c r="E14" s="40"/>
      <c r="F14" s="31"/>
      <c r="G14" s="28"/>
      <c r="H14" s="23" t="str">
        <f aca="false">IF(OR(D14="",E14="",F14="",G14="",G14=0),"",D14*E14*F14/G14)</f>
        <v/>
      </c>
      <c r="I14" s="26" t="str">
        <f aca="false">IF(H14="","",RANK(H14,$H$6:$H$17))</f>
        <v/>
      </c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24"/>
      <c r="E15" s="40"/>
      <c r="F15" s="31"/>
      <c r="G15" s="28"/>
      <c r="H15" s="23" t="str">
        <f aca="false">IF(OR(D15="",E15="",F15="",G15="",G15=0),"",D15*E15*F15/G15)</f>
        <v/>
      </c>
      <c r="I15" s="26" t="str">
        <f aca="false">IF(H15="","",RANK(H15,$H$6:$H$17))</f>
        <v/>
      </c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24"/>
      <c r="E16" s="40"/>
      <c r="F16" s="31"/>
      <c r="G16" s="28"/>
      <c r="H16" s="23" t="str">
        <f aca="false">IF(OR(D16="",E16="",F16="",G16="",G16=0),"",D16*E16*F16/G16)</f>
        <v/>
      </c>
      <c r="I16" s="26" t="str">
        <f aca="false">IF(H16="","",RANK(H16,$H$6:$H$17))</f>
        <v/>
      </c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24"/>
      <c r="E17" s="40"/>
      <c r="F17" s="31"/>
      <c r="G17" s="28"/>
      <c r="H17" s="23" t="str">
        <f aca="false">IF(OR(D17="",E17="",F17="",G17="",G17=0),"",D17*E17*F17/G17)</f>
        <v/>
      </c>
      <c r="I17" s="26" t="str">
        <f aca="false">IF(H17="","",RANK(H17,$H$6:$H$17))</f>
        <v/>
      </c>
      <c r="J17" s="11"/>
      <c r="K17" s="11"/>
    </row>
    <row r="19" customFormat="false" ht="57.45" hidden="false" customHeight="false" outlineLevel="0" collapsed="false">
      <c r="A19" s="20" t="s">
        <v>812</v>
      </c>
      <c r="C19" s="57" t="n">
        <f aca="false">COUNTIFS(B6:B17,"&lt;&gt;",C6:C17,"")</f>
        <v>0</v>
      </c>
    </row>
  </sheetData>
  <dataValidations count="1">
    <dataValidation allowBlank="true" errorStyle="stop" operator="between" showDropDown="false" showErrorMessage="false" showInputMessage="false" sqref="K6:K17" type="list">
      <formula1>"now,next,later,dropped"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9" min="7" style="0" width="12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7" t="s">
        <v>813</v>
      </c>
    </row>
    <row r="2" customFormat="false" ht="15" hidden="false" customHeight="false" outlineLevel="0" collapsed="false">
      <c r="A2" s="3" t="s">
        <v>814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815</v>
      </c>
    </row>
    <row r="6" customFormat="false" ht="30" hidden="false" customHeight="true" outlineLevel="0" collapsed="false">
      <c r="A6" s="12" t="s">
        <v>816</v>
      </c>
      <c r="B6" s="12" t="s">
        <v>817</v>
      </c>
      <c r="C6" s="12" t="s">
        <v>818</v>
      </c>
      <c r="D6" s="12" t="s">
        <v>819</v>
      </c>
      <c r="E6" s="12" t="s">
        <v>435</v>
      </c>
      <c r="F6" s="12" t="s">
        <v>820</v>
      </c>
    </row>
    <row r="7" customFormat="false" ht="15" hidden="false" customHeight="false" outlineLevel="0" collapsed="false">
      <c r="A7" s="11" t="s">
        <v>821</v>
      </c>
      <c r="B7" s="11" t="s">
        <v>822</v>
      </c>
      <c r="C7" s="11" t="s">
        <v>823</v>
      </c>
      <c r="D7" s="11" t="s">
        <v>824</v>
      </c>
      <c r="E7" s="11" t="s">
        <v>825</v>
      </c>
      <c r="F7" s="11" t="s">
        <v>826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4" customFormat="false" ht="15" hidden="false" customHeight="false" outlineLevel="0" collapsed="false">
      <c r="A14" s="17" t="s">
        <v>827</v>
      </c>
    </row>
    <row r="15" customFormat="false" ht="30" hidden="false" customHeight="true" outlineLevel="0" collapsed="false">
      <c r="A15" s="12" t="s">
        <v>828</v>
      </c>
      <c r="B15" s="12"/>
      <c r="C15" s="12"/>
      <c r="D15" s="12"/>
      <c r="E15" s="12"/>
      <c r="F15" s="12"/>
      <c r="G15" s="12" t="s">
        <v>829</v>
      </c>
      <c r="H15" s="12" t="s">
        <v>830</v>
      </c>
      <c r="I15" s="12" t="s">
        <v>831</v>
      </c>
      <c r="J15" s="12" t="s">
        <v>832</v>
      </c>
      <c r="K15" s="12" t="s">
        <v>833</v>
      </c>
    </row>
    <row r="16" customFormat="false" ht="15" hidden="false" customHeight="true" outlineLevel="0" collapsed="false">
      <c r="A16" s="11" t="s">
        <v>834</v>
      </c>
      <c r="B16" s="11"/>
      <c r="C16" s="11"/>
      <c r="D16" s="11"/>
      <c r="E16" s="11"/>
      <c r="F16" s="11"/>
      <c r="G16" s="19" t="n">
        <v>5</v>
      </c>
      <c r="H16" s="19" t="n">
        <v>3</v>
      </c>
      <c r="I16" s="58" t="n">
        <v>-1</v>
      </c>
      <c r="J16" s="16" t="str">
        <f aca="false">IF(OR(G16="",H16=""),"",IF(G16&gt;=3,IF(H16&gt;=3,"Manage closely","Keep satisfied"),IF(H16&gt;=3,"Keep informed","Monitor")))</f>
        <v>Manage closely</v>
      </c>
      <c r="K16" s="11" t="s">
        <v>835</v>
      </c>
    </row>
    <row r="17" customFormat="false" ht="15" hidden="false" customHeight="true" outlineLevel="0" collapsed="false">
      <c r="A17" s="11" t="s">
        <v>836</v>
      </c>
      <c r="B17" s="11"/>
      <c r="C17" s="11"/>
      <c r="D17" s="11"/>
      <c r="E17" s="11"/>
      <c r="F17" s="11"/>
      <c r="G17" s="19" t="n">
        <v>3</v>
      </c>
      <c r="H17" s="19" t="n">
        <v>5</v>
      </c>
      <c r="I17" s="58" t="n">
        <v>1</v>
      </c>
      <c r="J17" s="16" t="str">
        <f aca="false">IF(OR(G17="",H17=""),"",IF(G17&gt;=3,IF(H17&gt;=3,"Manage closely","Keep satisfied"),IF(H17&gt;=3,"Keep informed","Monitor")))</f>
        <v>Manage closely</v>
      </c>
      <c r="K17" s="11" t="s">
        <v>837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9"/>
      <c r="H18" s="19"/>
      <c r="I18" s="58"/>
      <c r="J18" s="16" t="str">
        <f aca="false">IF(OR(G18="",H18=""),"",IF(G18&gt;=3,IF(H18&gt;=3,"Manage closely","Keep satisfied"),IF(H18&gt;=3,"Keep informed","Monitor")))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9"/>
      <c r="H19" s="19"/>
      <c r="I19" s="58"/>
      <c r="J19" s="16" t="str">
        <f aca="false">IF(OR(G19="",H19=""),"",IF(G19&gt;=3,IF(H19&gt;=3,"Manage closely","Keep satisfied"),IF(H19&gt;=3,"Keep informed","Monitor")))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9"/>
      <c r="H20" s="19"/>
      <c r="I20" s="58"/>
      <c r="J20" s="16" t="str">
        <f aca="false">IF(OR(G20="",H20=""),"",IF(G20&gt;=3,IF(H20&gt;=3,"Manage closely","Keep satisfied"),IF(H20&gt;=3,"Keep informed","Monitor")))</f>
        <v/>
      </c>
      <c r="K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9"/>
      <c r="H21" s="19"/>
      <c r="I21" s="58"/>
      <c r="J21" s="16" t="str">
        <f aca="false">IF(OR(G21="",H21=""),"",IF(G21&gt;=3,IF(H21&gt;=3,"Manage closely","Keep satisfied"),IF(H21&gt;=3,"Keep informed","Monitor")))</f>
        <v/>
      </c>
      <c r="K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9"/>
      <c r="H22" s="19"/>
      <c r="I22" s="58"/>
      <c r="J22" s="16" t="str">
        <f aca="false">IF(OR(G22="",H22=""),"",IF(G22&gt;=3,IF(H22&gt;=3,"Manage closely","Keep satisfied"),IF(H22&gt;=3,"Keep informed","Monitor")))</f>
        <v/>
      </c>
      <c r="K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9"/>
      <c r="H23" s="19"/>
      <c r="I23" s="58"/>
      <c r="J23" s="16" t="str">
        <f aca="false">IF(OR(G23="",H23=""),"",IF(G23&gt;=3,IF(H23&gt;=3,"Manage closely","Keep satisfied"),IF(H23&gt;=3,"Keep informed","Monitor")))</f>
        <v/>
      </c>
      <c r="K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9"/>
      <c r="H24" s="19"/>
      <c r="I24" s="58"/>
      <c r="J24" s="16" t="str">
        <f aca="false">IF(OR(G24="",H24=""),"",IF(G24&gt;=3,IF(H24&gt;=3,"Manage closely","Keep satisfied"),IF(H24&gt;=3,"Keep informed","Monitor")))</f>
        <v/>
      </c>
      <c r="K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9"/>
      <c r="H25" s="19"/>
      <c r="I25" s="58"/>
      <c r="J25" s="16" t="str">
        <f aca="false">IF(OR(G25="",H25=""),"",IF(G25&gt;=3,IF(H25&gt;=3,"Manage closely","Keep satisfied"),IF(H25&gt;=3,"Keep informed","Monitor")))</f>
        <v/>
      </c>
      <c r="K25" s="11"/>
    </row>
  </sheetData>
  <mergeCells count="11"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dataValidations count="2">
    <dataValidation allowBlank="true" error="Enter a whole number from 1 to 5." errorStyle="stop" errorTitle="Strat-IQ" operator="between" showDropDown="false" showErrorMessage="false" showInputMessage="false" sqref="G16:H25" type="whole">
      <formula1>1</formula1>
      <formula2>5</formula2>
    </dataValidation>
    <dataValidation allowBlank="true" error="Enter a whole number from -2 to 2." errorStyle="stop" errorTitle="Strat-IQ" operator="between" showDropDown="false" showErrorMessage="false" showInputMessage="false" sqref="I16:I2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19" min="5" style="0" width="3.2"/>
    <col collapsed="false" customWidth="true" hidden="false" outlineLevel="0" max="20" min="20" style="0" width="4"/>
  </cols>
  <sheetData>
    <row r="1" customFormat="false" ht="19.7" hidden="false" customHeight="false" outlineLevel="0" collapsed="false">
      <c r="A1" s="7" t="s">
        <v>838</v>
      </c>
    </row>
    <row r="2" customFormat="false" ht="15" hidden="false" customHeight="false" outlineLevel="0" collapsed="false">
      <c r="A2" s="3" t="s">
        <v>839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840</v>
      </c>
      <c r="B5" s="12" t="s">
        <v>768</v>
      </c>
      <c r="C5" s="12" t="s">
        <v>841</v>
      </c>
      <c r="D5" s="12" t="s">
        <v>842</v>
      </c>
      <c r="E5" s="12" t="s">
        <v>843</v>
      </c>
      <c r="F5" s="12" t="s">
        <v>844</v>
      </c>
      <c r="G5" s="12" t="s">
        <v>845</v>
      </c>
      <c r="H5" s="12" t="s">
        <v>846</v>
      </c>
      <c r="I5" s="12" t="s">
        <v>847</v>
      </c>
      <c r="J5" s="12" t="s">
        <v>848</v>
      </c>
      <c r="K5" s="12" t="s">
        <v>849</v>
      </c>
      <c r="L5" s="12" t="s">
        <v>850</v>
      </c>
      <c r="M5" s="12" t="s">
        <v>851</v>
      </c>
      <c r="N5" s="12" t="s">
        <v>852</v>
      </c>
      <c r="O5" s="12" t="s">
        <v>853</v>
      </c>
      <c r="P5" s="12" t="s">
        <v>854</v>
      </c>
      <c r="Q5" s="12" t="s">
        <v>855</v>
      </c>
      <c r="R5" s="12" t="s">
        <v>856</v>
      </c>
      <c r="S5" s="12" t="s">
        <v>857</v>
      </c>
    </row>
    <row r="6" customFormat="false" ht="15" hidden="false" customHeight="false" outlineLevel="0" collapsed="false">
      <c r="A6" s="11" t="s">
        <v>858</v>
      </c>
      <c r="B6" s="11" t="s">
        <v>824</v>
      </c>
      <c r="C6" s="19" t="n">
        <v>1</v>
      </c>
      <c r="D6" s="19" t="n">
        <v>8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customFormat="false" ht="15" hidden="false" customHeight="false" outlineLevel="0" collapsed="false">
      <c r="A7" s="11" t="s">
        <v>859</v>
      </c>
      <c r="B7" s="11" t="s">
        <v>860</v>
      </c>
      <c r="C7" s="19" t="n">
        <v>4</v>
      </c>
      <c r="D7" s="19" t="n">
        <v>14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customFormat="false" ht="15" hidden="false" customHeight="false" outlineLevel="0" collapsed="false">
      <c r="A8" s="11"/>
      <c r="B8" s="11"/>
      <c r="C8" s="19"/>
      <c r="D8" s="1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" hidden="false" customHeight="false" outlineLevel="0" collapsed="false">
      <c r="A9" s="11"/>
      <c r="B9" s="11"/>
      <c r="C9" s="19"/>
      <c r="D9" s="1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customFormat="false" ht="15" hidden="false" customHeight="false" outlineLevel="0" collapsed="false">
      <c r="A10" s="11"/>
      <c r="B10" s="11"/>
      <c r="C10" s="19"/>
      <c r="D10" s="1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customFormat="false" ht="15" hidden="false" customHeight="false" outlineLevel="0" collapsed="false">
      <c r="A11" s="11"/>
      <c r="B11" s="11"/>
      <c r="C11" s="19"/>
      <c r="D11" s="1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customFormat="false" ht="15" hidden="false" customHeight="false" outlineLevel="0" collapsed="false">
      <c r="A12" s="11"/>
      <c r="B12" s="11"/>
      <c r="C12" s="19"/>
      <c r="D12" s="1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customFormat="false" ht="15" hidden="false" customHeight="false" outlineLevel="0" collapsed="false">
      <c r="A13" s="11"/>
      <c r="B13" s="11"/>
      <c r="C13" s="19"/>
      <c r="D13" s="1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customFormat="false" ht="15" hidden="false" customHeight="false" outlineLevel="0" collapsed="false">
      <c r="A14" s="11"/>
      <c r="B14" s="11"/>
      <c r="C14" s="19"/>
      <c r="D14" s="1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customFormat="false" ht="15" hidden="false" customHeight="false" outlineLevel="0" collapsed="false">
      <c r="A15" s="11"/>
      <c r="B15" s="11"/>
      <c r="C15" s="19"/>
      <c r="D15" s="1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customFormat="false" ht="15" hidden="false" customHeight="false" outlineLevel="0" collapsed="false">
      <c r="A16" s="11"/>
      <c r="B16" s="11"/>
      <c r="C16" s="19"/>
      <c r="D16" s="1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customFormat="false" ht="15" hidden="false" customHeight="false" outlineLevel="0" collapsed="false">
      <c r="A17" s="11"/>
      <c r="B17" s="11"/>
      <c r="C17" s="19"/>
      <c r="D17" s="1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20" customFormat="false" ht="15" hidden="false" customHeight="false" outlineLevel="0" collapsed="false">
      <c r="A20" s="17" t="s">
        <v>861</v>
      </c>
    </row>
    <row r="21" customFormat="false" ht="30" hidden="false" customHeight="true" outlineLevel="0" collapsed="false">
      <c r="A21" s="12" t="s">
        <v>862</v>
      </c>
      <c r="B21" s="12" t="s">
        <v>863</v>
      </c>
      <c r="C21" s="12" t="s">
        <v>864</v>
      </c>
      <c r="D21" s="12" t="s">
        <v>102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7" customFormat="false" ht="15" hidden="false" customHeight="false" outlineLevel="0" collapsed="false">
      <c r="A27" s="11"/>
      <c r="B27" s="11"/>
      <c r="C27" s="11"/>
      <c r="D27" s="11"/>
    </row>
    <row r="29" customFormat="false" ht="15" hidden="false" customHeight="false" outlineLevel="0" collapsed="false">
      <c r="A29" s="17" t="s">
        <v>865</v>
      </c>
    </row>
    <row r="30" customFormat="false" ht="30" hidden="false" customHeight="true" outlineLevel="0" collapsed="false">
      <c r="A30" s="12" t="s">
        <v>866</v>
      </c>
      <c r="B30" s="12" t="s">
        <v>867</v>
      </c>
      <c r="C30" s="12" t="s">
        <v>868</v>
      </c>
      <c r="D30" s="12" t="s">
        <v>869</v>
      </c>
    </row>
    <row r="31" customFormat="false" ht="15" hidden="false" customHeight="false" outlineLevel="0" collapsed="false">
      <c r="A31" s="11"/>
      <c r="B31" s="11"/>
      <c r="C31" s="11"/>
      <c r="D31" s="11"/>
    </row>
    <row r="32" customFormat="false" ht="15" hidden="false" customHeight="false" outlineLevel="0" collapsed="false">
      <c r="A32" s="11"/>
      <c r="B32" s="11"/>
      <c r="C32" s="11"/>
      <c r="D32" s="11"/>
    </row>
    <row r="33" customFormat="false" ht="15" hidden="false" customHeight="false" outlineLevel="0" collapsed="false">
      <c r="A33" s="11"/>
      <c r="B33" s="11"/>
      <c r="C33" s="11"/>
      <c r="D33" s="11"/>
    </row>
    <row r="34" customFormat="false" ht="15" hidden="false" customHeight="false" outlineLevel="0" collapsed="false">
      <c r="A34" s="11"/>
      <c r="B34" s="11"/>
      <c r="C34" s="11"/>
      <c r="D34" s="11"/>
    </row>
  </sheetData>
  <conditionalFormatting sqref="E6:S6">
    <cfRule type="expression" priority="2" aboveAverage="0" equalAverage="0" bottom="0" percent="0" rank="0" text="" dxfId="3">
      <formula>AND(ISNUMBER($C6),ISNUMBER($D6),E$5*1&gt;=$C6,E$5*1&lt;=$D6)</formula>
    </cfRule>
  </conditionalFormatting>
  <conditionalFormatting sqref="E7:S7">
    <cfRule type="expression" priority="3" aboveAverage="0" equalAverage="0" bottom="0" percent="0" rank="0" text="" dxfId="3">
      <formula>AND(ISNUMBER($C7),ISNUMBER($D7),E$5*1&gt;=$C7,E$5*1&lt;=$D7)</formula>
    </cfRule>
  </conditionalFormatting>
  <conditionalFormatting sqref="E8:S8">
    <cfRule type="expression" priority="4" aboveAverage="0" equalAverage="0" bottom="0" percent="0" rank="0" text="" dxfId="3">
      <formula>AND(ISNUMBER($C8),ISNUMBER($D8),E$5*1&gt;=$C8,E$5*1&lt;=$D8)</formula>
    </cfRule>
  </conditionalFormatting>
  <conditionalFormatting sqref="E9:S9">
    <cfRule type="expression" priority="5" aboveAverage="0" equalAverage="0" bottom="0" percent="0" rank="0" text="" dxfId="3">
      <formula>AND(ISNUMBER($C9),ISNUMBER($D9),E$5*1&gt;=$C9,E$5*1&lt;=$D9)</formula>
    </cfRule>
  </conditionalFormatting>
  <conditionalFormatting sqref="E10:S10">
    <cfRule type="expression" priority="6" aboveAverage="0" equalAverage="0" bottom="0" percent="0" rank="0" text="" dxfId="3">
      <formula>AND(ISNUMBER($C10),ISNUMBER($D10),E$5*1&gt;=$C10,E$5*1&lt;=$D10)</formula>
    </cfRule>
  </conditionalFormatting>
  <conditionalFormatting sqref="E11:S11">
    <cfRule type="expression" priority="7" aboveAverage="0" equalAverage="0" bottom="0" percent="0" rank="0" text="" dxfId="3">
      <formula>AND(ISNUMBER($C11),ISNUMBER($D11),E$5*1&gt;=$C11,E$5*1&lt;=$D11)</formula>
    </cfRule>
  </conditionalFormatting>
  <conditionalFormatting sqref="E12:S12">
    <cfRule type="expression" priority="8" aboveAverage="0" equalAverage="0" bottom="0" percent="0" rank="0" text="" dxfId="3">
      <formula>AND(ISNUMBER($C12),ISNUMBER($D12),E$5*1&gt;=$C12,E$5*1&lt;=$D12)</formula>
    </cfRule>
  </conditionalFormatting>
  <conditionalFormatting sqref="E13:S13">
    <cfRule type="expression" priority="9" aboveAverage="0" equalAverage="0" bottom="0" percent="0" rank="0" text="" dxfId="3">
      <formula>AND(ISNUMBER($C13),ISNUMBER($D13),E$5*1&gt;=$C13,E$5*1&lt;=$D13)</formula>
    </cfRule>
  </conditionalFormatting>
  <conditionalFormatting sqref="E14:S14">
    <cfRule type="expression" priority="10" aboveAverage="0" equalAverage="0" bottom="0" percent="0" rank="0" text="" dxfId="3">
      <formula>AND(ISNUMBER($C14),ISNUMBER($D14),E$5*1&gt;=$C14,E$5*1&lt;=$D14)</formula>
    </cfRule>
  </conditionalFormatting>
  <conditionalFormatting sqref="E15:S15">
    <cfRule type="expression" priority="11" aboveAverage="0" equalAverage="0" bottom="0" percent="0" rank="0" text="" dxfId="3">
      <formula>AND(ISNUMBER($C15),ISNUMBER($D15),E$5*1&gt;=$C15,E$5*1&lt;=$D15)</formula>
    </cfRule>
  </conditionalFormatting>
  <conditionalFormatting sqref="E16:S16">
    <cfRule type="expression" priority="12" aboveAverage="0" equalAverage="0" bottom="0" percent="0" rank="0" text="" dxfId="3">
      <formula>AND(ISNUMBER($C16),ISNUMBER($D16),E$5*1&gt;=$C16,E$5*1&lt;=$D16)</formula>
    </cfRule>
  </conditionalFormatting>
  <conditionalFormatting sqref="E17:S17">
    <cfRule type="expression" priority="13" aboveAverage="0" equalAverage="0" bottom="0" percent="0" rank="0" text="" dxfId="3">
      <formula>AND(ISNUMBER($C17),ISNUMBER($D17),E$5*1&gt;=$C17,E$5*1&lt;=$D17)</formula>
    </cfRule>
  </conditionalFormatting>
  <dataValidations count="1">
    <dataValidation allowBlank="true" error="Enter a whole number from 1 to 15." errorStyle="stop" errorTitle="Strat-IQ" operator="between" showDropDown="false" showErrorMessage="false" showInputMessage="false" sqref="C6:D17" type="whole">
      <formula1>1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7" t="s">
        <v>64</v>
      </c>
    </row>
    <row r="2" customFormat="false" ht="15" hidden="false" customHeight="false" outlineLevel="0" collapsed="false">
      <c r="A2" s="3" t="s">
        <v>870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871</v>
      </c>
      <c r="B5" s="12" t="s">
        <v>872</v>
      </c>
      <c r="C5" s="12" t="s">
        <v>873</v>
      </c>
      <c r="D5" s="12" t="s">
        <v>874</v>
      </c>
      <c r="E5" s="12" t="s">
        <v>875</v>
      </c>
      <c r="F5" s="12" t="s">
        <v>102</v>
      </c>
      <c r="G5" s="12" t="s">
        <v>876</v>
      </c>
      <c r="H5" s="12" t="s">
        <v>877</v>
      </c>
      <c r="I5" s="12" t="s">
        <v>471</v>
      </c>
      <c r="J5" s="12" t="s">
        <v>768</v>
      </c>
      <c r="K5" s="12" t="s">
        <v>800</v>
      </c>
      <c r="L5" s="12" t="s">
        <v>801</v>
      </c>
    </row>
    <row r="6" customFormat="false" ht="15" hidden="false" customHeight="false" outlineLevel="0" collapsed="false">
      <c r="A6" s="11" t="s">
        <v>878</v>
      </c>
      <c r="B6" s="11" t="s">
        <v>879</v>
      </c>
      <c r="C6" s="11" t="s">
        <v>880</v>
      </c>
      <c r="D6" s="11" t="s">
        <v>881</v>
      </c>
      <c r="E6" s="11" t="s">
        <v>882</v>
      </c>
      <c r="F6" s="60" t="n">
        <v>13000</v>
      </c>
      <c r="G6" s="60" t="n">
        <v>12400</v>
      </c>
      <c r="H6" s="44" t="n">
        <f aca="false">IF(AND(ISNUMBER(F6),ISNUMBER(G6),F6&lt;&gt;0,G6&lt;&gt;0),IF(E6="Lower",F6/G6,G6/F6),"")</f>
        <v>0.953846153846154</v>
      </c>
      <c r="I6" s="15" t="str">
        <f aca="false">IF(H6="",IF(C6="","","No actual yet"),IF(H6&gt;=1,"On target",IF(H6&gt;=0.9,"Caution","Below plan")))</f>
        <v>Caution</v>
      </c>
      <c r="J6" s="11" t="s">
        <v>883</v>
      </c>
      <c r="K6" s="11" t="s">
        <v>884</v>
      </c>
      <c r="L6" s="11" t="s">
        <v>27</v>
      </c>
    </row>
    <row r="7" customFormat="false" ht="23.85" hidden="false" customHeight="false" outlineLevel="0" collapsed="false">
      <c r="A7" s="11" t="s">
        <v>885</v>
      </c>
      <c r="B7" s="11" t="s">
        <v>886</v>
      </c>
      <c r="C7" s="11" t="s">
        <v>887</v>
      </c>
      <c r="D7" s="11" t="s">
        <v>888</v>
      </c>
      <c r="E7" s="11" t="s">
        <v>882</v>
      </c>
      <c r="F7" s="60" t="n">
        <v>0.95</v>
      </c>
      <c r="G7" s="60" t="n">
        <v>0.97</v>
      </c>
      <c r="H7" s="44" t="n">
        <f aca="false">IF(AND(ISNUMBER(F7),ISNUMBER(G7),F7&lt;&gt;0,G7&lt;&gt;0),IF(E7="Lower",F7/G7,G7/F7),"")</f>
        <v>1.02105263157895</v>
      </c>
      <c r="I7" s="15" t="str">
        <f aca="false">IF(H7="",IF(C7="","","No actual yet"),IF(H7&gt;=1,"On target",IF(H7&gt;=0.9,"Caution","Below plan")))</f>
        <v>On target</v>
      </c>
      <c r="J7" s="11" t="s">
        <v>889</v>
      </c>
      <c r="K7" s="11" t="s">
        <v>890</v>
      </c>
      <c r="L7" s="11" t="s">
        <v>891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60"/>
      <c r="G8" s="60"/>
      <c r="H8" s="44" t="str">
        <f aca="false">IF(AND(ISNUMBER(F8),ISNUMBER(G8),F8&lt;&gt;0,G8&lt;&gt;0),IF(E8="Lower",F8/G8,G8/F8),"")</f>
        <v/>
      </c>
      <c r="I8" s="15" t="str">
        <f aca="false">IF(H8="",IF(C8="","","No actual yet"),IF(H8&gt;=1,"On target",IF(H8&gt;=0.9,"Caution","Below plan")))</f>
        <v/>
      </c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60"/>
      <c r="G9" s="60"/>
      <c r="H9" s="44" t="str">
        <f aca="false">IF(AND(ISNUMBER(F9),ISNUMBER(G9),F9&lt;&gt;0,G9&lt;&gt;0),IF(E9="Lower",F9/G9,G9/F9),"")</f>
        <v/>
      </c>
      <c r="I9" s="15" t="str">
        <f aca="false">IF(H9="",IF(C9="","","No actual yet"),IF(H9&gt;=1,"On target",IF(H9&gt;=0.9,"Caution","Below plan")))</f>
        <v/>
      </c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60"/>
      <c r="G10" s="60"/>
      <c r="H10" s="44" t="str">
        <f aca="false">IF(AND(ISNUMBER(F10),ISNUMBER(G10),F10&lt;&gt;0,G10&lt;&gt;0),IF(E10="Lower",F10/G10,G10/F10),"")</f>
        <v/>
      </c>
      <c r="I10" s="15" t="str">
        <f aca="false">IF(H10="",IF(C10="","","No actual yet"),IF(H10&gt;=1,"On target",IF(H10&gt;=0.9,"Caution","Below plan")))</f>
        <v/>
      </c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60"/>
      <c r="G11" s="60"/>
      <c r="H11" s="44" t="str">
        <f aca="false">IF(AND(ISNUMBER(F11),ISNUMBER(G11),F11&lt;&gt;0,G11&lt;&gt;0),IF(E11="Lower",F11/G11,G11/F11),"")</f>
        <v/>
      </c>
      <c r="I11" s="15" t="str">
        <f aca="false">IF(H11="",IF(C11="","","No actual yet"),IF(H11&gt;=1,"On target",IF(H11&gt;=0.9,"Caution","Below plan")))</f>
        <v/>
      </c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60"/>
      <c r="G12" s="60"/>
      <c r="H12" s="44" t="str">
        <f aca="false">IF(AND(ISNUMBER(F12),ISNUMBER(G12),F12&lt;&gt;0,G12&lt;&gt;0),IF(E12="Lower",F12/G12,G12/F12),"")</f>
        <v/>
      </c>
      <c r="I12" s="15" t="str">
        <f aca="false">IF(H12="",IF(C12="","","No actual yet"),IF(H12&gt;=1,"On target",IF(H12&gt;=0.9,"Caution","Below plan")))</f>
        <v/>
      </c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60"/>
      <c r="G13" s="60"/>
      <c r="H13" s="44" t="str">
        <f aca="false">IF(AND(ISNUMBER(F13),ISNUMBER(G13),F13&lt;&gt;0,G13&lt;&gt;0),IF(E13="Lower",F13/G13,G13/F13),"")</f>
        <v/>
      </c>
      <c r="I13" s="15" t="str">
        <f aca="false">IF(H13="",IF(C13="","","No actual yet"),IF(H13&gt;=1,"On target",IF(H13&gt;=0.9,"Caution","Below plan")))</f>
        <v/>
      </c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60"/>
      <c r="G14" s="60"/>
      <c r="H14" s="44" t="str">
        <f aca="false">IF(AND(ISNUMBER(F14),ISNUMBER(G14),F14&lt;&gt;0,G14&lt;&gt;0),IF(E14="Lower",F14/G14,G14/F14),"")</f>
        <v/>
      </c>
      <c r="I14" s="15" t="str">
        <f aca="false">IF(H14="",IF(C14="","","No actual yet"),IF(H14&gt;=1,"On target",IF(H14&gt;=0.9,"Caution","Below plan")))</f>
        <v/>
      </c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60"/>
      <c r="G15" s="60"/>
      <c r="H15" s="44" t="str">
        <f aca="false">IF(AND(ISNUMBER(F15),ISNUMBER(G15),F15&lt;&gt;0,G15&lt;&gt;0),IF(E15="Lower",F15/G15,G15/F15),"")</f>
        <v/>
      </c>
      <c r="I15" s="15" t="str">
        <f aca="false">IF(H15="",IF(C15="","","No actual yet"),IF(H15&gt;=1,"On target",IF(H15&gt;=0.9,"Caution","Below plan")))</f>
        <v/>
      </c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60"/>
      <c r="G16" s="60"/>
      <c r="H16" s="44" t="str">
        <f aca="false">IF(AND(ISNUMBER(F16),ISNUMBER(G16),F16&lt;&gt;0,G16&lt;&gt;0),IF(E16="Lower",F16/G16,G16/F16),"")</f>
        <v/>
      </c>
      <c r="I16" s="15" t="str">
        <f aca="false">IF(H16="",IF(C16="","","No actual yet"),IF(H16&gt;=1,"On target",IF(H16&gt;=0.9,"Caution","Below plan")))</f>
        <v/>
      </c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60"/>
      <c r="G17" s="60"/>
      <c r="H17" s="44" t="str">
        <f aca="false">IF(AND(ISNUMBER(F17),ISNUMBER(G17),F17&lt;&gt;0,G17&lt;&gt;0),IF(E17="Lower",F17/G17,G17/F17),"")</f>
        <v/>
      </c>
      <c r="I17" s="15" t="str">
        <f aca="false">IF(H17="",IF(C17="","","No actual yet"),IF(H17&gt;=1,"On target",IF(H17&gt;=0.9,"Caution","Below plan")))</f>
        <v/>
      </c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60"/>
      <c r="G18" s="60"/>
      <c r="H18" s="44" t="str">
        <f aca="false">IF(AND(ISNUMBER(F18),ISNUMBER(G18),F18&lt;&gt;0,G18&lt;&gt;0),IF(E18="Lower",F18/G18,G18/F18),"")</f>
        <v/>
      </c>
      <c r="I18" s="15" t="str">
        <f aca="false">IF(H18="",IF(C18="","","No actual yet"),IF(H18&gt;=1,"On target",IF(H18&gt;=0.9,"Caution","Below plan")))</f>
        <v/>
      </c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60"/>
      <c r="G19" s="60"/>
      <c r="H19" s="44" t="str">
        <f aca="false">IF(AND(ISNUMBER(F19),ISNUMBER(G19),F19&lt;&gt;0,G19&lt;&gt;0),IF(E19="Lower",F19/G19,G19/F19),"")</f>
        <v/>
      </c>
      <c r="I19" s="15" t="str">
        <f aca="false">IF(H19="",IF(C19="","","No actual yet"),IF(H19&gt;=1,"On target",IF(H19&gt;=0.9,"Caution","Below plan")))</f>
        <v/>
      </c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60"/>
      <c r="G20" s="60"/>
      <c r="H20" s="44" t="str">
        <f aca="false">IF(AND(ISNUMBER(F20),ISNUMBER(G20),F20&lt;&gt;0,G20&lt;&gt;0),IF(E20="Lower",F20/G20,G20/F20),"")</f>
        <v/>
      </c>
      <c r="I20" s="15" t="str">
        <f aca="false">IF(H20="",IF(C20="","","No actual yet"),IF(H20&gt;=1,"On target",IF(H20&gt;=0.9,"Caution","Below plan")))</f>
        <v/>
      </c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60"/>
      <c r="G21" s="60"/>
      <c r="H21" s="44" t="str">
        <f aca="false">IF(AND(ISNUMBER(F21),ISNUMBER(G21),F21&lt;&gt;0,G21&lt;&gt;0),IF(E21="Lower",F21/G21,G21/F21),"")</f>
        <v/>
      </c>
      <c r="I21" s="15" t="str">
        <f aca="false">IF(H21="",IF(C21="","","No actual yet"),IF(H21&gt;=1,"On target",IF(H21&gt;=0.9,"Caution","Below plan")))</f>
        <v/>
      </c>
      <c r="J21" s="11"/>
      <c r="K21" s="11"/>
      <c r="L21" s="11"/>
    </row>
    <row r="23" customFormat="false" ht="15" hidden="false" customHeight="false" outlineLevel="0" collapsed="false">
      <c r="A23" s="20" t="s">
        <v>892</v>
      </c>
    </row>
    <row r="24" customFormat="false" ht="15" hidden="false" customHeight="false" outlineLevel="0" collapsed="false">
      <c r="B24" s="5" t="s">
        <v>878</v>
      </c>
      <c r="C24" s="26" t="n">
        <f aca="false">COUNTIFS($A$6:$A$21,B24,$C$6:$C$21,"&lt;&gt;")</f>
        <v>1</v>
      </c>
      <c r="D24" s="15" t="str">
        <f aca="false">IF(C24=0,"Add a measure","OK")</f>
        <v>OK</v>
      </c>
    </row>
    <row r="25" customFormat="false" ht="23.85" hidden="false" customHeight="false" outlineLevel="0" collapsed="false">
      <c r="B25" s="5" t="s">
        <v>893</v>
      </c>
      <c r="C25" s="26" t="n">
        <f aca="false">COUNTIFS($A$6:$A$21,B25,$C$6:$C$21,"&lt;&gt;")</f>
        <v>0</v>
      </c>
      <c r="D25" s="15" t="str">
        <f aca="false">IF(C25=0,"Add a measure","OK")</f>
        <v>Add a measure</v>
      </c>
    </row>
    <row r="26" customFormat="false" ht="15" hidden="false" customHeight="false" outlineLevel="0" collapsed="false">
      <c r="B26" s="5" t="s">
        <v>885</v>
      </c>
      <c r="C26" s="26" t="n">
        <f aca="false">COUNTIFS($A$6:$A$21,B26,$C$6:$C$21,"&lt;&gt;")</f>
        <v>1</v>
      </c>
      <c r="D26" s="15" t="str">
        <f aca="false">IF(C26=0,"Add a measure","OK")</f>
        <v>OK</v>
      </c>
    </row>
    <row r="27" customFormat="false" ht="23.85" hidden="false" customHeight="false" outlineLevel="0" collapsed="false">
      <c r="B27" s="5" t="s">
        <v>894</v>
      </c>
      <c r="C27" s="26" t="n">
        <f aca="false">COUNTIFS($A$6:$A$21,B27,$C$6:$C$21,"&lt;&gt;")</f>
        <v>0</v>
      </c>
      <c r="D27" s="15" t="str">
        <f aca="false">IF(C27=0,"Add a measure","OK")</f>
        <v>Add a measure</v>
      </c>
    </row>
    <row r="29" customFormat="false" ht="15" hidden="false" customHeight="false" outlineLevel="0" collapsed="false">
      <c r="B29" s="5" t="s">
        <v>895</v>
      </c>
      <c r="C29" s="26" t="n">
        <f aca="false">COUNTA(C6:C21)</f>
        <v>2</v>
      </c>
    </row>
    <row r="30" customFormat="false" ht="15" hidden="false" customHeight="false" outlineLevel="0" collapsed="false">
      <c r="B30" s="5" t="s">
        <v>896</v>
      </c>
      <c r="C30" s="44" t="n">
        <f aca="false">IF(C29=0,"",COUNTIFS(D6:D21,"Leading",C6:C21,"&lt;&gt;")/C29)</f>
        <v>0.5</v>
      </c>
      <c r="D30" s="15" t="str">
        <f aca="false">IF(C30="","",IF(C30&gt;=1/3,"OK","Add leading measures"))</f>
        <v>OK</v>
      </c>
    </row>
    <row r="31" customFormat="false" ht="15" hidden="false" customHeight="false" outlineLevel="0" collapsed="false">
      <c r="B31" s="5" t="s">
        <v>897</v>
      </c>
      <c r="C31" s="26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7" t="s">
        <v>66</v>
      </c>
    </row>
    <row r="2" customFormat="false" ht="15" hidden="false" customHeight="false" outlineLevel="0" collapsed="false">
      <c r="A2" s="3" t="s">
        <v>898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273</v>
      </c>
      <c r="B5" s="12" t="s">
        <v>871</v>
      </c>
      <c r="C5" s="12" t="s">
        <v>872</v>
      </c>
      <c r="D5" s="12" t="s">
        <v>899</v>
      </c>
      <c r="E5" s="12" t="s">
        <v>900</v>
      </c>
    </row>
    <row r="6" customFormat="false" ht="15" hidden="false" customHeight="false" outlineLevel="0" collapsed="false">
      <c r="A6" s="11" t="s">
        <v>901</v>
      </c>
      <c r="B6" s="11" t="s">
        <v>878</v>
      </c>
      <c r="C6" s="11" t="s">
        <v>879</v>
      </c>
      <c r="D6" s="11"/>
      <c r="E6" s="15" t="str">
        <f aca="false">IF(A6="","",IF(AND(B6&lt;&gt;"Financial",D6=""),"Drives nothing",IF(AND(B6&lt;&gt;"Learning and growth",COUNTIF($D$6:$D$21,"*"&amp;A6&amp;"*")=0),"Nothing drives it","OK")))</f>
        <v>OK</v>
      </c>
    </row>
    <row r="7" customFormat="false" ht="15" hidden="false" customHeight="false" outlineLevel="0" collapsed="false">
      <c r="A7" s="11" t="s">
        <v>463</v>
      </c>
      <c r="B7" s="11" t="s">
        <v>893</v>
      </c>
      <c r="C7" s="11" t="s">
        <v>902</v>
      </c>
      <c r="D7" s="11" t="s">
        <v>901</v>
      </c>
      <c r="E7" s="15" t="str">
        <f aca="false">IF(A7="","",IF(AND(B7&lt;&gt;"Financial",D7=""),"Drives nothing",IF(AND(B7&lt;&gt;"Learning and growth",COUNTIF($D$6:$D$21,"*"&amp;A7&amp;"*")=0),"Nothing drives it","OK")))</f>
        <v>OK</v>
      </c>
    </row>
    <row r="8" customFormat="false" ht="15" hidden="false" customHeight="false" outlineLevel="0" collapsed="false">
      <c r="A8" s="11" t="s">
        <v>807</v>
      </c>
      <c r="B8" s="11" t="s">
        <v>885</v>
      </c>
      <c r="C8" s="11" t="s">
        <v>886</v>
      </c>
      <c r="D8" s="11" t="s">
        <v>463</v>
      </c>
      <c r="E8" s="15" t="str">
        <f aca="false">IF(A8="","",IF(AND(B8&lt;&gt;"Financial",D8=""),"Drives nothing",IF(AND(B8&lt;&gt;"Learning and growth",COUNTIF($D$6:$D$21,"*"&amp;A8&amp;"*")=0),"Nothing drives it","OK")))</f>
        <v>OK</v>
      </c>
    </row>
    <row r="9" customFormat="false" ht="15" hidden="false" customHeight="false" outlineLevel="0" collapsed="false">
      <c r="A9" s="11" t="s">
        <v>903</v>
      </c>
      <c r="B9" s="11" t="s">
        <v>894</v>
      </c>
      <c r="C9" s="11" t="s">
        <v>904</v>
      </c>
      <c r="D9" s="11" t="s">
        <v>807</v>
      </c>
      <c r="E9" s="15" t="str">
        <f aca="false">IF(A9="","",IF(AND(B9&lt;&gt;"Financial",D9=""),"Drives nothing",IF(AND(B9&lt;&gt;"Learning and growth",COUNTIF($D$6:$D$21,"*"&amp;A9&amp;"*")=0),"Nothing drives it","OK")))</f>
        <v>OK</v>
      </c>
    </row>
    <row r="10" customFormat="false" ht="15" hidden="false" customHeight="false" outlineLevel="0" collapsed="false">
      <c r="A10" s="11"/>
      <c r="B10" s="11"/>
      <c r="C10" s="11"/>
      <c r="D10" s="11"/>
      <c r="E10" s="15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5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5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5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5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5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5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5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5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5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5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5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7" t="s">
        <v>905</v>
      </c>
    </row>
    <row r="2" customFormat="false" ht="15" hidden="false" customHeight="false" outlineLevel="0" collapsed="false">
      <c r="A2" s="3" t="s">
        <v>906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221</v>
      </c>
      <c r="B5" s="12" t="s">
        <v>907</v>
      </c>
      <c r="C5" s="12" t="s">
        <v>908</v>
      </c>
      <c r="D5" s="12" t="s">
        <v>909</v>
      </c>
      <c r="E5" s="12" t="s">
        <v>910</v>
      </c>
      <c r="F5" s="12" t="s">
        <v>911</v>
      </c>
      <c r="G5" s="12" t="s">
        <v>912</v>
      </c>
    </row>
    <row r="6" customFormat="false" ht="15" hidden="false" customHeight="false" outlineLevel="0" collapsed="false">
      <c r="A6" s="11" t="s">
        <v>913</v>
      </c>
      <c r="B6" s="11" t="s">
        <v>914</v>
      </c>
      <c r="C6" s="38" t="n">
        <v>279</v>
      </c>
      <c r="D6" s="28" t="n">
        <v>4.2</v>
      </c>
      <c r="E6" s="28" t="n">
        <v>14</v>
      </c>
      <c r="F6" s="19" t="n">
        <v>5</v>
      </c>
      <c r="G6" s="15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>Premium differentiator</v>
      </c>
    </row>
    <row r="7" customFormat="false" ht="15" hidden="false" customHeight="false" outlineLevel="0" collapsed="false">
      <c r="A7" s="11" t="s">
        <v>915</v>
      </c>
      <c r="B7" s="11" t="s">
        <v>914</v>
      </c>
      <c r="C7" s="38" t="n">
        <v>239</v>
      </c>
      <c r="D7" s="28" t="n">
        <v>3.4</v>
      </c>
      <c r="E7" s="28" t="n">
        <v>16.5</v>
      </c>
      <c r="F7" s="19" t="n">
        <v>4</v>
      </c>
      <c r="G7" s="15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>Low-cost / economy</v>
      </c>
    </row>
    <row r="8" customFormat="false" ht="15" hidden="false" customHeight="false" outlineLevel="0" collapsed="false">
      <c r="A8" s="11" t="s">
        <v>916</v>
      </c>
      <c r="B8" s="11" t="s">
        <v>914</v>
      </c>
      <c r="C8" s="38" t="n">
        <v>264</v>
      </c>
      <c r="D8" s="28" t="n">
        <v>4</v>
      </c>
      <c r="E8" s="28" t="n">
        <v>12</v>
      </c>
      <c r="F8" s="19" t="n">
        <v>5</v>
      </c>
      <c r="G8" s="15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>Low-cost / economy</v>
      </c>
    </row>
    <row r="9" customFormat="false" ht="15" hidden="false" customHeight="false" outlineLevel="0" collapsed="false">
      <c r="A9" s="11" t="s">
        <v>917</v>
      </c>
      <c r="B9" s="11" t="s">
        <v>914</v>
      </c>
      <c r="C9" s="38" t="n">
        <v>319</v>
      </c>
      <c r="D9" s="28" t="n">
        <v>5.1</v>
      </c>
      <c r="E9" s="28" t="n">
        <v>11</v>
      </c>
      <c r="F9" s="19" t="n">
        <v>6</v>
      </c>
      <c r="G9" s="15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>Premium differentiator</v>
      </c>
    </row>
    <row r="10" customFormat="false" ht="15" hidden="false" customHeight="false" outlineLevel="0" collapsed="false">
      <c r="A10" s="11" t="s">
        <v>918</v>
      </c>
      <c r="B10" s="11" t="s">
        <v>914</v>
      </c>
      <c r="C10" s="38" t="n">
        <v>299</v>
      </c>
      <c r="D10" s="28" t="n">
        <v>3.6</v>
      </c>
      <c r="E10" s="28" t="n">
        <v>9.5</v>
      </c>
      <c r="F10" s="19" t="n">
        <v>5</v>
      </c>
      <c r="G10" s="15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>Stuck in the middle</v>
      </c>
    </row>
    <row r="11" customFormat="false" ht="15" hidden="false" customHeight="false" outlineLevel="0" collapsed="false">
      <c r="A11" s="11"/>
      <c r="B11" s="11"/>
      <c r="C11" s="38"/>
      <c r="D11" s="28"/>
      <c r="E11" s="28"/>
      <c r="F11" s="19"/>
      <c r="G11" s="15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11"/>
      <c r="B12" s="11"/>
      <c r="C12" s="38"/>
      <c r="D12" s="28"/>
      <c r="E12" s="28"/>
      <c r="F12" s="19"/>
      <c r="G12" s="15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11"/>
      <c r="B13" s="11"/>
      <c r="C13" s="38"/>
      <c r="D13" s="28"/>
      <c r="E13" s="28"/>
      <c r="F13" s="19"/>
      <c r="G13" s="15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11"/>
      <c r="B14" s="11"/>
      <c r="C14" s="38"/>
      <c r="D14" s="28"/>
      <c r="E14" s="28"/>
      <c r="F14" s="19"/>
      <c r="G14" s="15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11"/>
      <c r="B15" s="11"/>
      <c r="C15" s="38"/>
      <c r="D15" s="28"/>
      <c r="E15" s="28"/>
      <c r="F15" s="19"/>
      <c r="G15" s="15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11"/>
      <c r="B16" s="11"/>
      <c r="C16" s="38"/>
      <c r="D16" s="28"/>
      <c r="E16" s="28"/>
      <c r="F16" s="19"/>
      <c r="G16" s="15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11"/>
      <c r="B17" s="11"/>
      <c r="C17" s="38"/>
      <c r="D17" s="28"/>
      <c r="E17" s="28"/>
      <c r="F17" s="19"/>
      <c r="G17" s="15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11"/>
      <c r="B18" s="11"/>
      <c r="C18" s="38"/>
      <c r="D18" s="28"/>
      <c r="E18" s="28"/>
      <c r="F18" s="19"/>
      <c r="G18" s="15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11"/>
      <c r="B19" s="11"/>
      <c r="C19" s="38"/>
      <c r="D19" s="28"/>
      <c r="E19" s="28"/>
      <c r="F19" s="19"/>
      <c r="G19" s="15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11"/>
      <c r="B20" s="11"/>
      <c r="C20" s="38"/>
      <c r="D20" s="28"/>
      <c r="E20" s="28"/>
      <c r="F20" s="19"/>
      <c r="G20" s="15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11"/>
      <c r="B21" s="11"/>
      <c r="C21" s="38"/>
      <c r="D21" s="28"/>
      <c r="E21" s="28"/>
      <c r="F21" s="19"/>
      <c r="G21" s="15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11"/>
      <c r="B22" s="11"/>
      <c r="C22" s="38"/>
      <c r="D22" s="28"/>
      <c r="E22" s="28"/>
      <c r="F22" s="19"/>
      <c r="G22" s="15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11"/>
      <c r="B23" s="11"/>
      <c r="C23" s="38"/>
      <c r="D23" s="28"/>
      <c r="E23" s="28"/>
      <c r="F23" s="19"/>
      <c r="G23" s="15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11"/>
      <c r="B24" s="11"/>
      <c r="C24" s="38"/>
      <c r="D24" s="28"/>
      <c r="E24" s="28"/>
      <c r="F24" s="19"/>
      <c r="G24" s="15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11"/>
      <c r="B25" s="11"/>
      <c r="C25" s="38"/>
      <c r="D25" s="28"/>
      <c r="E25" s="28"/>
      <c r="F25" s="19"/>
      <c r="G25" s="15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11"/>
      <c r="B26" s="11"/>
      <c r="C26" s="38"/>
      <c r="D26" s="28"/>
      <c r="E26" s="28"/>
      <c r="F26" s="19"/>
      <c r="G26" s="15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11"/>
      <c r="B27" s="11"/>
      <c r="C27" s="38"/>
      <c r="D27" s="28"/>
      <c r="E27" s="28"/>
      <c r="F27" s="19"/>
      <c r="G27" s="15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11"/>
      <c r="B28" s="11"/>
      <c r="C28" s="38"/>
      <c r="D28" s="28"/>
      <c r="E28" s="28"/>
      <c r="F28" s="19"/>
      <c r="G28" s="15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11"/>
      <c r="B29" s="11"/>
      <c r="C29" s="38"/>
      <c r="D29" s="28"/>
      <c r="E29" s="28"/>
      <c r="F29" s="19"/>
      <c r="G29" s="15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20" t="s">
        <v>919</v>
      </c>
      <c r="C31" s="20" t="s">
        <v>439</v>
      </c>
      <c r="D31" s="20" t="s">
        <v>920</v>
      </c>
    </row>
    <row r="32" customFormat="false" ht="15" hidden="false" customHeight="false" outlineLevel="0" collapsed="false">
      <c r="A32" s="5" t="s">
        <v>914</v>
      </c>
      <c r="C32" s="35" t="n">
        <f aca="false">IFERROR(SUMPRODUCT(($B$6:$B$29="Camera")*$C$6:$C$29*$E$6:$E$29)/SUMIF($B$6:$B$29,"Camera",$E$6:$E$29),"")</f>
        <v>275.666666666667</v>
      </c>
      <c r="D32" s="47" t="n">
        <f aca="false">IFERROR(SUMPRODUCT(($B$6:$B$29="Camera")*$D$6:$D$29*$E$6:$E$29)/SUMIF($B$6:$B$29,"Camera",$E$6:$E$29),"")</f>
        <v>4.01904761904762</v>
      </c>
    </row>
    <row r="33" customFormat="false" ht="15" hidden="false" customHeight="false" outlineLevel="0" collapsed="false">
      <c r="A33" s="5" t="s">
        <v>921</v>
      </c>
      <c r="C33" s="35" t="str">
        <f aca="false">IFERROR(SUMPRODUCT(($B$6:$B$29="Drone")*$C$6:$C$29*$E$6:$E$29)/SUMIF($B$6:$B$29,"Drone",$E$6:$E$29),"")</f>
        <v/>
      </c>
      <c r="D33" s="47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7" t="s">
        <v>922</v>
      </c>
    </row>
    <row r="2" customFormat="false" ht="15" hidden="false" customHeight="false" outlineLevel="0" collapsed="false">
      <c r="A2" s="3" t="s">
        <v>923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4" t="s">
        <v>924</v>
      </c>
      <c r="D4" s="31" t="n">
        <v>0.15</v>
      </c>
    </row>
    <row r="5" customFormat="false" ht="30" hidden="false" customHeight="true" outlineLevel="0" collapsed="false">
      <c r="A5" s="12" t="s">
        <v>925</v>
      </c>
      <c r="B5" s="12" t="s">
        <v>926</v>
      </c>
      <c r="C5" s="12" t="s">
        <v>816</v>
      </c>
      <c r="D5" s="12" t="s">
        <v>198</v>
      </c>
      <c r="E5" s="12" t="s">
        <v>95</v>
      </c>
      <c r="F5" s="12" t="s">
        <v>927</v>
      </c>
      <c r="G5" s="12" t="s">
        <v>928</v>
      </c>
      <c r="H5" s="12" t="s">
        <v>929</v>
      </c>
      <c r="I5" s="12" t="s">
        <v>930</v>
      </c>
      <c r="J5" s="12" t="s">
        <v>931</v>
      </c>
      <c r="K5" s="12" t="s">
        <v>932</v>
      </c>
      <c r="L5" s="12" t="s">
        <v>933</v>
      </c>
      <c r="M5" s="12" t="s">
        <v>934</v>
      </c>
      <c r="N5" s="12" t="s">
        <v>935</v>
      </c>
    </row>
    <row r="6" customFormat="false" ht="15" hidden="false" customHeight="false" outlineLevel="0" collapsed="false">
      <c r="A6" s="61" t="s">
        <v>936</v>
      </c>
      <c r="B6" s="20" t="s">
        <v>937</v>
      </c>
      <c r="C6" s="5" t="s">
        <v>938</v>
      </c>
      <c r="D6" s="5" t="s">
        <v>939</v>
      </c>
      <c r="E6" s="11" t="s">
        <v>940</v>
      </c>
      <c r="F6" s="11" t="s">
        <v>940</v>
      </c>
      <c r="G6" s="11"/>
      <c r="H6" s="11"/>
      <c r="I6" s="11"/>
      <c r="J6" s="11"/>
      <c r="K6" s="11"/>
      <c r="L6" s="11"/>
      <c r="M6" s="11"/>
      <c r="N6" s="11"/>
    </row>
    <row r="7" customFormat="false" ht="23.85" hidden="false" customHeight="false" outlineLevel="0" collapsed="false">
      <c r="A7" s="61" t="s">
        <v>941</v>
      </c>
      <c r="B7" s="20"/>
      <c r="C7" s="5" t="s">
        <v>942</v>
      </c>
      <c r="D7" s="5" t="s">
        <v>939</v>
      </c>
      <c r="E7" s="11" t="s">
        <v>943</v>
      </c>
      <c r="F7" s="11" t="s">
        <v>943</v>
      </c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61" t="s">
        <v>944</v>
      </c>
      <c r="B8" s="20" t="s">
        <v>945</v>
      </c>
      <c r="C8" s="5" t="s">
        <v>946</v>
      </c>
      <c r="D8" s="5" t="s">
        <v>947</v>
      </c>
      <c r="E8" s="28"/>
      <c r="F8" s="28"/>
      <c r="G8" s="28"/>
      <c r="H8" s="28"/>
      <c r="I8" s="28"/>
      <c r="J8" s="28"/>
      <c r="K8" s="28"/>
      <c r="L8" s="28"/>
      <c r="M8" s="28"/>
      <c r="N8" s="28"/>
    </row>
    <row r="9" customFormat="false" ht="15" hidden="false" customHeight="false" outlineLevel="0" collapsed="false">
      <c r="A9" s="61" t="s">
        <v>948</v>
      </c>
      <c r="B9" s="20"/>
      <c r="C9" s="5" t="s">
        <v>949</v>
      </c>
      <c r="D9" s="5" t="s">
        <v>947</v>
      </c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61" t="s">
        <v>950</v>
      </c>
      <c r="B10" s="20"/>
      <c r="C10" s="5" t="s">
        <v>951</v>
      </c>
      <c r="D10" s="5" t="s">
        <v>952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61" t="s">
        <v>953</v>
      </c>
      <c r="B11" s="20"/>
      <c r="C11" s="5" t="s">
        <v>954</v>
      </c>
      <c r="D11" s="5" t="s">
        <v>952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customFormat="false" ht="15" hidden="false" customHeight="false" outlineLevel="0" collapsed="false">
      <c r="A12" s="61" t="s">
        <v>955</v>
      </c>
      <c r="B12" s="20"/>
      <c r="C12" s="5" t="s">
        <v>956</v>
      </c>
      <c r="D12" s="5" t="s">
        <v>957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false" outlineLevel="0" collapsed="false">
      <c r="A13" s="61" t="s">
        <v>958</v>
      </c>
      <c r="B13" s="20"/>
      <c r="C13" s="5" t="s">
        <v>959</v>
      </c>
      <c r="D13" s="5" t="s">
        <v>957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5" hidden="false" customHeight="false" outlineLevel="0" collapsed="false">
      <c r="A14" s="61" t="s">
        <v>960</v>
      </c>
      <c r="B14" s="20" t="s">
        <v>961</v>
      </c>
      <c r="C14" s="5" t="s">
        <v>962</v>
      </c>
      <c r="D14" s="5" t="s">
        <v>613</v>
      </c>
      <c r="E14" s="62" t="n">
        <v>264</v>
      </c>
      <c r="F14" s="62" t="n">
        <v>249</v>
      </c>
      <c r="G14" s="62"/>
      <c r="H14" s="62"/>
      <c r="I14" s="62"/>
      <c r="J14" s="62"/>
      <c r="K14" s="62"/>
      <c r="L14" s="62"/>
      <c r="M14" s="62"/>
      <c r="N14" s="62"/>
    </row>
    <row r="15" customFormat="false" ht="15" hidden="false" customHeight="false" outlineLevel="0" collapsed="false">
      <c r="A15" s="61" t="s">
        <v>963</v>
      </c>
      <c r="B15" s="20"/>
      <c r="C15" s="5" t="s">
        <v>964</v>
      </c>
      <c r="D15" s="5" t="s">
        <v>613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</row>
    <row r="16" customFormat="false" ht="15" hidden="false" customHeight="false" outlineLevel="0" collapsed="false">
      <c r="A16" s="61" t="s">
        <v>965</v>
      </c>
      <c r="B16" s="20"/>
      <c r="C16" s="5" t="s">
        <v>966</v>
      </c>
      <c r="D16" s="5" t="s">
        <v>613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customFormat="false" ht="15" hidden="false" customHeight="false" outlineLevel="0" collapsed="false">
      <c r="A17" s="61" t="s">
        <v>967</v>
      </c>
      <c r="B17" s="20"/>
      <c r="C17" s="5" t="s">
        <v>968</v>
      </c>
      <c r="D17" s="5" t="s">
        <v>613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</row>
    <row r="18" customFormat="false" ht="15" hidden="false" customHeight="false" outlineLevel="0" collapsed="false">
      <c r="A18" s="61" t="s">
        <v>969</v>
      </c>
      <c r="B18" s="20"/>
      <c r="C18" s="5" t="s">
        <v>970</v>
      </c>
      <c r="D18" s="5" t="s">
        <v>613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customFormat="false" ht="15" hidden="false" customHeight="false" outlineLevel="0" collapsed="false">
      <c r="A19" s="61" t="s">
        <v>971</v>
      </c>
      <c r="B19" s="20"/>
      <c r="C19" s="5" t="s">
        <v>972</v>
      </c>
      <c r="D19" s="5" t="s">
        <v>613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customFormat="false" ht="15" hidden="false" customHeight="false" outlineLevel="0" collapsed="false">
      <c r="A20" s="61" t="s">
        <v>973</v>
      </c>
      <c r="B20" s="20"/>
      <c r="C20" s="5" t="s">
        <v>974</v>
      </c>
      <c r="D20" s="5" t="s">
        <v>613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</row>
    <row r="21" customFormat="false" ht="15" hidden="false" customHeight="false" outlineLevel="0" collapsed="false">
      <c r="A21" s="61" t="s">
        <v>975</v>
      </c>
      <c r="B21" s="20"/>
      <c r="C21" s="5" t="s">
        <v>976</v>
      </c>
      <c r="D21" s="5" t="s">
        <v>613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</row>
    <row r="22" customFormat="false" ht="15" hidden="false" customHeight="false" outlineLevel="0" collapsed="false">
      <c r="A22" s="61" t="s">
        <v>977</v>
      </c>
      <c r="B22" s="20"/>
      <c r="C22" s="5" t="s">
        <v>978</v>
      </c>
      <c r="D22" s="5" t="s">
        <v>957</v>
      </c>
      <c r="E22" s="24" t="n">
        <v>7500</v>
      </c>
      <c r="F22" s="24" t="n">
        <v>6800</v>
      </c>
      <c r="G22" s="24"/>
      <c r="H22" s="24"/>
      <c r="I22" s="24"/>
      <c r="J22" s="24"/>
      <c r="K22" s="24"/>
      <c r="L22" s="24"/>
      <c r="M22" s="24"/>
      <c r="N22" s="24"/>
    </row>
    <row r="23" customFormat="false" ht="15" hidden="false" customHeight="false" outlineLevel="0" collapsed="false">
      <c r="A23" s="61" t="s">
        <v>979</v>
      </c>
      <c r="B23" s="20"/>
      <c r="C23" s="5" t="s">
        <v>980</v>
      </c>
      <c r="D23" s="5" t="s">
        <v>957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customFormat="false" ht="15" hidden="false" customHeight="false" outlineLevel="0" collapsed="false">
      <c r="A24" s="61" t="s">
        <v>981</v>
      </c>
      <c r="B24" s="20"/>
      <c r="C24" s="5" t="s">
        <v>982</v>
      </c>
      <c r="D24" s="5" t="s">
        <v>957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A25" s="61" t="s">
        <v>983</v>
      </c>
      <c r="B25" s="20"/>
      <c r="C25" s="5" t="s">
        <v>984</v>
      </c>
      <c r="D25" s="5" t="s">
        <v>957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customFormat="false" ht="15" hidden="false" customHeight="false" outlineLevel="0" collapsed="false">
      <c r="A26" s="61" t="s">
        <v>985</v>
      </c>
      <c r="B26" s="20"/>
      <c r="C26" s="5" t="s">
        <v>986</v>
      </c>
      <c r="D26" s="5" t="s">
        <v>957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customFormat="false" ht="15" hidden="false" customHeight="false" outlineLevel="0" collapsed="false">
      <c r="A27" s="61" t="s">
        <v>987</v>
      </c>
      <c r="B27" s="20"/>
      <c r="C27" s="5" t="s">
        <v>988</v>
      </c>
      <c r="D27" s="5" t="s">
        <v>957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customFormat="false" ht="15" hidden="false" customHeight="false" outlineLevel="0" collapsed="false">
      <c r="A28" s="61" t="s">
        <v>989</v>
      </c>
      <c r="B28" s="20"/>
      <c r="C28" s="5" t="s">
        <v>990</v>
      </c>
      <c r="D28" s="5" t="s">
        <v>957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15" hidden="false" customHeight="false" outlineLevel="0" collapsed="false">
      <c r="A29" s="61" t="s">
        <v>991</v>
      </c>
      <c r="B29" s="20"/>
      <c r="C29" s="5" t="s">
        <v>992</v>
      </c>
      <c r="D29" s="5" t="s">
        <v>957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customFormat="false" ht="23.85" hidden="false" customHeight="false" outlineLevel="0" collapsed="false">
      <c r="A30" s="61" t="s">
        <v>993</v>
      </c>
      <c r="B30" s="20"/>
      <c r="C30" s="5" t="s">
        <v>994</v>
      </c>
      <c r="D30" s="5" t="s">
        <v>995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3.85" hidden="false" customHeight="false" outlineLevel="0" collapsed="false">
      <c r="A31" s="61" t="s">
        <v>996</v>
      </c>
      <c r="B31" s="20"/>
      <c r="C31" s="5" t="s">
        <v>997</v>
      </c>
      <c r="D31" s="5" t="s">
        <v>995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23.85" hidden="false" customHeight="false" outlineLevel="0" collapsed="false">
      <c r="A32" s="61" t="s">
        <v>998</v>
      </c>
      <c r="B32" s="20"/>
      <c r="C32" s="5" t="s">
        <v>999</v>
      </c>
      <c r="D32" s="5" t="s">
        <v>995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23.85" hidden="false" customHeight="false" outlineLevel="0" collapsed="false">
      <c r="A33" s="61" t="s">
        <v>1000</v>
      </c>
      <c r="B33" s="20"/>
      <c r="C33" s="5" t="s">
        <v>1001</v>
      </c>
      <c r="D33" s="5" t="s">
        <v>995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23.85" hidden="false" customHeight="false" outlineLevel="0" collapsed="false">
      <c r="A34" s="61" t="s">
        <v>1002</v>
      </c>
      <c r="B34" s="20"/>
      <c r="C34" s="5" t="s">
        <v>1003</v>
      </c>
      <c r="D34" s="5" t="s">
        <v>995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23.85" hidden="false" customHeight="false" outlineLevel="0" collapsed="false">
      <c r="A35" s="61" t="s">
        <v>1004</v>
      </c>
      <c r="B35" s="20"/>
      <c r="C35" s="5" t="s">
        <v>1005</v>
      </c>
      <c r="D35" s="5" t="s">
        <v>995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23.85" hidden="false" customHeight="false" outlineLevel="0" collapsed="false">
      <c r="A36" s="61" t="s">
        <v>1006</v>
      </c>
      <c r="B36" s="20"/>
      <c r="C36" s="5" t="s">
        <v>1007</v>
      </c>
      <c r="D36" s="5" t="s">
        <v>995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23.85" hidden="false" customHeight="false" outlineLevel="0" collapsed="false">
      <c r="A37" s="61" t="s">
        <v>1008</v>
      </c>
      <c r="B37" s="20"/>
      <c r="C37" s="5" t="s">
        <v>1009</v>
      </c>
      <c r="D37" s="5" t="s">
        <v>995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61" t="s">
        <v>1010</v>
      </c>
      <c r="B38" s="20"/>
      <c r="C38" s="5" t="s">
        <v>1011</v>
      </c>
      <c r="D38" s="5" t="s">
        <v>1012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61" t="s">
        <v>1013</v>
      </c>
      <c r="B39" s="20"/>
      <c r="C39" s="5" t="s">
        <v>1014</v>
      </c>
      <c r="D39" s="5" t="s">
        <v>1012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false" outlineLevel="0" collapsed="false">
      <c r="A40" s="61" t="s">
        <v>1015</v>
      </c>
      <c r="B40" s="20"/>
      <c r="C40" s="5" t="s">
        <v>1016</v>
      </c>
      <c r="D40" s="5" t="s">
        <v>1012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61" t="s">
        <v>1017</v>
      </c>
      <c r="B41" s="20"/>
      <c r="C41" s="5" t="s">
        <v>1018</v>
      </c>
      <c r="D41" s="5" t="s">
        <v>1012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customFormat="false" ht="15" hidden="false" customHeight="false" outlineLevel="0" collapsed="false">
      <c r="A42" s="61" t="s">
        <v>1019</v>
      </c>
      <c r="B42" s="20"/>
      <c r="C42" s="5" t="s">
        <v>1020</v>
      </c>
      <c r="D42" s="5" t="s">
        <v>1012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61" t="s">
        <v>1021</v>
      </c>
      <c r="B43" s="20"/>
      <c r="C43" s="5" t="s">
        <v>1022</v>
      </c>
      <c r="D43" s="5" t="s">
        <v>1012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customFormat="false" ht="15" hidden="false" customHeight="false" outlineLevel="0" collapsed="false">
      <c r="A44" s="61" t="s">
        <v>1023</v>
      </c>
      <c r="B44" s="20"/>
      <c r="C44" s="5" t="s">
        <v>1024</v>
      </c>
      <c r="D44" s="5" t="s">
        <v>1012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61" t="s">
        <v>1025</v>
      </c>
      <c r="B45" s="20"/>
      <c r="C45" s="5" t="s">
        <v>1026</v>
      </c>
      <c r="D45" s="5" t="s">
        <v>1012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customFormat="false" ht="15" hidden="false" customHeight="false" outlineLevel="0" collapsed="false">
      <c r="A46" s="61" t="s">
        <v>1027</v>
      </c>
      <c r="B46" s="20" t="s">
        <v>1028</v>
      </c>
      <c r="C46" s="5" t="s">
        <v>1029</v>
      </c>
      <c r="D46" s="5" t="s">
        <v>952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61" t="s">
        <v>1030</v>
      </c>
      <c r="B47" s="20"/>
      <c r="C47" s="5" t="s">
        <v>1031</v>
      </c>
      <c r="D47" s="5" t="s">
        <v>952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customFormat="false" ht="15" hidden="false" customHeight="false" outlineLevel="0" collapsed="false">
      <c r="A48" s="61" t="s">
        <v>1032</v>
      </c>
      <c r="B48" s="20"/>
      <c r="C48" s="5" t="s">
        <v>1033</v>
      </c>
      <c r="D48" s="5" t="s">
        <v>1034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61" t="s">
        <v>1035</v>
      </c>
      <c r="B49" s="20"/>
      <c r="C49" s="5" t="s">
        <v>1036</v>
      </c>
      <c r="D49" s="5" t="s">
        <v>1034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customFormat="false" ht="15" hidden="false" customHeight="false" outlineLevel="0" collapsed="false">
      <c r="A50" s="61" t="s">
        <v>1037</v>
      </c>
      <c r="B50" s="20"/>
      <c r="C50" s="5" t="s">
        <v>1038</v>
      </c>
      <c r="D50" s="5" t="s">
        <v>1039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false" outlineLevel="0" collapsed="false">
      <c r="A51" s="61" t="s">
        <v>1040</v>
      </c>
      <c r="B51" s="20"/>
      <c r="C51" s="5" t="s">
        <v>1041</v>
      </c>
      <c r="D51" s="5" t="s">
        <v>1039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false" outlineLevel="0" collapsed="false">
      <c r="A52" s="61" t="s">
        <v>1042</v>
      </c>
      <c r="B52" s="20" t="s">
        <v>1043</v>
      </c>
      <c r="C52" s="5" t="s">
        <v>1044</v>
      </c>
      <c r="D52" s="5" t="s">
        <v>1039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61" t="s">
        <v>1045</v>
      </c>
      <c r="B53" s="20"/>
      <c r="C53" s="5" t="s">
        <v>1046</v>
      </c>
      <c r="D53" s="5" t="s">
        <v>1047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customFormat="false" ht="15" hidden="false" customHeight="false" outlineLevel="0" collapsed="false">
      <c r="A54" s="61" t="s">
        <v>1048</v>
      </c>
      <c r="B54" s="20"/>
      <c r="C54" s="5" t="s">
        <v>1049</v>
      </c>
      <c r="D54" s="5" t="s">
        <v>1039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1" t="s">
        <v>1050</v>
      </c>
      <c r="B55" s="20" t="s">
        <v>1051</v>
      </c>
      <c r="C55" s="5" t="s">
        <v>1052</v>
      </c>
      <c r="D55" s="5" t="s">
        <v>957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customFormat="false" ht="15" hidden="false" customHeight="false" outlineLevel="0" collapsed="false">
      <c r="A56" s="61" t="s">
        <v>1053</v>
      </c>
      <c r="B56" s="20"/>
      <c r="C56" s="5" t="s">
        <v>1054</v>
      </c>
      <c r="D56" s="5" t="s">
        <v>939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customFormat="false" ht="15" hidden="false" customHeight="false" outlineLevel="0" collapsed="false">
      <c r="A57" s="61" t="s">
        <v>1055</v>
      </c>
      <c r="B57" s="20" t="s">
        <v>1056</v>
      </c>
      <c r="C57" s="5" t="s">
        <v>1057</v>
      </c>
      <c r="D57" s="5" t="s">
        <v>957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customFormat="false" ht="15" hidden="false" customHeight="false" outlineLevel="0" collapsed="false">
      <c r="A58" s="61" t="s">
        <v>1058</v>
      </c>
      <c r="B58" s="20"/>
      <c r="C58" s="5" t="s">
        <v>1059</v>
      </c>
      <c r="D58" s="5" t="s">
        <v>957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customFormat="false" ht="15" hidden="false" customHeight="false" outlineLevel="0" collapsed="false">
      <c r="A59" s="61" t="s">
        <v>1060</v>
      </c>
      <c r="B59" s="20"/>
      <c r="C59" s="5" t="s">
        <v>1061</v>
      </c>
      <c r="D59" s="5" t="s">
        <v>1062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customFormat="false" ht="15" hidden="false" customHeight="false" outlineLevel="0" collapsed="false">
      <c r="A60" s="61" t="s">
        <v>1063</v>
      </c>
      <c r="B60" s="20"/>
      <c r="C60" s="5" t="s">
        <v>1064</v>
      </c>
      <c r="D60" s="5" t="s">
        <v>1062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customFormat="false" ht="15" hidden="false" customHeight="false" outlineLevel="0" collapsed="false">
      <c r="A61" s="61" t="s">
        <v>1065</v>
      </c>
      <c r="B61" s="20"/>
      <c r="C61" s="5" t="s">
        <v>1066</v>
      </c>
      <c r="D61" s="5" t="s">
        <v>613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</row>
    <row r="62" customFormat="false" ht="23.85" hidden="false" customHeight="false" outlineLevel="0" collapsed="false">
      <c r="A62" s="61" t="s">
        <v>1067</v>
      </c>
      <c r="B62" s="20" t="s">
        <v>1068</v>
      </c>
      <c r="C62" s="5" t="s">
        <v>1069</v>
      </c>
      <c r="D62" s="5" t="s">
        <v>613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</row>
    <row r="63" customFormat="false" ht="15" hidden="false" customHeight="false" outlineLevel="0" collapsed="false">
      <c r="A63" s="61" t="s">
        <v>1070</v>
      </c>
      <c r="B63" s="20"/>
      <c r="C63" s="5" t="s">
        <v>1071</v>
      </c>
      <c r="D63" s="5" t="s">
        <v>1034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5" hidden="false" customHeight="false" outlineLevel="0" collapsed="false">
      <c r="A64" s="61" t="s">
        <v>1072</v>
      </c>
      <c r="B64" s="20"/>
      <c r="C64" s="5" t="s">
        <v>1073</v>
      </c>
      <c r="D64" s="5" t="s">
        <v>613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</row>
    <row r="65" customFormat="false" ht="15" hidden="false" customHeight="false" outlineLevel="0" collapsed="false">
      <c r="A65" s="61" t="s">
        <v>1074</v>
      </c>
      <c r="B65" s="20"/>
      <c r="C65" s="5" t="s">
        <v>1075</v>
      </c>
      <c r="D65" s="5" t="s">
        <v>939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customFormat="false" ht="15" hidden="false" customHeight="false" outlineLevel="0" collapsed="false">
      <c r="A66" s="61" t="s">
        <v>1076</v>
      </c>
      <c r="B66" s="20"/>
      <c r="C66" s="5" t="s">
        <v>1077</v>
      </c>
      <c r="D66" s="5" t="s">
        <v>1078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8" customFormat="false" ht="35.05" hidden="false" customHeight="false" outlineLevel="0" collapsed="false">
      <c r="B68" s="20" t="s">
        <v>1079</v>
      </c>
    </row>
    <row r="69" customFormat="false" ht="15" hidden="false" customHeight="false" outlineLevel="0" collapsed="false">
      <c r="A69" s="12" t="s">
        <v>1080</v>
      </c>
      <c r="B69" s="12" t="s">
        <v>926</v>
      </c>
      <c r="C69" s="12" t="s">
        <v>816</v>
      </c>
      <c r="D69" s="12" t="s">
        <v>198</v>
      </c>
      <c r="E69" s="12" t="s">
        <v>95</v>
      </c>
      <c r="F69" s="12" t="s">
        <v>927</v>
      </c>
      <c r="G69" s="12" t="s">
        <v>928</v>
      </c>
      <c r="H69" s="12" t="s">
        <v>929</v>
      </c>
      <c r="I69" s="12" t="s">
        <v>930</v>
      </c>
      <c r="J69" s="12" t="s">
        <v>931</v>
      </c>
      <c r="K69" s="12" t="s">
        <v>932</v>
      </c>
      <c r="L69" s="12" t="s">
        <v>933</v>
      </c>
      <c r="M69" s="12" t="s">
        <v>934</v>
      </c>
      <c r="N69" s="12" t="s">
        <v>935</v>
      </c>
    </row>
    <row r="70" customFormat="false" ht="15" hidden="false" customHeight="false" outlineLevel="0" collapsed="false">
      <c r="A70" s="61" t="s">
        <v>936</v>
      </c>
      <c r="C70" s="5" t="s">
        <v>938</v>
      </c>
      <c r="F70" s="44" t="str">
        <f aca="false">IF(AND(ISNUMBER(F6),ISNUMBER(E6),E6&lt;&gt;0),F6/E6-1,"")</f>
        <v/>
      </c>
      <c r="G70" s="44" t="str">
        <f aca="false">IF(AND(ISNUMBER(G6),ISNUMBER(F6),F6&lt;&gt;0),G6/F6-1,"")</f>
        <v/>
      </c>
      <c r="H70" s="44" t="str">
        <f aca="false">IF(AND(ISNUMBER(H6),ISNUMBER(G6),G6&lt;&gt;0),H6/G6-1,"")</f>
        <v/>
      </c>
      <c r="I70" s="44" t="str">
        <f aca="false">IF(AND(ISNUMBER(I6),ISNUMBER(H6),H6&lt;&gt;0),I6/H6-1,"")</f>
        <v/>
      </c>
      <c r="J70" s="44" t="str">
        <f aca="false">IF(AND(ISNUMBER(J6),ISNUMBER(I6),I6&lt;&gt;0),J6/I6-1,"")</f>
        <v/>
      </c>
      <c r="K70" s="44" t="str">
        <f aca="false">IF(AND(ISNUMBER(K6),ISNUMBER(J6),J6&lt;&gt;0),K6/J6-1,"")</f>
        <v/>
      </c>
      <c r="L70" s="44" t="str">
        <f aca="false">IF(AND(ISNUMBER(L6),ISNUMBER(K6),K6&lt;&gt;0),L6/K6-1,"")</f>
        <v/>
      </c>
      <c r="M70" s="44" t="str">
        <f aca="false">IF(AND(ISNUMBER(M6),ISNUMBER(L6),L6&lt;&gt;0),M6/L6-1,"")</f>
        <v/>
      </c>
      <c r="N70" s="44" t="str">
        <f aca="false">IF(AND(ISNUMBER(N6),ISNUMBER(M6),M6&lt;&gt;0),N6/M6-1,"")</f>
        <v/>
      </c>
    </row>
    <row r="71" customFormat="false" ht="15" hidden="false" customHeight="false" outlineLevel="0" collapsed="false">
      <c r="A71" s="61" t="s">
        <v>941</v>
      </c>
      <c r="C71" s="5" t="s">
        <v>942</v>
      </c>
      <c r="F71" s="44" t="str">
        <f aca="false">IF(AND(ISNUMBER(F7),ISNUMBER(E7),E7&lt;&gt;0),F7/E7-1,"")</f>
        <v/>
      </c>
      <c r="G71" s="44" t="str">
        <f aca="false">IF(AND(ISNUMBER(G7),ISNUMBER(F7),F7&lt;&gt;0),G7/F7-1,"")</f>
        <v/>
      </c>
      <c r="H71" s="44" t="str">
        <f aca="false">IF(AND(ISNUMBER(H7),ISNUMBER(G7),G7&lt;&gt;0),H7/G7-1,"")</f>
        <v/>
      </c>
      <c r="I71" s="44" t="str">
        <f aca="false">IF(AND(ISNUMBER(I7),ISNUMBER(H7),H7&lt;&gt;0),I7/H7-1,"")</f>
        <v/>
      </c>
      <c r="J71" s="44" t="str">
        <f aca="false">IF(AND(ISNUMBER(J7),ISNUMBER(I7),I7&lt;&gt;0),J7/I7-1,"")</f>
        <v/>
      </c>
      <c r="K71" s="44" t="str">
        <f aca="false">IF(AND(ISNUMBER(K7),ISNUMBER(J7),J7&lt;&gt;0),K7/J7-1,"")</f>
        <v/>
      </c>
      <c r="L71" s="44" t="str">
        <f aca="false">IF(AND(ISNUMBER(L7),ISNUMBER(K7),K7&lt;&gt;0),L7/K7-1,"")</f>
        <v/>
      </c>
      <c r="M71" s="44" t="str">
        <f aca="false">IF(AND(ISNUMBER(M7),ISNUMBER(L7),L7&lt;&gt;0),M7/L7-1,"")</f>
        <v/>
      </c>
      <c r="N71" s="44" t="str">
        <f aca="false">IF(AND(ISNUMBER(N7),ISNUMBER(M7),M7&lt;&gt;0),N7/M7-1,"")</f>
        <v/>
      </c>
    </row>
    <row r="72" customFormat="false" ht="15" hidden="false" customHeight="false" outlineLevel="0" collapsed="false">
      <c r="A72" s="61" t="s">
        <v>944</v>
      </c>
      <c r="C72" s="5" t="s">
        <v>946</v>
      </c>
      <c r="F72" s="44" t="str">
        <f aca="false">IF(AND(ISNUMBER(F8),ISNUMBER(E8),E8&lt;&gt;0),F8/E8-1,"")</f>
        <v/>
      </c>
      <c r="G72" s="44" t="str">
        <f aca="false">IF(AND(ISNUMBER(G8),ISNUMBER(F8),F8&lt;&gt;0),G8/F8-1,"")</f>
        <v/>
      </c>
      <c r="H72" s="44" t="str">
        <f aca="false">IF(AND(ISNUMBER(H8),ISNUMBER(G8),G8&lt;&gt;0),H8/G8-1,"")</f>
        <v/>
      </c>
      <c r="I72" s="44" t="str">
        <f aca="false">IF(AND(ISNUMBER(I8),ISNUMBER(H8),H8&lt;&gt;0),I8/H8-1,"")</f>
        <v/>
      </c>
      <c r="J72" s="44" t="str">
        <f aca="false">IF(AND(ISNUMBER(J8),ISNUMBER(I8),I8&lt;&gt;0),J8/I8-1,"")</f>
        <v/>
      </c>
      <c r="K72" s="44" t="str">
        <f aca="false">IF(AND(ISNUMBER(K8),ISNUMBER(J8),J8&lt;&gt;0),K8/J8-1,"")</f>
        <v/>
      </c>
      <c r="L72" s="44" t="str">
        <f aca="false">IF(AND(ISNUMBER(L8),ISNUMBER(K8),K8&lt;&gt;0),L8/K8-1,"")</f>
        <v/>
      </c>
      <c r="M72" s="44" t="str">
        <f aca="false">IF(AND(ISNUMBER(M8),ISNUMBER(L8),L8&lt;&gt;0),M8/L8-1,"")</f>
        <v/>
      </c>
      <c r="N72" s="44" t="str">
        <f aca="false">IF(AND(ISNUMBER(N8),ISNUMBER(M8),M8&lt;&gt;0),N8/M8-1,"")</f>
        <v/>
      </c>
    </row>
    <row r="73" customFormat="false" ht="15" hidden="false" customHeight="false" outlineLevel="0" collapsed="false">
      <c r="A73" s="61" t="s">
        <v>948</v>
      </c>
      <c r="C73" s="5" t="s">
        <v>949</v>
      </c>
      <c r="F73" s="44" t="str">
        <f aca="false">IF(AND(ISNUMBER(F9),ISNUMBER(E9),E9&lt;&gt;0),F9/E9-1,"")</f>
        <v/>
      </c>
      <c r="G73" s="44" t="str">
        <f aca="false">IF(AND(ISNUMBER(G9),ISNUMBER(F9),F9&lt;&gt;0),G9/F9-1,"")</f>
        <v/>
      </c>
      <c r="H73" s="44" t="str">
        <f aca="false">IF(AND(ISNUMBER(H9),ISNUMBER(G9),G9&lt;&gt;0),H9/G9-1,"")</f>
        <v/>
      </c>
      <c r="I73" s="44" t="str">
        <f aca="false">IF(AND(ISNUMBER(I9),ISNUMBER(H9),H9&lt;&gt;0),I9/H9-1,"")</f>
        <v/>
      </c>
      <c r="J73" s="44" t="str">
        <f aca="false">IF(AND(ISNUMBER(J9),ISNUMBER(I9),I9&lt;&gt;0),J9/I9-1,"")</f>
        <v/>
      </c>
      <c r="K73" s="44" t="str">
        <f aca="false">IF(AND(ISNUMBER(K9),ISNUMBER(J9),J9&lt;&gt;0),K9/J9-1,"")</f>
        <v/>
      </c>
      <c r="L73" s="44" t="str">
        <f aca="false">IF(AND(ISNUMBER(L9),ISNUMBER(K9),K9&lt;&gt;0),L9/K9-1,"")</f>
        <v/>
      </c>
      <c r="M73" s="44" t="str">
        <f aca="false">IF(AND(ISNUMBER(M9),ISNUMBER(L9),L9&lt;&gt;0),M9/L9-1,"")</f>
        <v/>
      </c>
      <c r="N73" s="44" t="str">
        <f aca="false">IF(AND(ISNUMBER(N9),ISNUMBER(M9),M9&lt;&gt;0),N9/M9-1,"")</f>
        <v/>
      </c>
    </row>
    <row r="74" customFormat="false" ht="15" hidden="false" customHeight="false" outlineLevel="0" collapsed="false">
      <c r="A74" s="61" t="s">
        <v>950</v>
      </c>
      <c r="C74" s="5" t="s">
        <v>951</v>
      </c>
      <c r="F74" s="44" t="str">
        <f aca="false">IF(AND(ISNUMBER(F10),ISNUMBER(E10),E10&lt;&gt;0),F10/E10-1,"")</f>
        <v/>
      </c>
      <c r="G74" s="44" t="str">
        <f aca="false">IF(AND(ISNUMBER(G10),ISNUMBER(F10),F10&lt;&gt;0),G10/F10-1,"")</f>
        <v/>
      </c>
      <c r="H74" s="44" t="str">
        <f aca="false">IF(AND(ISNUMBER(H10),ISNUMBER(G10),G10&lt;&gt;0),H10/G10-1,"")</f>
        <v/>
      </c>
      <c r="I74" s="44" t="str">
        <f aca="false">IF(AND(ISNUMBER(I10),ISNUMBER(H10),H10&lt;&gt;0),I10/H10-1,"")</f>
        <v/>
      </c>
      <c r="J74" s="44" t="str">
        <f aca="false">IF(AND(ISNUMBER(J10),ISNUMBER(I10),I10&lt;&gt;0),J10/I10-1,"")</f>
        <v/>
      </c>
      <c r="K74" s="44" t="str">
        <f aca="false">IF(AND(ISNUMBER(K10),ISNUMBER(J10),J10&lt;&gt;0),K10/J10-1,"")</f>
        <v/>
      </c>
      <c r="L74" s="44" t="str">
        <f aca="false">IF(AND(ISNUMBER(L10),ISNUMBER(K10),K10&lt;&gt;0),L10/K10-1,"")</f>
        <v/>
      </c>
      <c r="M74" s="44" t="str">
        <f aca="false">IF(AND(ISNUMBER(M10),ISNUMBER(L10),L10&lt;&gt;0),M10/L10-1,"")</f>
        <v/>
      </c>
      <c r="N74" s="44" t="str">
        <f aca="false">IF(AND(ISNUMBER(N10),ISNUMBER(M10),M10&lt;&gt;0),N10/M10-1,"")</f>
        <v/>
      </c>
    </row>
    <row r="75" customFormat="false" ht="15" hidden="false" customHeight="false" outlineLevel="0" collapsed="false">
      <c r="A75" s="61" t="s">
        <v>953</v>
      </c>
      <c r="C75" s="5" t="s">
        <v>954</v>
      </c>
      <c r="F75" s="44" t="str">
        <f aca="false">IF(AND(ISNUMBER(F11),ISNUMBER(E11),E11&lt;&gt;0),F11/E11-1,"")</f>
        <v/>
      </c>
      <c r="G75" s="44" t="str">
        <f aca="false">IF(AND(ISNUMBER(G11),ISNUMBER(F11),F11&lt;&gt;0),G11/F11-1,"")</f>
        <v/>
      </c>
      <c r="H75" s="44" t="str">
        <f aca="false">IF(AND(ISNUMBER(H11),ISNUMBER(G11),G11&lt;&gt;0),H11/G11-1,"")</f>
        <v/>
      </c>
      <c r="I75" s="44" t="str">
        <f aca="false">IF(AND(ISNUMBER(I11),ISNUMBER(H11),H11&lt;&gt;0),I11/H11-1,"")</f>
        <v/>
      </c>
      <c r="J75" s="44" t="str">
        <f aca="false">IF(AND(ISNUMBER(J11),ISNUMBER(I11),I11&lt;&gt;0),J11/I11-1,"")</f>
        <v/>
      </c>
      <c r="K75" s="44" t="str">
        <f aca="false">IF(AND(ISNUMBER(K11),ISNUMBER(J11),J11&lt;&gt;0),K11/J11-1,"")</f>
        <v/>
      </c>
      <c r="L75" s="44" t="str">
        <f aca="false">IF(AND(ISNUMBER(L11),ISNUMBER(K11),K11&lt;&gt;0),L11/K11-1,"")</f>
        <v/>
      </c>
      <c r="M75" s="44" t="str">
        <f aca="false">IF(AND(ISNUMBER(M11),ISNUMBER(L11),L11&lt;&gt;0),M11/L11-1,"")</f>
        <v/>
      </c>
      <c r="N75" s="44" t="str">
        <f aca="false">IF(AND(ISNUMBER(N11),ISNUMBER(M11),M11&lt;&gt;0),N11/M11-1,"")</f>
        <v/>
      </c>
    </row>
    <row r="76" customFormat="false" ht="15" hidden="false" customHeight="false" outlineLevel="0" collapsed="false">
      <c r="A76" s="61" t="s">
        <v>955</v>
      </c>
      <c r="C76" s="5" t="s">
        <v>956</v>
      </c>
      <c r="F76" s="44" t="str">
        <f aca="false">IF(AND(ISNUMBER(F12),ISNUMBER(E12),E12&lt;&gt;0),F12/E12-1,"")</f>
        <v/>
      </c>
      <c r="G76" s="44" t="str">
        <f aca="false">IF(AND(ISNUMBER(G12),ISNUMBER(F12),F12&lt;&gt;0),G12/F12-1,"")</f>
        <v/>
      </c>
      <c r="H76" s="44" t="str">
        <f aca="false">IF(AND(ISNUMBER(H12),ISNUMBER(G12),G12&lt;&gt;0),H12/G12-1,"")</f>
        <v/>
      </c>
      <c r="I76" s="44" t="str">
        <f aca="false">IF(AND(ISNUMBER(I12),ISNUMBER(H12),H12&lt;&gt;0),I12/H12-1,"")</f>
        <v/>
      </c>
      <c r="J76" s="44" t="str">
        <f aca="false">IF(AND(ISNUMBER(J12),ISNUMBER(I12),I12&lt;&gt;0),J12/I12-1,"")</f>
        <v/>
      </c>
      <c r="K76" s="44" t="str">
        <f aca="false">IF(AND(ISNUMBER(K12),ISNUMBER(J12),J12&lt;&gt;0),K12/J12-1,"")</f>
        <v/>
      </c>
      <c r="L76" s="44" t="str">
        <f aca="false">IF(AND(ISNUMBER(L12),ISNUMBER(K12),K12&lt;&gt;0),L12/K12-1,"")</f>
        <v/>
      </c>
      <c r="M76" s="44" t="str">
        <f aca="false">IF(AND(ISNUMBER(M12),ISNUMBER(L12),L12&lt;&gt;0),M12/L12-1,"")</f>
        <v/>
      </c>
      <c r="N76" s="44" t="str">
        <f aca="false">IF(AND(ISNUMBER(N12),ISNUMBER(M12),M12&lt;&gt;0),N12/M12-1,"")</f>
        <v/>
      </c>
    </row>
    <row r="77" customFormat="false" ht="15" hidden="false" customHeight="false" outlineLevel="0" collapsed="false">
      <c r="A77" s="61" t="s">
        <v>958</v>
      </c>
      <c r="C77" s="5" t="s">
        <v>959</v>
      </c>
      <c r="F77" s="44" t="str">
        <f aca="false">IF(AND(ISNUMBER(F13),ISNUMBER(E13),E13&lt;&gt;0),F13/E13-1,"")</f>
        <v/>
      </c>
      <c r="G77" s="44" t="str">
        <f aca="false">IF(AND(ISNUMBER(G13),ISNUMBER(F13),F13&lt;&gt;0),G13/F13-1,"")</f>
        <v/>
      </c>
      <c r="H77" s="44" t="str">
        <f aca="false">IF(AND(ISNUMBER(H13),ISNUMBER(G13),G13&lt;&gt;0),H13/G13-1,"")</f>
        <v/>
      </c>
      <c r="I77" s="44" t="str">
        <f aca="false">IF(AND(ISNUMBER(I13),ISNUMBER(H13),H13&lt;&gt;0),I13/H13-1,"")</f>
        <v/>
      </c>
      <c r="J77" s="44" t="str">
        <f aca="false">IF(AND(ISNUMBER(J13),ISNUMBER(I13),I13&lt;&gt;0),J13/I13-1,"")</f>
        <v/>
      </c>
      <c r="K77" s="44" t="str">
        <f aca="false">IF(AND(ISNUMBER(K13),ISNUMBER(J13),J13&lt;&gt;0),K13/J13-1,"")</f>
        <v/>
      </c>
      <c r="L77" s="44" t="str">
        <f aca="false">IF(AND(ISNUMBER(L13),ISNUMBER(K13),K13&lt;&gt;0),L13/K13-1,"")</f>
        <v/>
      </c>
      <c r="M77" s="44" t="str">
        <f aca="false">IF(AND(ISNUMBER(M13),ISNUMBER(L13),L13&lt;&gt;0),M13/L13-1,"")</f>
        <v/>
      </c>
      <c r="N77" s="44" t="str">
        <f aca="false">IF(AND(ISNUMBER(N13),ISNUMBER(M13),M13&lt;&gt;0),N13/M13-1,"")</f>
        <v/>
      </c>
    </row>
    <row r="78" customFormat="false" ht="15" hidden="false" customHeight="false" outlineLevel="0" collapsed="false">
      <c r="A78" s="61" t="s">
        <v>960</v>
      </c>
      <c r="C78" s="5" t="s">
        <v>962</v>
      </c>
      <c r="F78" s="44" t="n">
        <f aca="false">IF(AND(ISNUMBER(F14),ISNUMBER(E14),E14&lt;&gt;0),F14/E14-1,"")</f>
        <v>-0.0568181818181818</v>
      </c>
      <c r="G78" s="44" t="str">
        <f aca="false">IF(AND(ISNUMBER(G14),ISNUMBER(F14),F14&lt;&gt;0),G14/F14-1,"")</f>
        <v/>
      </c>
      <c r="H78" s="44" t="str">
        <f aca="false">IF(AND(ISNUMBER(H14),ISNUMBER(G14),G14&lt;&gt;0),H14/G14-1,"")</f>
        <v/>
      </c>
      <c r="I78" s="44" t="str">
        <f aca="false">IF(AND(ISNUMBER(I14),ISNUMBER(H14),H14&lt;&gt;0),I14/H14-1,"")</f>
        <v/>
      </c>
      <c r="J78" s="44" t="str">
        <f aca="false">IF(AND(ISNUMBER(J14),ISNUMBER(I14),I14&lt;&gt;0),J14/I14-1,"")</f>
        <v/>
      </c>
      <c r="K78" s="44" t="str">
        <f aca="false">IF(AND(ISNUMBER(K14),ISNUMBER(J14),J14&lt;&gt;0),K14/J14-1,"")</f>
        <v/>
      </c>
      <c r="L78" s="44" t="str">
        <f aca="false">IF(AND(ISNUMBER(L14),ISNUMBER(K14),K14&lt;&gt;0),L14/K14-1,"")</f>
        <v/>
      </c>
      <c r="M78" s="44" t="str">
        <f aca="false">IF(AND(ISNUMBER(M14),ISNUMBER(L14),L14&lt;&gt;0),M14/L14-1,"")</f>
        <v/>
      </c>
      <c r="N78" s="44" t="str">
        <f aca="false">IF(AND(ISNUMBER(N14),ISNUMBER(M14),M14&lt;&gt;0),N14/M14-1,"")</f>
        <v/>
      </c>
    </row>
    <row r="79" customFormat="false" ht="15" hidden="false" customHeight="false" outlineLevel="0" collapsed="false">
      <c r="A79" s="61" t="s">
        <v>963</v>
      </c>
      <c r="C79" s="5" t="s">
        <v>964</v>
      </c>
      <c r="F79" s="44" t="str">
        <f aca="false">IF(AND(ISNUMBER(F15),ISNUMBER(E15),E15&lt;&gt;0),F15/E15-1,"")</f>
        <v/>
      </c>
      <c r="G79" s="44" t="str">
        <f aca="false">IF(AND(ISNUMBER(G15),ISNUMBER(F15),F15&lt;&gt;0),G15/F15-1,"")</f>
        <v/>
      </c>
      <c r="H79" s="44" t="str">
        <f aca="false">IF(AND(ISNUMBER(H15),ISNUMBER(G15),G15&lt;&gt;0),H15/G15-1,"")</f>
        <v/>
      </c>
      <c r="I79" s="44" t="str">
        <f aca="false">IF(AND(ISNUMBER(I15),ISNUMBER(H15),H15&lt;&gt;0),I15/H15-1,"")</f>
        <v/>
      </c>
      <c r="J79" s="44" t="str">
        <f aca="false">IF(AND(ISNUMBER(J15),ISNUMBER(I15),I15&lt;&gt;0),J15/I15-1,"")</f>
        <v/>
      </c>
      <c r="K79" s="44" t="str">
        <f aca="false">IF(AND(ISNUMBER(K15),ISNUMBER(J15),J15&lt;&gt;0),K15/J15-1,"")</f>
        <v/>
      </c>
      <c r="L79" s="44" t="str">
        <f aca="false">IF(AND(ISNUMBER(L15),ISNUMBER(K15),K15&lt;&gt;0),L15/K15-1,"")</f>
        <v/>
      </c>
      <c r="M79" s="44" t="str">
        <f aca="false">IF(AND(ISNUMBER(M15),ISNUMBER(L15),L15&lt;&gt;0),M15/L15-1,"")</f>
        <v/>
      </c>
      <c r="N79" s="44" t="str">
        <f aca="false">IF(AND(ISNUMBER(N15),ISNUMBER(M15),M15&lt;&gt;0),N15/M15-1,"")</f>
        <v/>
      </c>
    </row>
    <row r="80" customFormat="false" ht="15" hidden="false" customHeight="false" outlineLevel="0" collapsed="false">
      <c r="A80" s="61" t="s">
        <v>965</v>
      </c>
      <c r="C80" s="5" t="s">
        <v>966</v>
      </c>
      <c r="F80" s="44" t="str">
        <f aca="false">IF(AND(ISNUMBER(F16),ISNUMBER(E16),E16&lt;&gt;0),F16/E16-1,"")</f>
        <v/>
      </c>
      <c r="G80" s="44" t="str">
        <f aca="false">IF(AND(ISNUMBER(G16),ISNUMBER(F16),F16&lt;&gt;0),G16/F16-1,"")</f>
        <v/>
      </c>
      <c r="H80" s="44" t="str">
        <f aca="false">IF(AND(ISNUMBER(H16),ISNUMBER(G16),G16&lt;&gt;0),H16/G16-1,"")</f>
        <v/>
      </c>
      <c r="I80" s="44" t="str">
        <f aca="false">IF(AND(ISNUMBER(I16),ISNUMBER(H16),H16&lt;&gt;0),I16/H16-1,"")</f>
        <v/>
      </c>
      <c r="J80" s="44" t="str">
        <f aca="false">IF(AND(ISNUMBER(J16),ISNUMBER(I16),I16&lt;&gt;0),J16/I16-1,"")</f>
        <v/>
      </c>
      <c r="K80" s="44" t="str">
        <f aca="false">IF(AND(ISNUMBER(K16),ISNUMBER(J16),J16&lt;&gt;0),K16/J16-1,"")</f>
        <v/>
      </c>
      <c r="L80" s="44" t="str">
        <f aca="false">IF(AND(ISNUMBER(L16),ISNUMBER(K16),K16&lt;&gt;0),L16/K16-1,"")</f>
        <v/>
      </c>
      <c r="M80" s="44" t="str">
        <f aca="false">IF(AND(ISNUMBER(M16),ISNUMBER(L16),L16&lt;&gt;0),M16/L16-1,"")</f>
        <v/>
      </c>
      <c r="N80" s="44" t="str">
        <f aca="false">IF(AND(ISNUMBER(N16),ISNUMBER(M16),M16&lt;&gt;0),N16/M16-1,"")</f>
        <v/>
      </c>
    </row>
    <row r="81" customFormat="false" ht="15" hidden="false" customHeight="false" outlineLevel="0" collapsed="false">
      <c r="A81" s="61" t="s">
        <v>967</v>
      </c>
      <c r="C81" s="5" t="s">
        <v>968</v>
      </c>
      <c r="F81" s="44" t="str">
        <f aca="false">IF(AND(ISNUMBER(F17),ISNUMBER(E17),E17&lt;&gt;0),F17/E17-1,"")</f>
        <v/>
      </c>
      <c r="G81" s="44" t="str">
        <f aca="false">IF(AND(ISNUMBER(G17),ISNUMBER(F17),F17&lt;&gt;0),G17/F17-1,"")</f>
        <v/>
      </c>
      <c r="H81" s="44" t="str">
        <f aca="false">IF(AND(ISNUMBER(H17),ISNUMBER(G17),G17&lt;&gt;0),H17/G17-1,"")</f>
        <v/>
      </c>
      <c r="I81" s="44" t="str">
        <f aca="false">IF(AND(ISNUMBER(I17),ISNUMBER(H17),H17&lt;&gt;0),I17/H17-1,"")</f>
        <v/>
      </c>
      <c r="J81" s="44" t="str">
        <f aca="false">IF(AND(ISNUMBER(J17),ISNUMBER(I17),I17&lt;&gt;0),J17/I17-1,"")</f>
        <v/>
      </c>
      <c r="K81" s="44" t="str">
        <f aca="false">IF(AND(ISNUMBER(K17),ISNUMBER(J17),J17&lt;&gt;0),K17/J17-1,"")</f>
        <v/>
      </c>
      <c r="L81" s="44" t="str">
        <f aca="false">IF(AND(ISNUMBER(L17),ISNUMBER(K17),K17&lt;&gt;0),L17/K17-1,"")</f>
        <v/>
      </c>
      <c r="M81" s="44" t="str">
        <f aca="false">IF(AND(ISNUMBER(M17),ISNUMBER(L17),L17&lt;&gt;0),M17/L17-1,"")</f>
        <v/>
      </c>
      <c r="N81" s="44" t="str">
        <f aca="false">IF(AND(ISNUMBER(N17),ISNUMBER(M17),M17&lt;&gt;0),N17/M17-1,"")</f>
        <v/>
      </c>
    </row>
    <row r="82" customFormat="false" ht="15" hidden="false" customHeight="false" outlineLevel="0" collapsed="false">
      <c r="A82" s="61" t="s">
        <v>969</v>
      </c>
      <c r="C82" s="5" t="s">
        <v>970</v>
      </c>
      <c r="F82" s="44" t="str">
        <f aca="false">IF(AND(ISNUMBER(F18),ISNUMBER(E18),E18&lt;&gt;0),F18/E18-1,"")</f>
        <v/>
      </c>
      <c r="G82" s="44" t="str">
        <f aca="false">IF(AND(ISNUMBER(G18),ISNUMBER(F18),F18&lt;&gt;0),G18/F18-1,"")</f>
        <v/>
      </c>
      <c r="H82" s="44" t="str">
        <f aca="false">IF(AND(ISNUMBER(H18),ISNUMBER(G18),G18&lt;&gt;0),H18/G18-1,"")</f>
        <v/>
      </c>
      <c r="I82" s="44" t="str">
        <f aca="false">IF(AND(ISNUMBER(I18),ISNUMBER(H18),H18&lt;&gt;0),I18/H18-1,"")</f>
        <v/>
      </c>
      <c r="J82" s="44" t="str">
        <f aca="false">IF(AND(ISNUMBER(J18),ISNUMBER(I18),I18&lt;&gt;0),J18/I18-1,"")</f>
        <v/>
      </c>
      <c r="K82" s="44" t="str">
        <f aca="false">IF(AND(ISNUMBER(K18),ISNUMBER(J18),J18&lt;&gt;0),K18/J18-1,"")</f>
        <v/>
      </c>
      <c r="L82" s="44" t="str">
        <f aca="false">IF(AND(ISNUMBER(L18),ISNUMBER(K18),K18&lt;&gt;0),L18/K18-1,"")</f>
        <v/>
      </c>
      <c r="M82" s="44" t="str">
        <f aca="false">IF(AND(ISNUMBER(M18),ISNUMBER(L18),L18&lt;&gt;0),M18/L18-1,"")</f>
        <v/>
      </c>
      <c r="N82" s="44" t="str">
        <f aca="false">IF(AND(ISNUMBER(N18),ISNUMBER(M18),M18&lt;&gt;0),N18/M18-1,"")</f>
        <v/>
      </c>
    </row>
    <row r="83" customFormat="false" ht="15" hidden="false" customHeight="false" outlineLevel="0" collapsed="false">
      <c r="A83" s="61" t="s">
        <v>971</v>
      </c>
      <c r="C83" s="5" t="s">
        <v>972</v>
      </c>
      <c r="F83" s="44" t="str">
        <f aca="false">IF(AND(ISNUMBER(F19),ISNUMBER(E19),E19&lt;&gt;0),F19/E19-1,"")</f>
        <v/>
      </c>
      <c r="G83" s="44" t="str">
        <f aca="false">IF(AND(ISNUMBER(G19),ISNUMBER(F19),F19&lt;&gt;0),G19/F19-1,"")</f>
        <v/>
      </c>
      <c r="H83" s="44" t="str">
        <f aca="false">IF(AND(ISNUMBER(H19),ISNUMBER(G19),G19&lt;&gt;0),H19/G19-1,"")</f>
        <v/>
      </c>
      <c r="I83" s="44" t="str">
        <f aca="false">IF(AND(ISNUMBER(I19),ISNUMBER(H19),H19&lt;&gt;0),I19/H19-1,"")</f>
        <v/>
      </c>
      <c r="J83" s="44" t="str">
        <f aca="false">IF(AND(ISNUMBER(J19),ISNUMBER(I19),I19&lt;&gt;0),J19/I19-1,"")</f>
        <v/>
      </c>
      <c r="K83" s="44" t="str">
        <f aca="false">IF(AND(ISNUMBER(K19),ISNUMBER(J19),J19&lt;&gt;0),K19/J19-1,"")</f>
        <v/>
      </c>
      <c r="L83" s="44" t="str">
        <f aca="false">IF(AND(ISNUMBER(L19),ISNUMBER(K19),K19&lt;&gt;0),L19/K19-1,"")</f>
        <v/>
      </c>
      <c r="M83" s="44" t="str">
        <f aca="false">IF(AND(ISNUMBER(M19),ISNUMBER(L19),L19&lt;&gt;0),M19/L19-1,"")</f>
        <v/>
      </c>
      <c r="N83" s="44" t="str">
        <f aca="false">IF(AND(ISNUMBER(N19),ISNUMBER(M19),M19&lt;&gt;0),N19/M19-1,"")</f>
        <v/>
      </c>
    </row>
    <row r="84" customFormat="false" ht="15" hidden="false" customHeight="false" outlineLevel="0" collapsed="false">
      <c r="A84" s="61" t="s">
        <v>973</v>
      </c>
      <c r="C84" s="5" t="s">
        <v>974</v>
      </c>
      <c r="F84" s="44" t="str">
        <f aca="false">IF(AND(ISNUMBER(F20),ISNUMBER(E20),E20&lt;&gt;0),F20/E20-1,"")</f>
        <v/>
      </c>
      <c r="G84" s="44" t="str">
        <f aca="false">IF(AND(ISNUMBER(G20),ISNUMBER(F20),F20&lt;&gt;0),G20/F20-1,"")</f>
        <v/>
      </c>
      <c r="H84" s="44" t="str">
        <f aca="false">IF(AND(ISNUMBER(H20),ISNUMBER(G20),G20&lt;&gt;0),H20/G20-1,"")</f>
        <v/>
      </c>
      <c r="I84" s="44" t="str">
        <f aca="false">IF(AND(ISNUMBER(I20),ISNUMBER(H20),H20&lt;&gt;0),I20/H20-1,"")</f>
        <v/>
      </c>
      <c r="J84" s="44" t="str">
        <f aca="false">IF(AND(ISNUMBER(J20),ISNUMBER(I20),I20&lt;&gt;0),J20/I20-1,"")</f>
        <v/>
      </c>
      <c r="K84" s="44" t="str">
        <f aca="false">IF(AND(ISNUMBER(K20),ISNUMBER(J20),J20&lt;&gt;0),K20/J20-1,"")</f>
        <v/>
      </c>
      <c r="L84" s="44" t="str">
        <f aca="false">IF(AND(ISNUMBER(L20),ISNUMBER(K20),K20&lt;&gt;0),L20/K20-1,"")</f>
        <v/>
      </c>
      <c r="M84" s="44" t="str">
        <f aca="false">IF(AND(ISNUMBER(M20),ISNUMBER(L20),L20&lt;&gt;0),M20/L20-1,"")</f>
        <v/>
      </c>
      <c r="N84" s="44" t="str">
        <f aca="false">IF(AND(ISNUMBER(N20),ISNUMBER(M20),M20&lt;&gt;0),N20/M20-1,"")</f>
        <v/>
      </c>
    </row>
    <row r="85" customFormat="false" ht="15" hidden="false" customHeight="false" outlineLevel="0" collapsed="false">
      <c r="A85" s="61" t="s">
        <v>975</v>
      </c>
      <c r="C85" s="5" t="s">
        <v>976</v>
      </c>
      <c r="F85" s="44" t="str">
        <f aca="false">IF(AND(ISNUMBER(F21),ISNUMBER(E21),E21&lt;&gt;0),F21/E21-1,"")</f>
        <v/>
      </c>
      <c r="G85" s="44" t="str">
        <f aca="false">IF(AND(ISNUMBER(G21),ISNUMBER(F21),F21&lt;&gt;0),G21/F21-1,"")</f>
        <v/>
      </c>
      <c r="H85" s="44" t="str">
        <f aca="false">IF(AND(ISNUMBER(H21),ISNUMBER(G21),G21&lt;&gt;0),H21/G21-1,"")</f>
        <v/>
      </c>
      <c r="I85" s="44" t="str">
        <f aca="false">IF(AND(ISNUMBER(I21),ISNUMBER(H21),H21&lt;&gt;0),I21/H21-1,"")</f>
        <v/>
      </c>
      <c r="J85" s="44" t="str">
        <f aca="false">IF(AND(ISNUMBER(J21),ISNUMBER(I21),I21&lt;&gt;0),J21/I21-1,"")</f>
        <v/>
      </c>
      <c r="K85" s="44" t="str">
        <f aca="false">IF(AND(ISNUMBER(K21),ISNUMBER(J21),J21&lt;&gt;0),K21/J21-1,"")</f>
        <v/>
      </c>
      <c r="L85" s="44" t="str">
        <f aca="false">IF(AND(ISNUMBER(L21),ISNUMBER(K21),K21&lt;&gt;0),L21/K21-1,"")</f>
        <v/>
      </c>
      <c r="M85" s="44" t="str">
        <f aca="false">IF(AND(ISNUMBER(M21),ISNUMBER(L21),L21&lt;&gt;0),M21/L21-1,"")</f>
        <v/>
      </c>
      <c r="N85" s="44" t="str">
        <f aca="false">IF(AND(ISNUMBER(N21),ISNUMBER(M21),M21&lt;&gt;0),N21/M21-1,"")</f>
        <v/>
      </c>
    </row>
    <row r="86" customFormat="false" ht="15" hidden="false" customHeight="false" outlineLevel="0" collapsed="false">
      <c r="A86" s="61" t="s">
        <v>977</v>
      </c>
      <c r="C86" s="5" t="s">
        <v>978</v>
      </c>
      <c r="F86" s="44" t="n">
        <f aca="false">IF(AND(ISNUMBER(F22),ISNUMBER(E22),E22&lt;&gt;0),F22/E22-1,"")</f>
        <v>-0.0933333333333334</v>
      </c>
      <c r="G86" s="44" t="str">
        <f aca="false">IF(AND(ISNUMBER(G22),ISNUMBER(F22),F22&lt;&gt;0),G22/F22-1,"")</f>
        <v/>
      </c>
      <c r="H86" s="44" t="str">
        <f aca="false">IF(AND(ISNUMBER(H22),ISNUMBER(G22),G22&lt;&gt;0),H22/G22-1,"")</f>
        <v/>
      </c>
      <c r="I86" s="44" t="str">
        <f aca="false">IF(AND(ISNUMBER(I22),ISNUMBER(H22),H22&lt;&gt;0),I22/H22-1,"")</f>
        <v/>
      </c>
      <c r="J86" s="44" t="str">
        <f aca="false">IF(AND(ISNUMBER(J22),ISNUMBER(I22),I22&lt;&gt;0),J22/I22-1,"")</f>
        <v/>
      </c>
      <c r="K86" s="44" t="str">
        <f aca="false">IF(AND(ISNUMBER(K22),ISNUMBER(J22),J22&lt;&gt;0),K22/J22-1,"")</f>
        <v/>
      </c>
      <c r="L86" s="44" t="str">
        <f aca="false">IF(AND(ISNUMBER(L22),ISNUMBER(K22),K22&lt;&gt;0),L22/K22-1,"")</f>
        <v/>
      </c>
      <c r="M86" s="44" t="str">
        <f aca="false">IF(AND(ISNUMBER(M22),ISNUMBER(L22),L22&lt;&gt;0),M22/L22-1,"")</f>
        <v/>
      </c>
      <c r="N86" s="44" t="str">
        <f aca="false">IF(AND(ISNUMBER(N22),ISNUMBER(M22),M22&lt;&gt;0),N22/M22-1,"")</f>
        <v/>
      </c>
    </row>
    <row r="87" customFormat="false" ht="15" hidden="false" customHeight="false" outlineLevel="0" collapsed="false">
      <c r="A87" s="61" t="s">
        <v>979</v>
      </c>
      <c r="C87" s="5" t="s">
        <v>980</v>
      </c>
      <c r="F87" s="44" t="str">
        <f aca="false">IF(AND(ISNUMBER(F23),ISNUMBER(E23),E23&lt;&gt;0),F23/E23-1,"")</f>
        <v/>
      </c>
      <c r="G87" s="44" t="str">
        <f aca="false">IF(AND(ISNUMBER(G23),ISNUMBER(F23),F23&lt;&gt;0),G23/F23-1,"")</f>
        <v/>
      </c>
      <c r="H87" s="44" t="str">
        <f aca="false">IF(AND(ISNUMBER(H23),ISNUMBER(G23),G23&lt;&gt;0),H23/G23-1,"")</f>
        <v/>
      </c>
      <c r="I87" s="44" t="str">
        <f aca="false">IF(AND(ISNUMBER(I23),ISNUMBER(H23),H23&lt;&gt;0),I23/H23-1,"")</f>
        <v/>
      </c>
      <c r="J87" s="44" t="str">
        <f aca="false">IF(AND(ISNUMBER(J23),ISNUMBER(I23),I23&lt;&gt;0),J23/I23-1,"")</f>
        <v/>
      </c>
      <c r="K87" s="44" t="str">
        <f aca="false">IF(AND(ISNUMBER(K23),ISNUMBER(J23),J23&lt;&gt;0),K23/J23-1,"")</f>
        <v/>
      </c>
      <c r="L87" s="44" t="str">
        <f aca="false">IF(AND(ISNUMBER(L23),ISNUMBER(K23),K23&lt;&gt;0),L23/K23-1,"")</f>
        <v/>
      </c>
      <c r="M87" s="44" t="str">
        <f aca="false">IF(AND(ISNUMBER(M23),ISNUMBER(L23),L23&lt;&gt;0),M23/L23-1,"")</f>
        <v/>
      </c>
      <c r="N87" s="44" t="str">
        <f aca="false">IF(AND(ISNUMBER(N23),ISNUMBER(M23),M23&lt;&gt;0),N23/M23-1,"")</f>
        <v/>
      </c>
    </row>
    <row r="88" customFormat="false" ht="15" hidden="false" customHeight="false" outlineLevel="0" collapsed="false">
      <c r="A88" s="61" t="s">
        <v>981</v>
      </c>
      <c r="C88" s="5" t="s">
        <v>982</v>
      </c>
      <c r="F88" s="44" t="str">
        <f aca="false">IF(AND(ISNUMBER(F24),ISNUMBER(E24),E24&lt;&gt;0),F24/E24-1,"")</f>
        <v/>
      </c>
      <c r="G88" s="44" t="str">
        <f aca="false">IF(AND(ISNUMBER(G24),ISNUMBER(F24),F24&lt;&gt;0),G24/F24-1,"")</f>
        <v/>
      </c>
      <c r="H88" s="44" t="str">
        <f aca="false">IF(AND(ISNUMBER(H24),ISNUMBER(G24),G24&lt;&gt;0),H24/G24-1,"")</f>
        <v/>
      </c>
      <c r="I88" s="44" t="str">
        <f aca="false">IF(AND(ISNUMBER(I24),ISNUMBER(H24),H24&lt;&gt;0),I24/H24-1,"")</f>
        <v/>
      </c>
      <c r="J88" s="44" t="str">
        <f aca="false">IF(AND(ISNUMBER(J24),ISNUMBER(I24),I24&lt;&gt;0),J24/I24-1,"")</f>
        <v/>
      </c>
      <c r="K88" s="44" t="str">
        <f aca="false">IF(AND(ISNUMBER(K24),ISNUMBER(J24),J24&lt;&gt;0),K24/J24-1,"")</f>
        <v/>
      </c>
      <c r="L88" s="44" t="str">
        <f aca="false">IF(AND(ISNUMBER(L24),ISNUMBER(K24),K24&lt;&gt;0),L24/K24-1,"")</f>
        <v/>
      </c>
      <c r="M88" s="44" t="str">
        <f aca="false">IF(AND(ISNUMBER(M24),ISNUMBER(L24),L24&lt;&gt;0),M24/L24-1,"")</f>
        <v/>
      </c>
      <c r="N88" s="44" t="str">
        <f aca="false">IF(AND(ISNUMBER(N24),ISNUMBER(M24),M24&lt;&gt;0),N24/M24-1,"")</f>
        <v/>
      </c>
    </row>
    <row r="89" customFormat="false" ht="15" hidden="false" customHeight="false" outlineLevel="0" collapsed="false">
      <c r="A89" s="61" t="s">
        <v>983</v>
      </c>
      <c r="C89" s="5" t="s">
        <v>984</v>
      </c>
      <c r="F89" s="44" t="str">
        <f aca="false">IF(AND(ISNUMBER(F25),ISNUMBER(E25),E25&lt;&gt;0),F25/E25-1,"")</f>
        <v/>
      </c>
      <c r="G89" s="44" t="str">
        <f aca="false">IF(AND(ISNUMBER(G25),ISNUMBER(F25),F25&lt;&gt;0),G25/F25-1,"")</f>
        <v/>
      </c>
      <c r="H89" s="44" t="str">
        <f aca="false">IF(AND(ISNUMBER(H25),ISNUMBER(G25),G25&lt;&gt;0),H25/G25-1,"")</f>
        <v/>
      </c>
      <c r="I89" s="44" t="str">
        <f aca="false">IF(AND(ISNUMBER(I25),ISNUMBER(H25),H25&lt;&gt;0),I25/H25-1,"")</f>
        <v/>
      </c>
      <c r="J89" s="44" t="str">
        <f aca="false">IF(AND(ISNUMBER(J25),ISNUMBER(I25),I25&lt;&gt;0),J25/I25-1,"")</f>
        <v/>
      </c>
      <c r="K89" s="44" t="str">
        <f aca="false">IF(AND(ISNUMBER(K25),ISNUMBER(J25),J25&lt;&gt;0),K25/J25-1,"")</f>
        <v/>
      </c>
      <c r="L89" s="44" t="str">
        <f aca="false">IF(AND(ISNUMBER(L25),ISNUMBER(K25),K25&lt;&gt;0),L25/K25-1,"")</f>
        <v/>
      </c>
      <c r="M89" s="44" t="str">
        <f aca="false">IF(AND(ISNUMBER(M25),ISNUMBER(L25),L25&lt;&gt;0),M25/L25-1,"")</f>
        <v/>
      </c>
      <c r="N89" s="44" t="str">
        <f aca="false">IF(AND(ISNUMBER(N25),ISNUMBER(M25),M25&lt;&gt;0),N25/M25-1,"")</f>
        <v/>
      </c>
    </row>
    <row r="90" customFormat="false" ht="15" hidden="false" customHeight="false" outlineLevel="0" collapsed="false">
      <c r="A90" s="61" t="s">
        <v>985</v>
      </c>
      <c r="C90" s="5" t="s">
        <v>986</v>
      </c>
      <c r="F90" s="44" t="str">
        <f aca="false">IF(AND(ISNUMBER(F26),ISNUMBER(E26),E26&lt;&gt;0),F26/E26-1,"")</f>
        <v/>
      </c>
      <c r="G90" s="44" t="str">
        <f aca="false">IF(AND(ISNUMBER(G26),ISNUMBER(F26),F26&lt;&gt;0),G26/F26-1,"")</f>
        <v/>
      </c>
      <c r="H90" s="44" t="str">
        <f aca="false">IF(AND(ISNUMBER(H26),ISNUMBER(G26),G26&lt;&gt;0),H26/G26-1,"")</f>
        <v/>
      </c>
      <c r="I90" s="44" t="str">
        <f aca="false">IF(AND(ISNUMBER(I26),ISNUMBER(H26),H26&lt;&gt;0),I26/H26-1,"")</f>
        <v/>
      </c>
      <c r="J90" s="44" t="str">
        <f aca="false">IF(AND(ISNUMBER(J26),ISNUMBER(I26),I26&lt;&gt;0),J26/I26-1,"")</f>
        <v/>
      </c>
      <c r="K90" s="44" t="str">
        <f aca="false">IF(AND(ISNUMBER(K26),ISNUMBER(J26),J26&lt;&gt;0),K26/J26-1,"")</f>
        <v/>
      </c>
      <c r="L90" s="44" t="str">
        <f aca="false">IF(AND(ISNUMBER(L26),ISNUMBER(K26),K26&lt;&gt;0),L26/K26-1,"")</f>
        <v/>
      </c>
      <c r="M90" s="44" t="str">
        <f aca="false">IF(AND(ISNUMBER(M26),ISNUMBER(L26),L26&lt;&gt;0),M26/L26-1,"")</f>
        <v/>
      </c>
      <c r="N90" s="44" t="str">
        <f aca="false">IF(AND(ISNUMBER(N26),ISNUMBER(M26),M26&lt;&gt;0),N26/M26-1,"")</f>
        <v/>
      </c>
    </row>
    <row r="91" customFormat="false" ht="15" hidden="false" customHeight="false" outlineLevel="0" collapsed="false">
      <c r="A91" s="61" t="s">
        <v>987</v>
      </c>
      <c r="C91" s="5" t="s">
        <v>988</v>
      </c>
      <c r="F91" s="44" t="str">
        <f aca="false">IF(AND(ISNUMBER(F27),ISNUMBER(E27),E27&lt;&gt;0),F27/E27-1,"")</f>
        <v/>
      </c>
      <c r="G91" s="44" t="str">
        <f aca="false">IF(AND(ISNUMBER(G27),ISNUMBER(F27),F27&lt;&gt;0),G27/F27-1,"")</f>
        <v/>
      </c>
      <c r="H91" s="44" t="str">
        <f aca="false">IF(AND(ISNUMBER(H27),ISNUMBER(G27),G27&lt;&gt;0),H27/G27-1,"")</f>
        <v/>
      </c>
      <c r="I91" s="44" t="str">
        <f aca="false">IF(AND(ISNUMBER(I27),ISNUMBER(H27),H27&lt;&gt;0),I27/H27-1,"")</f>
        <v/>
      </c>
      <c r="J91" s="44" t="str">
        <f aca="false">IF(AND(ISNUMBER(J27),ISNUMBER(I27),I27&lt;&gt;0),J27/I27-1,"")</f>
        <v/>
      </c>
      <c r="K91" s="44" t="str">
        <f aca="false">IF(AND(ISNUMBER(K27),ISNUMBER(J27),J27&lt;&gt;0),K27/J27-1,"")</f>
        <v/>
      </c>
      <c r="L91" s="44" t="str">
        <f aca="false">IF(AND(ISNUMBER(L27),ISNUMBER(K27),K27&lt;&gt;0),L27/K27-1,"")</f>
        <v/>
      </c>
      <c r="M91" s="44" t="str">
        <f aca="false">IF(AND(ISNUMBER(M27),ISNUMBER(L27),L27&lt;&gt;0),M27/L27-1,"")</f>
        <v/>
      </c>
      <c r="N91" s="44" t="str">
        <f aca="false">IF(AND(ISNUMBER(N27),ISNUMBER(M27),M27&lt;&gt;0),N27/M27-1,"")</f>
        <v/>
      </c>
    </row>
    <row r="92" customFormat="false" ht="15" hidden="false" customHeight="false" outlineLevel="0" collapsed="false">
      <c r="A92" s="61" t="s">
        <v>989</v>
      </c>
      <c r="C92" s="5" t="s">
        <v>990</v>
      </c>
      <c r="F92" s="44" t="str">
        <f aca="false">IF(AND(ISNUMBER(F28),ISNUMBER(E28),E28&lt;&gt;0),F28/E28-1,"")</f>
        <v/>
      </c>
      <c r="G92" s="44" t="str">
        <f aca="false">IF(AND(ISNUMBER(G28),ISNUMBER(F28),F28&lt;&gt;0),G28/F28-1,"")</f>
        <v/>
      </c>
      <c r="H92" s="44" t="str">
        <f aca="false">IF(AND(ISNUMBER(H28),ISNUMBER(G28),G28&lt;&gt;0),H28/G28-1,"")</f>
        <v/>
      </c>
      <c r="I92" s="44" t="str">
        <f aca="false">IF(AND(ISNUMBER(I28),ISNUMBER(H28),H28&lt;&gt;0),I28/H28-1,"")</f>
        <v/>
      </c>
      <c r="J92" s="44" t="str">
        <f aca="false">IF(AND(ISNUMBER(J28),ISNUMBER(I28),I28&lt;&gt;0),J28/I28-1,"")</f>
        <v/>
      </c>
      <c r="K92" s="44" t="str">
        <f aca="false">IF(AND(ISNUMBER(K28),ISNUMBER(J28),J28&lt;&gt;0),K28/J28-1,"")</f>
        <v/>
      </c>
      <c r="L92" s="44" t="str">
        <f aca="false">IF(AND(ISNUMBER(L28),ISNUMBER(K28),K28&lt;&gt;0),L28/K28-1,"")</f>
        <v/>
      </c>
      <c r="M92" s="44" t="str">
        <f aca="false">IF(AND(ISNUMBER(M28),ISNUMBER(L28),L28&lt;&gt;0),M28/L28-1,"")</f>
        <v/>
      </c>
      <c r="N92" s="44" t="str">
        <f aca="false">IF(AND(ISNUMBER(N28),ISNUMBER(M28),M28&lt;&gt;0),N28/M28-1,"")</f>
        <v/>
      </c>
    </row>
    <row r="93" customFormat="false" ht="15" hidden="false" customHeight="false" outlineLevel="0" collapsed="false">
      <c r="A93" s="61" t="s">
        <v>991</v>
      </c>
      <c r="C93" s="5" t="s">
        <v>992</v>
      </c>
      <c r="F93" s="44" t="str">
        <f aca="false">IF(AND(ISNUMBER(F29),ISNUMBER(E29),E29&lt;&gt;0),F29/E29-1,"")</f>
        <v/>
      </c>
      <c r="G93" s="44" t="str">
        <f aca="false">IF(AND(ISNUMBER(G29),ISNUMBER(F29),F29&lt;&gt;0),G29/F29-1,"")</f>
        <v/>
      </c>
      <c r="H93" s="44" t="str">
        <f aca="false">IF(AND(ISNUMBER(H29),ISNUMBER(G29),G29&lt;&gt;0),H29/G29-1,"")</f>
        <v/>
      </c>
      <c r="I93" s="44" t="str">
        <f aca="false">IF(AND(ISNUMBER(I29),ISNUMBER(H29),H29&lt;&gt;0),I29/H29-1,"")</f>
        <v/>
      </c>
      <c r="J93" s="44" t="str">
        <f aca="false">IF(AND(ISNUMBER(J29),ISNUMBER(I29),I29&lt;&gt;0),J29/I29-1,"")</f>
        <v/>
      </c>
      <c r="K93" s="44" t="str">
        <f aca="false">IF(AND(ISNUMBER(K29),ISNUMBER(J29),J29&lt;&gt;0),K29/J29-1,"")</f>
        <v/>
      </c>
      <c r="L93" s="44" t="str">
        <f aca="false">IF(AND(ISNUMBER(L29),ISNUMBER(K29),K29&lt;&gt;0),L29/K29-1,"")</f>
        <v/>
      </c>
      <c r="M93" s="44" t="str">
        <f aca="false">IF(AND(ISNUMBER(M29),ISNUMBER(L29),L29&lt;&gt;0),M29/L29-1,"")</f>
        <v/>
      </c>
      <c r="N93" s="44" t="str">
        <f aca="false">IF(AND(ISNUMBER(N29),ISNUMBER(M29),M29&lt;&gt;0),N29/M29-1,"")</f>
        <v/>
      </c>
    </row>
    <row r="94" customFormat="false" ht="23.85" hidden="false" customHeight="false" outlineLevel="0" collapsed="false">
      <c r="A94" s="61" t="s">
        <v>993</v>
      </c>
      <c r="C94" s="5" t="s">
        <v>994</v>
      </c>
      <c r="F94" s="44" t="str">
        <f aca="false">IF(AND(ISNUMBER(F30),ISNUMBER(E30),E30&lt;&gt;0),F30/E30-1,"")</f>
        <v/>
      </c>
      <c r="G94" s="44" t="str">
        <f aca="false">IF(AND(ISNUMBER(G30),ISNUMBER(F30),F30&lt;&gt;0),G30/F30-1,"")</f>
        <v/>
      </c>
      <c r="H94" s="44" t="str">
        <f aca="false">IF(AND(ISNUMBER(H30),ISNUMBER(G30),G30&lt;&gt;0),H30/G30-1,"")</f>
        <v/>
      </c>
      <c r="I94" s="44" t="str">
        <f aca="false">IF(AND(ISNUMBER(I30),ISNUMBER(H30),H30&lt;&gt;0),I30/H30-1,"")</f>
        <v/>
      </c>
      <c r="J94" s="44" t="str">
        <f aca="false">IF(AND(ISNUMBER(J30),ISNUMBER(I30),I30&lt;&gt;0),J30/I30-1,"")</f>
        <v/>
      </c>
      <c r="K94" s="44" t="str">
        <f aca="false">IF(AND(ISNUMBER(K30),ISNUMBER(J30),J30&lt;&gt;0),K30/J30-1,"")</f>
        <v/>
      </c>
      <c r="L94" s="44" t="str">
        <f aca="false">IF(AND(ISNUMBER(L30),ISNUMBER(K30),K30&lt;&gt;0),L30/K30-1,"")</f>
        <v/>
      </c>
      <c r="M94" s="44" t="str">
        <f aca="false">IF(AND(ISNUMBER(M30),ISNUMBER(L30),L30&lt;&gt;0),M30/L30-1,"")</f>
        <v/>
      </c>
      <c r="N94" s="44" t="str">
        <f aca="false">IF(AND(ISNUMBER(N30),ISNUMBER(M30),M30&lt;&gt;0),N30/M30-1,"")</f>
        <v/>
      </c>
    </row>
    <row r="95" customFormat="false" ht="23.85" hidden="false" customHeight="false" outlineLevel="0" collapsed="false">
      <c r="A95" s="61" t="s">
        <v>996</v>
      </c>
      <c r="C95" s="5" t="s">
        <v>997</v>
      </c>
      <c r="F95" s="44" t="str">
        <f aca="false">IF(AND(ISNUMBER(F31),ISNUMBER(E31),E31&lt;&gt;0),F31/E31-1,"")</f>
        <v/>
      </c>
      <c r="G95" s="44" t="str">
        <f aca="false">IF(AND(ISNUMBER(G31),ISNUMBER(F31),F31&lt;&gt;0),G31/F31-1,"")</f>
        <v/>
      </c>
      <c r="H95" s="44" t="str">
        <f aca="false">IF(AND(ISNUMBER(H31),ISNUMBER(G31),G31&lt;&gt;0),H31/G31-1,"")</f>
        <v/>
      </c>
      <c r="I95" s="44" t="str">
        <f aca="false">IF(AND(ISNUMBER(I31),ISNUMBER(H31),H31&lt;&gt;0),I31/H31-1,"")</f>
        <v/>
      </c>
      <c r="J95" s="44" t="str">
        <f aca="false">IF(AND(ISNUMBER(J31),ISNUMBER(I31),I31&lt;&gt;0),J31/I31-1,"")</f>
        <v/>
      </c>
      <c r="K95" s="44" t="str">
        <f aca="false">IF(AND(ISNUMBER(K31),ISNUMBER(J31),J31&lt;&gt;0),K31/J31-1,"")</f>
        <v/>
      </c>
      <c r="L95" s="44" t="str">
        <f aca="false">IF(AND(ISNUMBER(L31),ISNUMBER(K31),K31&lt;&gt;0),L31/K31-1,"")</f>
        <v/>
      </c>
      <c r="M95" s="44" t="str">
        <f aca="false">IF(AND(ISNUMBER(M31),ISNUMBER(L31),L31&lt;&gt;0),M31/L31-1,"")</f>
        <v/>
      </c>
      <c r="N95" s="44" t="str">
        <f aca="false">IF(AND(ISNUMBER(N31),ISNUMBER(M31),M31&lt;&gt;0),N31/M31-1,"")</f>
        <v/>
      </c>
    </row>
    <row r="96" customFormat="false" ht="23.85" hidden="false" customHeight="false" outlineLevel="0" collapsed="false">
      <c r="A96" s="61" t="s">
        <v>998</v>
      </c>
      <c r="C96" s="5" t="s">
        <v>999</v>
      </c>
      <c r="F96" s="44" t="str">
        <f aca="false">IF(AND(ISNUMBER(F32),ISNUMBER(E32),E32&lt;&gt;0),F32/E32-1,"")</f>
        <v/>
      </c>
      <c r="G96" s="44" t="str">
        <f aca="false">IF(AND(ISNUMBER(G32),ISNUMBER(F32),F32&lt;&gt;0),G32/F32-1,"")</f>
        <v/>
      </c>
      <c r="H96" s="44" t="str">
        <f aca="false">IF(AND(ISNUMBER(H32),ISNUMBER(G32),G32&lt;&gt;0),H32/G32-1,"")</f>
        <v/>
      </c>
      <c r="I96" s="44" t="str">
        <f aca="false">IF(AND(ISNUMBER(I32),ISNUMBER(H32),H32&lt;&gt;0),I32/H32-1,"")</f>
        <v/>
      </c>
      <c r="J96" s="44" t="str">
        <f aca="false">IF(AND(ISNUMBER(J32),ISNUMBER(I32),I32&lt;&gt;0),J32/I32-1,"")</f>
        <v/>
      </c>
      <c r="K96" s="44" t="str">
        <f aca="false">IF(AND(ISNUMBER(K32),ISNUMBER(J32),J32&lt;&gt;0),K32/J32-1,"")</f>
        <v/>
      </c>
      <c r="L96" s="44" t="str">
        <f aca="false">IF(AND(ISNUMBER(L32),ISNUMBER(K32),K32&lt;&gt;0),L32/K32-1,"")</f>
        <v/>
      </c>
      <c r="M96" s="44" t="str">
        <f aca="false">IF(AND(ISNUMBER(M32),ISNUMBER(L32),L32&lt;&gt;0),M32/L32-1,"")</f>
        <v/>
      </c>
      <c r="N96" s="44" t="str">
        <f aca="false">IF(AND(ISNUMBER(N32),ISNUMBER(M32),M32&lt;&gt;0),N32/M32-1,"")</f>
        <v/>
      </c>
    </row>
    <row r="97" customFormat="false" ht="23.85" hidden="false" customHeight="false" outlineLevel="0" collapsed="false">
      <c r="A97" s="61" t="s">
        <v>1000</v>
      </c>
      <c r="C97" s="5" t="s">
        <v>1001</v>
      </c>
      <c r="F97" s="44" t="str">
        <f aca="false">IF(AND(ISNUMBER(F33),ISNUMBER(E33),E33&lt;&gt;0),F33/E33-1,"")</f>
        <v/>
      </c>
      <c r="G97" s="44" t="str">
        <f aca="false">IF(AND(ISNUMBER(G33),ISNUMBER(F33),F33&lt;&gt;0),G33/F33-1,"")</f>
        <v/>
      </c>
      <c r="H97" s="44" t="str">
        <f aca="false">IF(AND(ISNUMBER(H33),ISNUMBER(G33),G33&lt;&gt;0),H33/G33-1,"")</f>
        <v/>
      </c>
      <c r="I97" s="44" t="str">
        <f aca="false">IF(AND(ISNUMBER(I33),ISNUMBER(H33),H33&lt;&gt;0),I33/H33-1,"")</f>
        <v/>
      </c>
      <c r="J97" s="44" t="str">
        <f aca="false">IF(AND(ISNUMBER(J33),ISNUMBER(I33),I33&lt;&gt;0),J33/I33-1,"")</f>
        <v/>
      </c>
      <c r="K97" s="44" t="str">
        <f aca="false">IF(AND(ISNUMBER(K33),ISNUMBER(J33),J33&lt;&gt;0),K33/J33-1,"")</f>
        <v/>
      </c>
      <c r="L97" s="44" t="str">
        <f aca="false">IF(AND(ISNUMBER(L33),ISNUMBER(K33),K33&lt;&gt;0),L33/K33-1,"")</f>
        <v/>
      </c>
      <c r="M97" s="44" t="str">
        <f aca="false">IF(AND(ISNUMBER(M33),ISNUMBER(L33),L33&lt;&gt;0),M33/L33-1,"")</f>
        <v/>
      </c>
      <c r="N97" s="44" t="str">
        <f aca="false">IF(AND(ISNUMBER(N33),ISNUMBER(M33),M33&lt;&gt;0),N33/M33-1,"")</f>
        <v/>
      </c>
    </row>
    <row r="98" customFormat="false" ht="23.85" hidden="false" customHeight="false" outlineLevel="0" collapsed="false">
      <c r="A98" s="61" t="s">
        <v>1002</v>
      </c>
      <c r="C98" s="5" t="s">
        <v>1003</v>
      </c>
      <c r="F98" s="44" t="str">
        <f aca="false">IF(AND(ISNUMBER(F34),ISNUMBER(E34),E34&lt;&gt;0),F34/E34-1,"")</f>
        <v/>
      </c>
      <c r="G98" s="44" t="str">
        <f aca="false">IF(AND(ISNUMBER(G34),ISNUMBER(F34),F34&lt;&gt;0),G34/F34-1,"")</f>
        <v/>
      </c>
      <c r="H98" s="44" t="str">
        <f aca="false">IF(AND(ISNUMBER(H34),ISNUMBER(G34),G34&lt;&gt;0),H34/G34-1,"")</f>
        <v/>
      </c>
      <c r="I98" s="44" t="str">
        <f aca="false">IF(AND(ISNUMBER(I34),ISNUMBER(H34),H34&lt;&gt;0),I34/H34-1,"")</f>
        <v/>
      </c>
      <c r="J98" s="44" t="str">
        <f aca="false">IF(AND(ISNUMBER(J34),ISNUMBER(I34),I34&lt;&gt;0),J34/I34-1,"")</f>
        <v/>
      </c>
      <c r="K98" s="44" t="str">
        <f aca="false">IF(AND(ISNUMBER(K34),ISNUMBER(J34),J34&lt;&gt;0),K34/J34-1,"")</f>
        <v/>
      </c>
      <c r="L98" s="44" t="str">
        <f aca="false">IF(AND(ISNUMBER(L34),ISNUMBER(K34),K34&lt;&gt;0),L34/K34-1,"")</f>
        <v/>
      </c>
      <c r="M98" s="44" t="str">
        <f aca="false">IF(AND(ISNUMBER(M34),ISNUMBER(L34),L34&lt;&gt;0),M34/L34-1,"")</f>
        <v/>
      </c>
      <c r="N98" s="44" t="str">
        <f aca="false">IF(AND(ISNUMBER(N34),ISNUMBER(M34),M34&lt;&gt;0),N34/M34-1,"")</f>
        <v/>
      </c>
    </row>
    <row r="99" customFormat="false" ht="23.85" hidden="false" customHeight="false" outlineLevel="0" collapsed="false">
      <c r="A99" s="61" t="s">
        <v>1004</v>
      </c>
      <c r="C99" s="5" t="s">
        <v>1005</v>
      </c>
      <c r="F99" s="44" t="str">
        <f aca="false">IF(AND(ISNUMBER(F35),ISNUMBER(E35),E35&lt;&gt;0),F35/E35-1,"")</f>
        <v/>
      </c>
      <c r="G99" s="44" t="str">
        <f aca="false">IF(AND(ISNUMBER(G35),ISNUMBER(F35),F35&lt;&gt;0),G35/F35-1,"")</f>
        <v/>
      </c>
      <c r="H99" s="44" t="str">
        <f aca="false">IF(AND(ISNUMBER(H35),ISNUMBER(G35),G35&lt;&gt;0),H35/G35-1,"")</f>
        <v/>
      </c>
      <c r="I99" s="44" t="str">
        <f aca="false">IF(AND(ISNUMBER(I35),ISNUMBER(H35),H35&lt;&gt;0),I35/H35-1,"")</f>
        <v/>
      </c>
      <c r="J99" s="44" t="str">
        <f aca="false">IF(AND(ISNUMBER(J35),ISNUMBER(I35),I35&lt;&gt;0),J35/I35-1,"")</f>
        <v/>
      </c>
      <c r="K99" s="44" t="str">
        <f aca="false">IF(AND(ISNUMBER(K35),ISNUMBER(J35),J35&lt;&gt;0),K35/J35-1,"")</f>
        <v/>
      </c>
      <c r="L99" s="44" t="str">
        <f aca="false">IF(AND(ISNUMBER(L35),ISNUMBER(K35),K35&lt;&gt;0),L35/K35-1,"")</f>
        <v/>
      </c>
      <c r="M99" s="44" t="str">
        <f aca="false">IF(AND(ISNUMBER(M35),ISNUMBER(L35),L35&lt;&gt;0),M35/L35-1,"")</f>
        <v/>
      </c>
      <c r="N99" s="44" t="str">
        <f aca="false">IF(AND(ISNUMBER(N35),ISNUMBER(M35),M35&lt;&gt;0),N35/M35-1,"")</f>
        <v/>
      </c>
    </row>
    <row r="100" customFormat="false" ht="23.85" hidden="false" customHeight="false" outlineLevel="0" collapsed="false">
      <c r="A100" s="61" t="s">
        <v>1006</v>
      </c>
      <c r="C100" s="5" t="s">
        <v>1007</v>
      </c>
      <c r="F100" s="44" t="str">
        <f aca="false">IF(AND(ISNUMBER(F36),ISNUMBER(E36),E36&lt;&gt;0),F36/E36-1,"")</f>
        <v/>
      </c>
      <c r="G100" s="44" t="str">
        <f aca="false">IF(AND(ISNUMBER(G36),ISNUMBER(F36),F36&lt;&gt;0),G36/F36-1,"")</f>
        <v/>
      </c>
      <c r="H100" s="44" t="str">
        <f aca="false">IF(AND(ISNUMBER(H36),ISNUMBER(G36),G36&lt;&gt;0),H36/G36-1,"")</f>
        <v/>
      </c>
      <c r="I100" s="44" t="str">
        <f aca="false">IF(AND(ISNUMBER(I36),ISNUMBER(H36),H36&lt;&gt;0),I36/H36-1,"")</f>
        <v/>
      </c>
      <c r="J100" s="44" t="str">
        <f aca="false">IF(AND(ISNUMBER(J36),ISNUMBER(I36),I36&lt;&gt;0),J36/I36-1,"")</f>
        <v/>
      </c>
      <c r="K100" s="44" t="str">
        <f aca="false">IF(AND(ISNUMBER(K36),ISNUMBER(J36),J36&lt;&gt;0),K36/J36-1,"")</f>
        <v/>
      </c>
      <c r="L100" s="44" t="str">
        <f aca="false">IF(AND(ISNUMBER(L36),ISNUMBER(K36),K36&lt;&gt;0),L36/K36-1,"")</f>
        <v/>
      </c>
      <c r="M100" s="44" t="str">
        <f aca="false">IF(AND(ISNUMBER(M36),ISNUMBER(L36),L36&lt;&gt;0),M36/L36-1,"")</f>
        <v/>
      </c>
      <c r="N100" s="44" t="str">
        <f aca="false">IF(AND(ISNUMBER(N36),ISNUMBER(M36),M36&lt;&gt;0),N36/M36-1,"")</f>
        <v/>
      </c>
    </row>
    <row r="101" customFormat="false" ht="23.85" hidden="false" customHeight="false" outlineLevel="0" collapsed="false">
      <c r="A101" s="61" t="s">
        <v>1008</v>
      </c>
      <c r="C101" s="5" t="s">
        <v>1009</v>
      </c>
      <c r="F101" s="44" t="str">
        <f aca="false">IF(AND(ISNUMBER(F37),ISNUMBER(E37),E37&lt;&gt;0),F37/E37-1,"")</f>
        <v/>
      </c>
      <c r="G101" s="44" t="str">
        <f aca="false">IF(AND(ISNUMBER(G37),ISNUMBER(F37),F37&lt;&gt;0),G37/F37-1,"")</f>
        <v/>
      </c>
      <c r="H101" s="44" t="str">
        <f aca="false">IF(AND(ISNUMBER(H37),ISNUMBER(G37),G37&lt;&gt;0),H37/G37-1,"")</f>
        <v/>
      </c>
      <c r="I101" s="44" t="str">
        <f aca="false">IF(AND(ISNUMBER(I37),ISNUMBER(H37),H37&lt;&gt;0),I37/H37-1,"")</f>
        <v/>
      </c>
      <c r="J101" s="44" t="str">
        <f aca="false">IF(AND(ISNUMBER(J37),ISNUMBER(I37),I37&lt;&gt;0),J37/I37-1,"")</f>
        <v/>
      </c>
      <c r="K101" s="44" t="str">
        <f aca="false">IF(AND(ISNUMBER(K37),ISNUMBER(J37),J37&lt;&gt;0),K37/J37-1,"")</f>
        <v/>
      </c>
      <c r="L101" s="44" t="str">
        <f aca="false">IF(AND(ISNUMBER(L37),ISNUMBER(K37),K37&lt;&gt;0),L37/K37-1,"")</f>
        <v/>
      </c>
      <c r="M101" s="44" t="str">
        <f aca="false">IF(AND(ISNUMBER(M37),ISNUMBER(L37),L37&lt;&gt;0),M37/L37-1,"")</f>
        <v/>
      </c>
      <c r="N101" s="44" t="str">
        <f aca="false">IF(AND(ISNUMBER(N37),ISNUMBER(M37),M37&lt;&gt;0),N37/M37-1,"")</f>
        <v/>
      </c>
    </row>
    <row r="102" customFormat="false" ht="15" hidden="false" customHeight="false" outlineLevel="0" collapsed="false">
      <c r="A102" s="61" t="s">
        <v>1010</v>
      </c>
      <c r="C102" s="5" t="s">
        <v>1011</v>
      </c>
      <c r="F102" s="44" t="str">
        <f aca="false">IF(AND(ISNUMBER(F38),ISNUMBER(E38),E38&lt;&gt;0),F38/E38-1,"")</f>
        <v/>
      </c>
      <c r="G102" s="44" t="str">
        <f aca="false">IF(AND(ISNUMBER(G38),ISNUMBER(F38),F38&lt;&gt;0),G38/F38-1,"")</f>
        <v/>
      </c>
      <c r="H102" s="44" t="str">
        <f aca="false">IF(AND(ISNUMBER(H38),ISNUMBER(G38),G38&lt;&gt;0),H38/G38-1,"")</f>
        <v/>
      </c>
      <c r="I102" s="44" t="str">
        <f aca="false">IF(AND(ISNUMBER(I38),ISNUMBER(H38),H38&lt;&gt;0),I38/H38-1,"")</f>
        <v/>
      </c>
      <c r="J102" s="44" t="str">
        <f aca="false">IF(AND(ISNUMBER(J38),ISNUMBER(I38),I38&lt;&gt;0),J38/I38-1,"")</f>
        <v/>
      </c>
      <c r="K102" s="44" t="str">
        <f aca="false">IF(AND(ISNUMBER(K38),ISNUMBER(J38),J38&lt;&gt;0),K38/J38-1,"")</f>
        <v/>
      </c>
      <c r="L102" s="44" t="str">
        <f aca="false">IF(AND(ISNUMBER(L38),ISNUMBER(K38),K38&lt;&gt;0),L38/K38-1,"")</f>
        <v/>
      </c>
      <c r="M102" s="44" t="str">
        <f aca="false">IF(AND(ISNUMBER(M38),ISNUMBER(L38),L38&lt;&gt;0),M38/L38-1,"")</f>
        <v/>
      </c>
      <c r="N102" s="44" t="str">
        <f aca="false">IF(AND(ISNUMBER(N38),ISNUMBER(M38),M38&lt;&gt;0),N38/M38-1,"")</f>
        <v/>
      </c>
    </row>
    <row r="103" customFormat="false" ht="15" hidden="false" customHeight="false" outlineLevel="0" collapsed="false">
      <c r="A103" s="61" t="s">
        <v>1013</v>
      </c>
      <c r="C103" s="5" t="s">
        <v>1014</v>
      </c>
      <c r="F103" s="44" t="str">
        <f aca="false">IF(AND(ISNUMBER(F39),ISNUMBER(E39),E39&lt;&gt;0),F39/E39-1,"")</f>
        <v/>
      </c>
      <c r="G103" s="44" t="str">
        <f aca="false">IF(AND(ISNUMBER(G39),ISNUMBER(F39),F39&lt;&gt;0),G39/F39-1,"")</f>
        <v/>
      </c>
      <c r="H103" s="44" t="str">
        <f aca="false">IF(AND(ISNUMBER(H39),ISNUMBER(G39),G39&lt;&gt;0),H39/G39-1,"")</f>
        <v/>
      </c>
      <c r="I103" s="44" t="str">
        <f aca="false">IF(AND(ISNUMBER(I39),ISNUMBER(H39),H39&lt;&gt;0),I39/H39-1,"")</f>
        <v/>
      </c>
      <c r="J103" s="44" t="str">
        <f aca="false">IF(AND(ISNUMBER(J39),ISNUMBER(I39),I39&lt;&gt;0),J39/I39-1,"")</f>
        <v/>
      </c>
      <c r="K103" s="44" t="str">
        <f aca="false">IF(AND(ISNUMBER(K39),ISNUMBER(J39),J39&lt;&gt;0),K39/J39-1,"")</f>
        <v/>
      </c>
      <c r="L103" s="44" t="str">
        <f aca="false">IF(AND(ISNUMBER(L39),ISNUMBER(K39),K39&lt;&gt;0),L39/K39-1,"")</f>
        <v/>
      </c>
      <c r="M103" s="44" t="str">
        <f aca="false">IF(AND(ISNUMBER(M39),ISNUMBER(L39),L39&lt;&gt;0),M39/L39-1,"")</f>
        <v/>
      </c>
      <c r="N103" s="44" t="str">
        <f aca="false">IF(AND(ISNUMBER(N39),ISNUMBER(M39),M39&lt;&gt;0),N39/M39-1,"")</f>
        <v/>
      </c>
    </row>
    <row r="104" customFormat="false" ht="15" hidden="false" customHeight="false" outlineLevel="0" collapsed="false">
      <c r="A104" s="61" t="s">
        <v>1015</v>
      </c>
      <c r="C104" s="5" t="s">
        <v>1016</v>
      </c>
      <c r="F104" s="44" t="str">
        <f aca="false">IF(AND(ISNUMBER(F40),ISNUMBER(E40),E40&lt;&gt;0),F40/E40-1,"")</f>
        <v/>
      </c>
      <c r="G104" s="44" t="str">
        <f aca="false">IF(AND(ISNUMBER(G40),ISNUMBER(F40),F40&lt;&gt;0),G40/F40-1,"")</f>
        <v/>
      </c>
      <c r="H104" s="44" t="str">
        <f aca="false">IF(AND(ISNUMBER(H40),ISNUMBER(G40),G40&lt;&gt;0),H40/G40-1,"")</f>
        <v/>
      </c>
      <c r="I104" s="44" t="str">
        <f aca="false">IF(AND(ISNUMBER(I40),ISNUMBER(H40),H40&lt;&gt;0),I40/H40-1,"")</f>
        <v/>
      </c>
      <c r="J104" s="44" t="str">
        <f aca="false">IF(AND(ISNUMBER(J40),ISNUMBER(I40),I40&lt;&gt;0),J40/I40-1,"")</f>
        <v/>
      </c>
      <c r="K104" s="44" t="str">
        <f aca="false">IF(AND(ISNUMBER(K40),ISNUMBER(J40),J40&lt;&gt;0),K40/J40-1,"")</f>
        <v/>
      </c>
      <c r="L104" s="44" t="str">
        <f aca="false">IF(AND(ISNUMBER(L40),ISNUMBER(K40),K40&lt;&gt;0),L40/K40-1,"")</f>
        <v/>
      </c>
      <c r="M104" s="44" t="str">
        <f aca="false">IF(AND(ISNUMBER(M40),ISNUMBER(L40),L40&lt;&gt;0),M40/L40-1,"")</f>
        <v/>
      </c>
      <c r="N104" s="44" t="str">
        <f aca="false">IF(AND(ISNUMBER(N40),ISNUMBER(M40),M40&lt;&gt;0),N40/M40-1,"")</f>
        <v/>
      </c>
    </row>
    <row r="105" customFormat="false" ht="15" hidden="false" customHeight="false" outlineLevel="0" collapsed="false">
      <c r="A105" s="61" t="s">
        <v>1017</v>
      </c>
      <c r="C105" s="5" t="s">
        <v>1018</v>
      </c>
      <c r="F105" s="44" t="str">
        <f aca="false">IF(AND(ISNUMBER(F41),ISNUMBER(E41),E41&lt;&gt;0),F41/E41-1,"")</f>
        <v/>
      </c>
      <c r="G105" s="44" t="str">
        <f aca="false">IF(AND(ISNUMBER(G41),ISNUMBER(F41),F41&lt;&gt;0),G41/F41-1,"")</f>
        <v/>
      </c>
      <c r="H105" s="44" t="str">
        <f aca="false">IF(AND(ISNUMBER(H41),ISNUMBER(G41),G41&lt;&gt;0),H41/G41-1,"")</f>
        <v/>
      </c>
      <c r="I105" s="44" t="str">
        <f aca="false">IF(AND(ISNUMBER(I41),ISNUMBER(H41),H41&lt;&gt;0),I41/H41-1,"")</f>
        <v/>
      </c>
      <c r="J105" s="44" t="str">
        <f aca="false">IF(AND(ISNUMBER(J41),ISNUMBER(I41),I41&lt;&gt;0),J41/I41-1,"")</f>
        <v/>
      </c>
      <c r="K105" s="44" t="str">
        <f aca="false">IF(AND(ISNUMBER(K41),ISNUMBER(J41),J41&lt;&gt;0),K41/J41-1,"")</f>
        <v/>
      </c>
      <c r="L105" s="44" t="str">
        <f aca="false">IF(AND(ISNUMBER(L41),ISNUMBER(K41),K41&lt;&gt;0),L41/K41-1,"")</f>
        <v/>
      </c>
      <c r="M105" s="44" t="str">
        <f aca="false">IF(AND(ISNUMBER(M41),ISNUMBER(L41),L41&lt;&gt;0),M41/L41-1,"")</f>
        <v/>
      </c>
      <c r="N105" s="44" t="str">
        <f aca="false">IF(AND(ISNUMBER(N41),ISNUMBER(M41),M41&lt;&gt;0),N41/M41-1,"")</f>
        <v/>
      </c>
    </row>
    <row r="106" customFormat="false" ht="15" hidden="false" customHeight="false" outlineLevel="0" collapsed="false">
      <c r="A106" s="61" t="s">
        <v>1019</v>
      </c>
      <c r="C106" s="5" t="s">
        <v>1020</v>
      </c>
      <c r="F106" s="44" t="str">
        <f aca="false">IF(AND(ISNUMBER(F42),ISNUMBER(E42),E42&lt;&gt;0),F42/E42-1,"")</f>
        <v/>
      </c>
      <c r="G106" s="44" t="str">
        <f aca="false">IF(AND(ISNUMBER(G42),ISNUMBER(F42),F42&lt;&gt;0),G42/F42-1,"")</f>
        <v/>
      </c>
      <c r="H106" s="44" t="str">
        <f aca="false">IF(AND(ISNUMBER(H42),ISNUMBER(G42),G42&lt;&gt;0),H42/G42-1,"")</f>
        <v/>
      </c>
      <c r="I106" s="44" t="str">
        <f aca="false">IF(AND(ISNUMBER(I42),ISNUMBER(H42),H42&lt;&gt;0),I42/H42-1,"")</f>
        <v/>
      </c>
      <c r="J106" s="44" t="str">
        <f aca="false">IF(AND(ISNUMBER(J42),ISNUMBER(I42),I42&lt;&gt;0),J42/I42-1,"")</f>
        <v/>
      </c>
      <c r="K106" s="44" t="str">
        <f aca="false">IF(AND(ISNUMBER(K42),ISNUMBER(J42),J42&lt;&gt;0),K42/J42-1,"")</f>
        <v/>
      </c>
      <c r="L106" s="44" t="str">
        <f aca="false">IF(AND(ISNUMBER(L42),ISNUMBER(K42),K42&lt;&gt;0),L42/K42-1,"")</f>
        <v/>
      </c>
      <c r="M106" s="44" t="str">
        <f aca="false">IF(AND(ISNUMBER(M42),ISNUMBER(L42),L42&lt;&gt;0),M42/L42-1,"")</f>
        <v/>
      </c>
      <c r="N106" s="44" t="str">
        <f aca="false">IF(AND(ISNUMBER(N42),ISNUMBER(M42),M42&lt;&gt;0),N42/M42-1,"")</f>
        <v/>
      </c>
    </row>
    <row r="107" customFormat="false" ht="15" hidden="false" customHeight="false" outlineLevel="0" collapsed="false">
      <c r="A107" s="61" t="s">
        <v>1021</v>
      </c>
      <c r="C107" s="5" t="s">
        <v>1022</v>
      </c>
      <c r="F107" s="44" t="str">
        <f aca="false">IF(AND(ISNUMBER(F43),ISNUMBER(E43),E43&lt;&gt;0),F43/E43-1,"")</f>
        <v/>
      </c>
      <c r="G107" s="44" t="str">
        <f aca="false">IF(AND(ISNUMBER(G43),ISNUMBER(F43),F43&lt;&gt;0),G43/F43-1,"")</f>
        <v/>
      </c>
      <c r="H107" s="44" t="str">
        <f aca="false">IF(AND(ISNUMBER(H43),ISNUMBER(G43),G43&lt;&gt;0),H43/G43-1,"")</f>
        <v/>
      </c>
      <c r="I107" s="44" t="str">
        <f aca="false">IF(AND(ISNUMBER(I43),ISNUMBER(H43),H43&lt;&gt;0),I43/H43-1,"")</f>
        <v/>
      </c>
      <c r="J107" s="44" t="str">
        <f aca="false">IF(AND(ISNUMBER(J43),ISNUMBER(I43),I43&lt;&gt;0),J43/I43-1,"")</f>
        <v/>
      </c>
      <c r="K107" s="44" t="str">
        <f aca="false">IF(AND(ISNUMBER(K43),ISNUMBER(J43),J43&lt;&gt;0),K43/J43-1,"")</f>
        <v/>
      </c>
      <c r="L107" s="44" t="str">
        <f aca="false">IF(AND(ISNUMBER(L43),ISNUMBER(K43),K43&lt;&gt;0),L43/K43-1,"")</f>
        <v/>
      </c>
      <c r="M107" s="44" t="str">
        <f aca="false">IF(AND(ISNUMBER(M43),ISNUMBER(L43),L43&lt;&gt;0),M43/L43-1,"")</f>
        <v/>
      </c>
      <c r="N107" s="44" t="str">
        <f aca="false">IF(AND(ISNUMBER(N43),ISNUMBER(M43),M43&lt;&gt;0),N43/M43-1,"")</f>
        <v/>
      </c>
    </row>
    <row r="108" customFormat="false" ht="15" hidden="false" customHeight="false" outlineLevel="0" collapsed="false">
      <c r="A108" s="61" t="s">
        <v>1023</v>
      </c>
      <c r="C108" s="5" t="s">
        <v>1024</v>
      </c>
      <c r="F108" s="44" t="str">
        <f aca="false">IF(AND(ISNUMBER(F44),ISNUMBER(E44),E44&lt;&gt;0),F44/E44-1,"")</f>
        <v/>
      </c>
      <c r="G108" s="44" t="str">
        <f aca="false">IF(AND(ISNUMBER(G44),ISNUMBER(F44),F44&lt;&gt;0),G44/F44-1,"")</f>
        <v/>
      </c>
      <c r="H108" s="44" t="str">
        <f aca="false">IF(AND(ISNUMBER(H44),ISNUMBER(G44),G44&lt;&gt;0),H44/G44-1,"")</f>
        <v/>
      </c>
      <c r="I108" s="44" t="str">
        <f aca="false">IF(AND(ISNUMBER(I44),ISNUMBER(H44),H44&lt;&gt;0),I44/H44-1,"")</f>
        <v/>
      </c>
      <c r="J108" s="44" t="str">
        <f aca="false">IF(AND(ISNUMBER(J44),ISNUMBER(I44),I44&lt;&gt;0),J44/I44-1,"")</f>
        <v/>
      </c>
      <c r="K108" s="44" t="str">
        <f aca="false">IF(AND(ISNUMBER(K44),ISNUMBER(J44),J44&lt;&gt;0),K44/J44-1,"")</f>
        <v/>
      </c>
      <c r="L108" s="44" t="str">
        <f aca="false">IF(AND(ISNUMBER(L44),ISNUMBER(K44),K44&lt;&gt;0),L44/K44-1,"")</f>
        <v/>
      </c>
      <c r="M108" s="44" t="str">
        <f aca="false">IF(AND(ISNUMBER(M44),ISNUMBER(L44),L44&lt;&gt;0),M44/L44-1,"")</f>
        <v/>
      </c>
      <c r="N108" s="44" t="str">
        <f aca="false">IF(AND(ISNUMBER(N44),ISNUMBER(M44),M44&lt;&gt;0),N44/M44-1,"")</f>
        <v/>
      </c>
    </row>
    <row r="109" customFormat="false" ht="15" hidden="false" customHeight="false" outlineLevel="0" collapsed="false">
      <c r="A109" s="61" t="s">
        <v>1025</v>
      </c>
      <c r="C109" s="5" t="s">
        <v>1026</v>
      </c>
      <c r="F109" s="44" t="str">
        <f aca="false">IF(AND(ISNUMBER(F45),ISNUMBER(E45),E45&lt;&gt;0),F45/E45-1,"")</f>
        <v/>
      </c>
      <c r="G109" s="44" t="str">
        <f aca="false">IF(AND(ISNUMBER(G45),ISNUMBER(F45),F45&lt;&gt;0),G45/F45-1,"")</f>
        <v/>
      </c>
      <c r="H109" s="44" t="str">
        <f aca="false">IF(AND(ISNUMBER(H45),ISNUMBER(G45),G45&lt;&gt;0),H45/G45-1,"")</f>
        <v/>
      </c>
      <c r="I109" s="44" t="str">
        <f aca="false">IF(AND(ISNUMBER(I45),ISNUMBER(H45),H45&lt;&gt;0),I45/H45-1,"")</f>
        <v/>
      </c>
      <c r="J109" s="44" t="str">
        <f aca="false">IF(AND(ISNUMBER(J45),ISNUMBER(I45),I45&lt;&gt;0),J45/I45-1,"")</f>
        <v/>
      </c>
      <c r="K109" s="44" t="str">
        <f aca="false">IF(AND(ISNUMBER(K45),ISNUMBER(J45),J45&lt;&gt;0),K45/J45-1,"")</f>
        <v/>
      </c>
      <c r="L109" s="44" t="str">
        <f aca="false">IF(AND(ISNUMBER(L45),ISNUMBER(K45),K45&lt;&gt;0),L45/K45-1,"")</f>
        <v/>
      </c>
      <c r="M109" s="44" t="str">
        <f aca="false">IF(AND(ISNUMBER(M45),ISNUMBER(L45),L45&lt;&gt;0),M45/L45-1,"")</f>
        <v/>
      </c>
      <c r="N109" s="44" t="str">
        <f aca="false">IF(AND(ISNUMBER(N45),ISNUMBER(M45),M45&lt;&gt;0),N45/M45-1,"")</f>
        <v/>
      </c>
    </row>
    <row r="110" customFormat="false" ht="15" hidden="false" customHeight="false" outlineLevel="0" collapsed="false">
      <c r="A110" s="61" t="s">
        <v>1027</v>
      </c>
      <c r="C110" s="5" t="s">
        <v>1029</v>
      </c>
      <c r="F110" s="44" t="str">
        <f aca="false">IF(AND(ISNUMBER(F46),ISNUMBER(E46),E46&lt;&gt;0),F46/E46-1,"")</f>
        <v/>
      </c>
      <c r="G110" s="44" t="str">
        <f aca="false">IF(AND(ISNUMBER(G46),ISNUMBER(F46),F46&lt;&gt;0),G46/F46-1,"")</f>
        <v/>
      </c>
      <c r="H110" s="44" t="str">
        <f aca="false">IF(AND(ISNUMBER(H46),ISNUMBER(G46),G46&lt;&gt;0),H46/G46-1,"")</f>
        <v/>
      </c>
      <c r="I110" s="44" t="str">
        <f aca="false">IF(AND(ISNUMBER(I46),ISNUMBER(H46),H46&lt;&gt;0),I46/H46-1,"")</f>
        <v/>
      </c>
      <c r="J110" s="44" t="str">
        <f aca="false">IF(AND(ISNUMBER(J46),ISNUMBER(I46),I46&lt;&gt;0),J46/I46-1,"")</f>
        <v/>
      </c>
      <c r="K110" s="44" t="str">
        <f aca="false">IF(AND(ISNUMBER(K46),ISNUMBER(J46),J46&lt;&gt;0),K46/J46-1,"")</f>
        <v/>
      </c>
      <c r="L110" s="44" t="str">
        <f aca="false">IF(AND(ISNUMBER(L46),ISNUMBER(K46),K46&lt;&gt;0),L46/K46-1,"")</f>
        <v/>
      </c>
      <c r="M110" s="44" t="str">
        <f aca="false">IF(AND(ISNUMBER(M46),ISNUMBER(L46),L46&lt;&gt;0),M46/L46-1,"")</f>
        <v/>
      </c>
      <c r="N110" s="44" t="str">
        <f aca="false">IF(AND(ISNUMBER(N46),ISNUMBER(M46),M46&lt;&gt;0),N46/M46-1,"")</f>
        <v/>
      </c>
    </row>
    <row r="111" customFormat="false" ht="15" hidden="false" customHeight="false" outlineLevel="0" collapsed="false">
      <c r="A111" s="61" t="s">
        <v>1030</v>
      </c>
      <c r="C111" s="5" t="s">
        <v>1031</v>
      </c>
      <c r="F111" s="44" t="str">
        <f aca="false">IF(AND(ISNUMBER(F47),ISNUMBER(E47),E47&lt;&gt;0),F47/E47-1,"")</f>
        <v/>
      </c>
      <c r="G111" s="44" t="str">
        <f aca="false">IF(AND(ISNUMBER(G47),ISNUMBER(F47),F47&lt;&gt;0),G47/F47-1,"")</f>
        <v/>
      </c>
      <c r="H111" s="44" t="str">
        <f aca="false">IF(AND(ISNUMBER(H47),ISNUMBER(G47),G47&lt;&gt;0),H47/G47-1,"")</f>
        <v/>
      </c>
      <c r="I111" s="44" t="str">
        <f aca="false">IF(AND(ISNUMBER(I47),ISNUMBER(H47),H47&lt;&gt;0),I47/H47-1,"")</f>
        <v/>
      </c>
      <c r="J111" s="44" t="str">
        <f aca="false">IF(AND(ISNUMBER(J47),ISNUMBER(I47),I47&lt;&gt;0),J47/I47-1,"")</f>
        <v/>
      </c>
      <c r="K111" s="44" t="str">
        <f aca="false">IF(AND(ISNUMBER(K47),ISNUMBER(J47),J47&lt;&gt;0),K47/J47-1,"")</f>
        <v/>
      </c>
      <c r="L111" s="44" t="str">
        <f aca="false">IF(AND(ISNUMBER(L47),ISNUMBER(K47),K47&lt;&gt;0),L47/K47-1,"")</f>
        <v/>
      </c>
      <c r="M111" s="44" t="str">
        <f aca="false">IF(AND(ISNUMBER(M47),ISNUMBER(L47),L47&lt;&gt;0),M47/L47-1,"")</f>
        <v/>
      </c>
      <c r="N111" s="44" t="str">
        <f aca="false">IF(AND(ISNUMBER(N47),ISNUMBER(M47),M47&lt;&gt;0),N47/M47-1,"")</f>
        <v/>
      </c>
    </row>
    <row r="112" customFormat="false" ht="15" hidden="false" customHeight="false" outlineLevel="0" collapsed="false">
      <c r="A112" s="61" t="s">
        <v>1032</v>
      </c>
      <c r="C112" s="5" t="s">
        <v>1033</v>
      </c>
      <c r="F112" s="44" t="str">
        <f aca="false">IF(AND(ISNUMBER(F48),ISNUMBER(E48),E48&lt;&gt;0),F48/E48-1,"")</f>
        <v/>
      </c>
      <c r="G112" s="44" t="str">
        <f aca="false">IF(AND(ISNUMBER(G48),ISNUMBER(F48),F48&lt;&gt;0),G48/F48-1,"")</f>
        <v/>
      </c>
      <c r="H112" s="44" t="str">
        <f aca="false">IF(AND(ISNUMBER(H48),ISNUMBER(G48),G48&lt;&gt;0),H48/G48-1,"")</f>
        <v/>
      </c>
      <c r="I112" s="44" t="str">
        <f aca="false">IF(AND(ISNUMBER(I48),ISNUMBER(H48),H48&lt;&gt;0),I48/H48-1,"")</f>
        <v/>
      </c>
      <c r="J112" s="44" t="str">
        <f aca="false">IF(AND(ISNUMBER(J48),ISNUMBER(I48),I48&lt;&gt;0),J48/I48-1,"")</f>
        <v/>
      </c>
      <c r="K112" s="44" t="str">
        <f aca="false">IF(AND(ISNUMBER(K48),ISNUMBER(J48),J48&lt;&gt;0),K48/J48-1,"")</f>
        <v/>
      </c>
      <c r="L112" s="44" t="str">
        <f aca="false">IF(AND(ISNUMBER(L48),ISNUMBER(K48),K48&lt;&gt;0),L48/K48-1,"")</f>
        <v/>
      </c>
      <c r="M112" s="44" t="str">
        <f aca="false">IF(AND(ISNUMBER(M48),ISNUMBER(L48),L48&lt;&gt;0),M48/L48-1,"")</f>
        <v/>
      </c>
      <c r="N112" s="44" t="str">
        <f aca="false">IF(AND(ISNUMBER(N48),ISNUMBER(M48),M48&lt;&gt;0),N48/M48-1,"")</f>
        <v/>
      </c>
    </row>
    <row r="113" customFormat="false" ht="15" hidden="false" customHeight="false" outlineLevel="0" collapsed="false">
      <c r="A113" s="61" t="s">
        <v>1035</v>
      </c>
      <c r="C113" s="5" t="s">
        <v>1036</v>
      </c>
      <c r="F113" s="44" t="str">
        <f aca="false">IF(AND(ISNUMBER(F49),ISNUMBER(E49),E49&lt;&gt;0),F49/E49-1,"")</f>
        <v/>
      </c>
      <c r="G113" s="44" t="str">
        <f aca="false">IF(AND(ISNUMBER(G49),ISNUMBER(F49),F49&lt;&gt;0),G49/F49-1,"")</f>
        <v/>
      </c>
      <c r="H113" s="44" t="str">
        <f aca="false">IF(AND(ISNUMBER(H49),ISNUMBER(G49),G49&lt;&gt;0),H49/G49-1,"")</f>
        <v/>
      </c>
      <c r="I113" s="44" t="str">
        <f aca="false">IF(AND(ISNUMBER(I49),ISNUMBER(H49),H49&lt;&gt;0),I49/H49-1,"")</f>
        <v/>
      </c>
      <c r="J113" s="44" t="str">
        <f aca="false">IF(AND(ISNUMBER(J49),ISNUMBER(I49),I49&lt;&gt;0),J49/I49-1,"")</f>
        <v/>
      </c>
      <c r="K113" s="44" t="str">
        <f aca="false">IF(AND(ISNUMBER(K49),ISNUMBER(J49),J49&lt;&gt;0),K49/J49-1,"")</f>
        <v/>
      </c>
      <c r="L113" s="44" t="str">
        <f aca="false">IF(AND(ISNUMBER(L49),ISNUMBER(K49),K49&lt;&gt;0),L49/K49-1,"")</f>
        <v/>
      </c>
      <c r="M113" s="44" t="str">
        <f aca="false">IF(AND(ISNUMBER(M49),ISNUMBER(L49),L49&lt;&gt;0),M49/L49-1,"")</f>
        <v/>
      </c>
      <c r="N113" s="44" t="str">
        <f aca="false">IF(AND(ISNUMBER(N49),ISNUMBER(M49),M49&lt;&gt;0),N49/M49-1,"")</f>
        <v/>
      </c>
    </row>
    <row r="114" customFormat="false" ht="15" hidden="false" customHeight="false" outlineLevel="0" collapsed="false">
      <c r="A114" s="61" t="s">
        <v>1037</v>
      </c>
      <c r="C114" s="5" t="s">
        <v>1038</v>
      </c>
      <c r="F114" s="44" t="str">
        <f aca="false">IF(AND(ISNUMBER(F50),ISNUMBER(E50),E50&lt;&gt;0),F50/E50-1,"")</f>
        <v/>
      </c>
      <c r="G114" s="44" t="str">
        <f aca="false">IF(AND(ISNUMBER(G50),ISNUMBER(F50),F50&lt;&gt;0),G50/F50-1,"")</f>
        <v/>
      </c>
      <c r="H114" s="44" t="str">
        <f aca="false">IF(AND(ISNUMBER(H50),ISNUMBER(G50),G50&lt;&gt;0),H50/G50-1,"")</f>
        <v/>
      </c>
      <c r="I114" s="44" t="str">
        <f aca="false">IF(AND(ISNUMBER(I50),ISNUMBER(H50),H50&lt;&gt;0),I50/H50-1,"")</f>
        <v/>
      </c>
      <c r="J114" s="44" t="str">
        <f aca="false">IF(AND(ISNUMBER(J50),ISNUMBER(I50),I50&lt;&gt;0),J50/I50-1,"")</f>
        <v/>
      </c>
      <c r="K114" s="44" t="str">
        <f aca="false">IF(AND(ISNUMBER(K50),ISNUMBER(J50),J50&lt;&gt;0),K50/J50-1,"")</f>
        <v/>
      </c>
      <c r="L114" s="44" t="str">
        <f aca="false">IF(AND(ISNUMBER(L50),ISNUMBER(K50),K50&lt;&gt;0),L50/K50-1,"")</f>
        <v/>
      </c>
      <c r="M114" s="44" t="str">
        <f aca="false">IF(AND(ISNUMBER(M50),ISNUMBER(L50),L50&lt;&gt;0),M50/L50-1,"")</f>
        <v/>
      </c>
      <c r="N114" s="44" t="str">
        <f aca="false">IF(AND(ISNUMBER(N50),ISNUMBER(M50),M50&lt;&gt;0),N50/M50-1,"")</f>
        <v/>
      </c>
    </row>
    <row r="115" customFormat="false" ht="15" hidden="false" customHeight="false" outlineLevel="0" collapsed="false">
      <c r="A115" s="61" t="s">
        <v>1040</v>
      </c>
      <c r="C115" s="5" t="s">
        <v>1041</v>
      </c>
      <c r="F115" s="44" t="str">
        <f aca="false">IF(AND(ISNUMBER(F51),ISNUMBER(E51),E51&lt;&gt;0),F51/E51-1,"")</f>
        <v/>
      </c>
      <c r="G115" s="44" t="str">
        <f aca="false">IF(AND(ISNUMBER(G51),ISNUMBER(F51),F51&lt;&gt;0),G51/F51-1,"")</f>
        <v/>
      </c>
      <c r="H115" s="44" t="str">
        <f aca="false">IF(AND(ISNUMBER(H51),ISNUMBER(G51),G51&lt;&gt;0),H51/G51-1,"")</f>
        <v/>
      </c>
      <c r="I115" s="44" t="str">
        <f aca="false">IF(AND(ISNUMBER(I51),ISNUMBER(H51),H51&lt;&gt;0),I51/H51-1,"")</f>
        <v/>
      </c>
      <c r="J115" s="44" t="str">
        <f aca="false">IF(AND(ISNUMBER(J51),ISNUMBER(I51),I51&lt;&gt;0),J51/I51-1,"")</f>
        <v/>
      </c>
      <c r="K115" s="44" t="str">
        <f aca="false">IF(AND(ISNUMBER(K51),ISNUMBER(J51),J51&lt;&gt;0),K51/J51-1,"")</f>
        <v/>
      </c>
      <c r="L115" s="44" t="str">
        <f aca="false">IF(AND(ISNUMBER(L51),ISNUMBER(K51),K51&lt;&gt;0),L51/K51-1,"")</f>
        <v/>
      </c>
      <c r="M115" s="44" t="str">
        <f aca="false">IF(AND(ISNUMBER(M51),ISNUMBER(L51),L51&lt;&gt;0),M51/L51-1,"")</f>
        <v/>
      </c>
      <c r="N115" s="44" t="str">
        <f aca="false">IF(AND(ISNUMBER(N51),ISNUMBER(M51),M51&lt;&gt;0),N51/M51-1,"")</f>
        <v/>
      </c>
    </row>
    <row r="116" customFormat="false" ht="15" hidden="false" customHeight="false" outlineLevel="0" collapsed="false">
      <c r="A116" s="61" t="s">
        <v>1042</v>
      </c>
      <c r="C116" s="5" t="s">
        <v>1044</v>
      </c>
      <c r="F116" s="44" t="str">
        <f aca="false">IF(AND(ISNUMBER(F52),ISNUMBER(E52),E52&lt;&gt;0),F52/E52-1,"")</f>
        <v/>
      </c>
      <c r="G116" s="44" t="str">
        <f aca="false">IF(AND(ISNUMBER(G52),ISNUMBER(F52),F52&lt;&gt;0),G52/F52-1,"")</f>
        <v/>
      </c>
      <c r="H116" s="44" t="str">
        <f aca="false">IF(AND(ISNUMBER(H52),ISNUMBER(G52),G52&lt;&gt;0),H52/G52-1,"")</f>
        <v/>
      </c>
      <c r="I116" s="44" t="str">
        <f aca="false">IF(AND(ISNUMBER(I52),ISNUMBER(H52),H52&lt;&gt;0),I52/H52-1,"")</f>
        <v/>
      </c>
      <c r="J116" s="44" t="str">
        <f aca="false">IF(AND(ISNUMBER(J52),ISNUMBER(I52),I52&lt;&gt;0),J52/I52-1,"")</f>
        <v/>
      </c>
      <c r="K116" s="44" t="str">
        <f aca="false">IF(AND(ISNUMBER(K52),ISNUMBER(J52),J52&lt;&gt;0),K52/J52-1,"")</f>
        <v/>
      </c>
      <c r="L116" s="44" t="str">
        <f aca="false">IF(AND(ISNUMBER(L52),ISNUMBER(K52),K52&lt;&gt;0),L52/K52-1,"")</f>
        <v/>
      </c>
      <c r="M116" s="44" t="str">
        <f aca="false">IF(AND(ISNUMBER(M52),ISNUMBER(L52),L52&lt;&gt;0),M52/L52-1,"")</f>
        <v/>
      </c>
      <c r="N116" s="44" t="str">
        <f aca="false">IF(AND(ISNUMBER(N52),ISNUMBER(M52),M52&lt;&gt;0),N52/M52-1,"")</f>
        <v/>
      </c>
    </row>
    <row r="117" customFormat="false" ht="15" hidden="false" customHeight="false" outlineLevel="0" collapsed="false">
      <c r="A117" s="61" t="s">
        <v>1045</v>
      </c>
      <c r="C117" s="5" t="s">
        <v>1046</v>
      </c>
      <c r="F117" s="44" t="str">
        <f aca="false">IF(AND(ISNUMBER(F53),ISNUMBER(E53),E53&lt;&gt;0),F53/E53-1,"")</f>
        <v/>
      </c>
      <c r="G117" s="44" t="str">
        <f aca="false">IF(AND(ISNUMBER(G53),ISNUMBER(F53),F53&lt;&gt;0),G53/F53-1,"")</f>
        <v/>
      </c>
      <c r="H117" s="44" t="str">
        <f aca="false">IF(AND(ISNUMBER(H53),ISNUMBER(G53),G53&lt;&gt;0),H53/G53-1,"")</f>
        <v/>
      </c>
      <c r="I117" s="44" t="str">
        <f aca="false">IF(AND(ISNUMBER(I53),ISNUMBER(H53),H53&lt;&gt;0),I53/H53-1,"")</f>
        <v/>
      </c>
      <c r="J117" s="44" t="str">
        <f aca="false">IF(AND(ISNUMBER(J53),ISNUMBER(I53),I53&lt;&gt;0),J53/I53-1,"")</f>
        <v/>
      </c>
      <c r="K117" s="44" t="str">
        <f aca="false">IF(AND(ISNUMBER(K53),ISNUMBER(J53),J53&lt;&gt;0),K53/J53-1,"")</f>
        <v/>
      </c>
      <c r="L117" s="44" t="str">
        <f aca="false">IF(AND(ISNUMBER(L53),ISNUMBER(K53),K53&lt;&gt;0),L53/K53-1,"")</f>
        <v/>
      </c>
      <c r="M117" s="44" t="str">
        <f aca="false">IF(AND(ISNUMBER(M53),ISNUMBER(L53),L53&lt;&gt;0),M53/L53-1,"")</f>
        <v/>
      </c>
      <c r="N117" s="44" t="str">
        <f aca="false">IF(AND(ISNUMBER(N53),ISNUMBER(M53),M53&lt;&gt;0),N53/M53-1,"")</f>
        <v/>
      </c>
    </row>
    <row r="118" customFormat="false" ht="15" hidden="false" customHeight="false" outlineLevel="0" collapsed="false">
      <c r="A118" s="61" t="s">
        <v>1048</v>
      </c>
      <c r="C118" s="5" t="s">
        <v>1049</v>
      </c>
      <c r="F118" s="44" t="str">
        <f aca="false">IF(AND(ISNUMBER(F54),ISNUMBER(E54),E54&lt;&gt;0),F54/E54-1,"")</f>
        <v/>
      </c>
      <c r="G118" s="44" t="str">
        <f aca="false">IF(AND(ISNUMBER(G54),ISNUMBER(F54),F54&lt;&gt;0),G54/F54-1,"")</f>
        <v/>
      </c>
      <c r="H118" s="44" t="str">
        <f aca="false">IF(AND(ISNUMBER(H54),ISNUMBER(G54),G54&lt;&gt;0),H54/G54-1,"")</f>
        <v/>
      </c>
      <c r="I118" s="44" t="str">
        <f aca="false">IF(AND(ISNUMBER(I54),ISNUMBER(H54),H54&lt;&gt;0),I54/H54-1,"")</f>
        <v/>
      </c>
      <c r="J118" s="44" t="str">
        <f aca="false">IF(AND(ISNUMBER(J54),ISNUMBER(I54),I54&lt;&gt;0),J54/I54-1,"")</f>
        <v/>
      </c>
      <c r="K118" s="44" t="str">
        <f aca="false">IF(AND(ISNUMBER(K54),ISNUMBER(J54),J54&lt;&gt;0),K54/J54-1,"")</f>
        <v/>
      </c>
      <c r="L118" s="44" t="str">
        <f aca="false">IF(AND(ISNUMBER(L54),ISNUMBER(K54),K54&lt;&gt;0),L54/K54-1,"")</f>
        <v/>
      </c>
      <c r="M118" s="44" t="str">
        <f aca="false">IF(AND(ISNUMBER(M54),ISNUMBER(L54),L54&lt;&gt;0),M54/L54-1,"")</f>
        <v/>
      </c>
      <c r="N118" s="44" t="str">
        <f aca="false">IF(AND(ISNUMBER(N54),ISNUMBER(M54),M54&lt;&gt;0),N54/M54-1,"")</f>
        <v/>
      </c>
    </row>
    <row r="119" customFormat="false" ht="15" hidden="false" customHeight="false" outlineLevel="0" collapsed="false">
      <c r="A119" s="61" t="s">
        <v>1050</v>
      </c>
      <c r="C119" s="5" t="s">
        <v>1052</v>
      </c>
      <c r="F119" s="44" t="str">
        <f aca="false">IF(AND(ISNUMBER(F55),ISNUMBER(E55),E55&lt;&gt;0),F55/E55-1,"")</f>
        <v/>
      </c>
      <c r="G119" s="44" t="str">
        <f aca="false">IF(AND(ISNUMBER(G55),ISNUMBER(F55),F55&lt;&gt;0),G55/F55-1,"")</f>
        <v/>
      </c>
      <c r="H119" s="44" t="str">
        <f aca="false">IF(AND(ISNUMBER(H55),ISNUMBER(G55),G55&lt;&gt;0),H55/G55-1,"")</f>
        <v/>
      </c>
      <c r="I119" s="44" t="str">
        <f aca="false">IF(AND(ISNUMBER(I55),ISNUMBER(H55),H55&lt;&gt;0),I55/H55-1,"")</f>
        <v/>
      </c>
      <c r="J119" s="44" t="str">
        <f aca="false">IF(AND(ISNUMBER(J55),ISNUMBER(I55),I55&lt;&gt;0),J55/I55-1,"")</f>
        <v/>
      </c>
      <c r="K119" s="44" t="str">
        <f aca="false">IF(AND(ISNUMBER(K55),ISNUMBER(J55),J55&lt;&gt;0),K55/J55-1,"")</f>
        <v/>
      </c>
      <c r="L119" s="44" t="str">
        <f aca="false">IF(AND(ISNUMBER(L55),ISNUMBER(K55),K55&lt;&gt;0),L55/K55-1,"")</f>
        <v/>
      </c>
      <c r="M119" s="44" t="str">
        <f aca="false">IF(AND(ISNUMBER(M55),ISNUMBER(L55),L55&lt;&gt;0),M55/L55-1,"")</f>
        <v/>
      </c>
      <c r="N119" s="44" t="str">
        <f aca="false">IF(AND(ISNUMBER(N55),ISNUMBER(M55),M55&lt;&gt;0),N55/M55-1,"")</f>
        <v/>
      </c>
    </row>
    <row r="120" customFormat="false" ht="15" hidden="false" customHeight="false" outlineLevel="0" collapsed="false">
      <c r="A120" s="61" t="s">
        <v>1053</v>
      </c>
      <c r="C120" s="5" t="s">
        <v>1054</v>
      </c>
      <c r="F120" s="44" t="str">
        <f aca="false">IF(AND(ISNUMBER(F56),ISNUMBER(E56),E56&lt;&gt;0),F56/E56-1,"")</f>
        <v/>
      </c>
      <c r="G120" s="44" t="str">
        <f aca="false">IF(AND(ISNUMBER(G56),ISNUMBER(F56),F56&lt;&gt;0),G56/F56-1,"")</f>
        <v/>
      </c>
      <c r="H120" s="44" t="str">
        <f aca="false">IF(AND(ISNUMBER(H56),ISNUMBER(G56),G56&lt;&gt;0),H56/G56-1,"")</f>
        <v/>
      </c>
      <c r="I120" s="44" t="str">
        <f aca="false">IF(AND(ISNUMBER(I56),ISNUMBER(H56),H56&lt;&gt;0),I56/H56-1,"")</f>
        <v/>
      </c>
      <c r="J120" s="44" t="str">
        <f aca="false">IF(AND(ISNUMBER(J56),ISNUMBER(I56),I56&lt;&gt;0),J56/I56-1,"")</f>
        <v/>
      </c>
      <c r="K120" s="44" t="str">
        <f aca="false">IF(AND(ISNUMBER(K56),ISNUMBER(J56),J56&lt;&gt;0),K56/J56-1,"")</f>
        <v/>
      </c>
      <c r="L120" s="44" t="str">
        <f aca="false">IF(AND(ISNUMBER(L56),ISNUMBER(K56),K56&lt;&gt;0),L56/K56-1,"")</f>
        <v/>
      </c>
      <c r="M120" s="44" t="str">
        <f aca="false">IF(AND(ISNUMBER(M56),ISNUMBER(L56),L56&lt;&gt;0),M56/L56-1,"")</f>
        <v/>
      </c>
      <c r="N120" s="44" t="str">
        <f aca="false">IF(AND(ISNUMBER(N56),ISNUMBER(M56),M56&lt;&gt;0),N56/M56-1,"")</f>
        <v/>
      </c>
    </row>
    <row r="121" customFormat="false" ht="15" hidden="false" customHeight="false" outlineLevel="0" collapsed="false">
      <c r="A121" s="61" t="s">
        <v>1055</v>
      </c>
      <c r="C121" s="5" t="s">
        <v>1057</v>
      </c>
      <c r="F121" s="44" t="str">
        <f aca="false">IF(AND(ISNUMBER(F57),ISNUMBER(E57),E57&lt;&gt;0),F57/E57-1,"")</f>
        <v/>
      </c>
      <c r="G121" s="44" t="str">
        <f aca="false">IF(AND(ISNUMBER(G57),ISNUMBER(F57),F57&lt;&gt;0),G57/F57-1,"")</f>
        <v/>
      </c>
      <c r="H121" s="44" t="str">
        <f aca="false">IF(AND(ISNUMBER(H57),ISNUMBER(G57),G57&lt;&gt;0),H57/G57-1,"")</f>
        <v/>
      </c>
      <c r="I121" s="44" t="str">
        <f aca="false">IF(AND(ISNUMBER(I57),ISNUMBER(H57),H57&lt;&gt;0),I57/H57-1,"")</f>
        <v/>
      </c>
      <c r="J121" s="44" t="str">
        <f aca="false">IF(AND(ISNUMBER(J57),ISNUMBER(I57),I57&lt;&gt;0),J57/I57-1,"")</f>
        <v/>
      </c>
      <c r="K121" s="44" t="str">
        <f aca="false">IF(AND(ISNUMBER(K57),ISNUMBER(J57),J57&lt;&gt;0),K57/J57-1,"")</f>
        <v/>
      </c>
      <c r="L121" s="44" t="str">
        <f aca="false">IF(AND(ISNUMBER(L57),ISNUMBER(K57),K57&lt;&gt;0),L57/K57-1,"")</f>
        <v/>
      </c>
      <c r="M121" s="44" t="str">
        <f aca="false">IF(AND(ISNUMBER(M57),ISNUMBER(L57),L57&lt;&gt;0),M57/L57-1,"")</f>
        <v/>
      </c>
      <c r="N121" s="44" t="str">
        <f aca="false">IF(AND(ISNUMBER(N57),ISNUMBER(M57),M57&lt;&gt;0),N57/M57-1,"")</f>
        <v/>
      </c>
    </row>
    <row r="122" customFormat="false" ht="15" hidden="false" customHeight="false" outlineLevel="0" collapsed="false">
      <c r="A122" s="61" t="s">
        <v>1058</v>
      </c>
      <c r="C122" s="5" t="s">
        <v>1059</v>
      </c>
      <c r="F122" s="44" t="str">
        <f aca="false">IF(AND(ISNUMBER(F58),ISNUMBER(E58),E58&lt;&gt;0),F58/E58-1,"")</f>
        <v/>
      </c>
      <c r="G122" s="44" t="str">
        <f aca="false">IF(AND(ISNUMBER(G58),ISNUMBER(F58),F58&lt;&gt;0),G58/F58-1,"")</f>
        <v/>
      </c>
      <c r="H122" s="44" t="str">
        <f aca="false">IF(AND(ISNUMBER(H58),ISNUMBER(G58),G58&lt;&gt;0),H58/G58-1,"")</f>
        <v/>
      </c>
      <c r="I122" s="44" t="str">
        <f aca="false">IF(AND(ISNUMBER(I58),ISNUMBER(H58),H58&lt;&gt;0),I58/H58-1,"")</f>
        <v/>
      </c>
      <c r="J122" s="44" t="str">
        <f aca="false">IF(AND(ISNUMBER(J58),ISNUMBER(I58),I58&lt;&gt;0),J58/I58-1,"")</f>
        <v/>
      </c>
      <c r="K122" s="44" t="str">
        <f aca="false">IF(AND(ISNUMBER(K58),ISNUMBER(J58),J58&lt;&gt;0),K58/J58-1,"")</f>
        <v/>
      </c>
      <c r="L122" s="44" t="str">
        <f aca="false">IF(AND(ISNUMBER(L58),ISNUMBER(K58),K58&lt;&gt;0),L58/K58-1,"")</f>
        <v/>
      </c>
      <c r="M122" s="44" t="str">
        <f aca="false">IF(AND(ISNUMBER(M58),ISNUMBER(L58),L58&lt;&gt;0),M58/L58-1,"")</f>
        <v/>
      </c>
      <c r="N122" s="44" t="str">
        <f aca="false">IF(AND(ISNUMBER(N58),ISNUMBER(M58),M58&lt;&gt;0),N58/M58-1,"")</f>
        <v/>
      </c>
    </row>
    <row r="123" customFormat="false" ht="15" hidden="false" customHeight="false" outlineLevel="0" collapsed="false">
      <c r="A123" s="61" t="s">
        <v>1060</v>
      </c>
      <c r="C123" s="5" t="s">
        <v>1061</v>
      </c>
      <c r="F123" s="44" t="str">
        <f aca="false">IF(AND(ISNUMBER(F59),ISNUMBER(E59),E59&lt;&gt;0),F59/E59-1,"")</f>
        <v/>
      </c>
      <c r="G123" s="44" t="str">
        <f aca="false">IF(AND(ISNUMBER(G59),ISNUMBER(F59),F59&lt;&gt;0),G59/F59-1,"")</f>
        <v/>
      </c>
      <c r="H123" s="44" t="str">
        <f aca="false">IF(AND(ISNUMBER(H59),ISNUMBER(G59),G59&lt;&gt;0),H59/G59-1,"")</f>
        <v/>
      </c>
      <c r="I123" s="44" t="str">
        <f aca="false">IF(AND(ISNUMBER(I59),ISNUMBER(H59),H59&lt;&gt;0),I59/H59-1,"")</f>
        <v/>
      </c>
      <c r="J123" s="44" t="str">
        <f aca="false">IF(AND(ISNUMBER(J59),ISNUMBER(I59),I59&lt;&gt;0),J59/I59-1,"")</f>
        <v/>
      </c>
      <c r="K123" s="44" t="str">
        <f aca="false">IF(AND(ISNUMBER(K59),ISNUMBER(J59),J59&lt;&gt;0),K59/J59-1,"")</f>
        <v/>
      </c>
      <c r="L123" s="44" t="str">
        <f aca="false">IF(AND(ISNUMBER(L59),ISNUMBER(K59),K59&lt;&gt;0),L59/K59-1,"")</f>
        <v/>
      </c>
      <c r="M123" s="44" t="str">
        <f aca="false">IF(AND(ISNUMBER(M59),ISNUMBER(L59),L59&lt;&gt;0),M59/L59-1,"")</f>
        <v/>
      </c>
      <c r="N123" s="44" t="str">
        <f aca="false">IF(AND(ISNUMBER(N59),ISNUMBER(M59),M59&lt;&gt;0),N59/M59-1,"")</f>
        <v/>
      </c>
    </row>
    <row r="124" customFormat="false" ht="15" hidden="false" customHeight="false" outlineLevel="0" collapsed="false">
      <c r="A124" s="61" t="s">
        <v>1063</v>
      </c>
      <c r="C124" s="5" t="s">
        <v>1064</v>
      </c>
      <c r="F124" s="44" t="str">
        <f aca="false">IF(AND(ISNUMBER(F60),ISNUMBER(E60),E60&lt;&gt;0),F60/E60-1,"")</f>
        <v/>
      </c>
      <c r="G124" s="44" t="str">
        <f aca="false">IF(AND(ISNUMBER(G60),ISNUMBER(F60),F60&lt;&gt;0),G60/F60-1,"")</f>
        <v/>
      </c>
      <c r="H124" s="44" t="str">
        <f aca="false">IF(AND(ISNUMBER(H60),ISNUMBER(G60),G60&lt;&gt;0),H60/G60-1,"")</f>
        <v/>
      </c>
      <c r="I124" s="44" t="str">
        <f aca="false">IF(AND(ISNUMBER(I60),ISNUMBER(H60),H60&lt;&gt;0),I60/H60-1,"")</f>
        <v/>
      </c>
      <c r="J124" s="44" t="str">
        <f aca="false">IF(AND(ISNUMBER(J60),ISNUMBER(I60),I60&lt;&gt;0),J60/I60-1,"")</f>
        <v/>
      </c>
      <c r="K124" s="44" t="str">
        <f aca="false">IF(AND(ISNUMBER(K60),ISNUMBER(J60),J60&lt;&gt;0),K60/J60-1,"")</f>
        <v/>
      </c>
      <c r="L124" s="44" t="str">
        <f aca="false">IF(AND(ISNUMBER(L60),ISNUMBER(K60),K60&lt;&gt;0),L60/K60-1,"")</f>
        <v/>
      </c>
      <c r="M124" s="44" t="str">
        <f aca="false">IF(AND(ISNUMBER(M60),ISNUMBER(L60),L60&lt;&gt;0),M60/L60-1,"")</f>
        <v/>
      </c>
      <c r="N124" s="44" t="str">
        <f aca="false">IF(AND(ISNUMBER(N60),ISNUMBER(M60),M60&lt;&gt;0),N60/M60-1,"")</f>
        <v/>
      </c>
    </row>
    <row r="125" customFormat="false" ht="15" hidden="false" customHeight="false" outlineLevel="0" collapsed="false">
      <c r="A125" s="61" t="s">
        <v>1065</v>
      </c>
      <c r="C125" s="5" t="s">
        <v>1066</v>
      </c>
      <c r="F125" s="44" t="str">
        <f aca="false">IF(AND(ISNUMBER(F61),ISNUMBER(E61),E61&lt;&gt;0),F61/E61-1,"")</f>
        <v/>
      </c>
      <c r="G125" s="44" t="str">
        <f aca="false">IF(AND(ISNUMBER(G61),ISNUMBER(F61),F61&lt;&gt;0),G61/F61-1,"")</f>
        <v/>
      </c>
      <c r="H125" s="44" t="str">
        <f aca="false">IF(AND(ISNUMBER(H61),ISNUMBER(G61),G61&lt;&gt;0),H61/G61-1,"")</f>
        <v/>
      </c>
      <c r="I125" s="44" t="str">
        <f aca="false">IF(AND(ISNUMBER(I61),ISNUMBER(H61),H61&lt;&gt;0),I61/H61-1,"")</f>
        <v/>
      </c>
      <c r="J125" s="44" t="str">
        <f aca="false">IF(AND(ISNUMBER(J61),ISNUMBER(I61),I61&lt;&gt;0),J61/I61-1,"")</f>
        <v/>
      </c>
      <c r="K125" s="44" t="str">
        <f aca="false">IF(AND(ISNUMBER(K61),ISNUMBER(J61),J61&lt;&gt;0),K61/J61-1,"")</f>
        <v/>
      </c>
      <c r="L125" s="44" t="str">
        <f aca="false">IF(AND(ISNUMBER(L61),ISNUMBER(K61),K61&lt;&gt;0),L61/K61-1,"")</f>
        <v/>
      </c>
      <c r="M125" s="44" t="str">
        <f aca="false">IF(AND(ISNUMBER(M61),ISNUMBER(L61),L61&lt;&gt;0),M61/L61-1,"")</f>
        <v/>
      </c>
      <c r="N125" s="44" t="str">
        <f aca="false">IF(AND(ISNUMBER(N61),ISNUMBER(M61),M61&lt;&gt;0),N61/M61-1,"")</f>
        <v/>
      </c>
    </row>
    <row r="126" customFormat="false" ht="15" hidden="false" customHeight="false" outlineLevel="0" collapsed="false">
      <c r="A126" s="61" t="s">
        <v>1067</v>
      </c>
      <c r="C126" s="5" t="s">
        <v>1069</v>
      </c>
      <c r="F126" s="44" t="str">
        <f aca="false">IF(AND(ISNUMBER(F62),ISNUMBER(E62),E62&lt;&gt;0),F62/E62-1,"")</f>
        <v/>
      </c>
      <c r="G126" s="44" t="str">
        <f aca="false">IF(AND(ISNUMBER(G62),ISNUMBER(F62),F62&lt;&gt;0),G62/F62-1,"")</f>
        <v/>
      </c>
      <c r="H126" s="44" t="str">
        <f aca="false">IF(AND(ISNUMBER(H62),ISNUMBER(G62),G62&lt;&gt;0),H62/G62-1,"")</f>
        <v/>
      </c>
      <c r="I126" s="44" t="str">
        <f aca="false">IF(AND(ISNUMBER(I62),ISNUMBER(H62),H62&lt;&gt;0),I62/H62-1,"")</f>
        <v/>
      </c>
      <c r="J126" s="44" t="str">
        <f aca="false">IF(AND(ISNUMBER(J62),ISNUMBER(I62),I62&lt;&gt;0),J62/I62-1,"")</f>
        <v/>
      </c>
      <c r="K126" s="44" t="str">
        <f aca="false">IF(AND(ISNUMBER(K62),ISNUMBER(J62),J62&lt;&gt;0),K62/J62-1,"")</f>
        <v/>
      </c>
      <c r="L126" s="44" t="str">
        <f aca="false">IF(AND(ISNUMBER(L62),ISNUMBER(K62),K62&lt;&gt;0),L62/K62-1,"")</f>
        <v/>
      </c>
      <c r="M126" s="44" t="str">
        <f aca="false">IF(AND(ISNUMBER(M62),ISNUMBER(L62),L62&lt;&gt;0),M62/L62-1,"")</f>
        <v/>
      </c>
      <c r="N126" s="44" t="str">
        <f aca="false">IF(AND(ISNUMBER(N62),ISNUMBER(M62),M62&lt;&gt;0),N62/M62-1,"")</f>
        <v/>
      </c>
    </row>
    <row r="127" customFormat="false" ht="15" hidden="false" customHeight="false" outlineLevel="0" collapsed="false">
      <c r="A127" s="61" t="s">
        <v>1070</v>
      </c>
      <c r="C127" s="5" t="s">
        <v>1071</v>
      </c>
      <c r="F127" s="44" t="str">
        <f aca="false">IF(AND(ISNUMBER(F63),ISNUMBER(E63),E63&lt;&gt;0),F63/E63-1,"")</f>
        <v/>
      </c>
      <c r="G127" s="44" t="str">
        <f aca="false">IF(AND(ISNUMBER(G63),ISNUMBER(F63),F63&lt;&gt;0),G63/F63-1,"")</f>
        <v/>
      </c>
      <c r="H127" s="44" t="str">
        <f aca="false">IF(AND(ISNUMBER(H63),ISNUMBER(G63),G63&lt;&gt;0),H63/G63-1,"")</f>
        <v/>
      </c>
      <c r="I127" s="44" t="str">
        <f aca="false">IF(AND(ISNUMBER(I63),ISNUMBER(H63),H63&lt;&gt;0),I63/H63-1,"")</f>
        <v/>
      </c>
      <c r="J127" s="44" t="str">
        <f aca="false">IF(AND(ISNUMBER(J63),ISNUMBER(I63),I63&lt;&gt;0),J63/I63-1,"")</f>
        <v/>
      </c>
      <c r="K127" s="44" t="str">
        <f aca="false">IF(AND(ISNUMBER(K63),ISNUMBER(J63),J63&lt;&gt;0),K63/J63-1,"")</f>
        <v/>
      </c>
      <c r="L127" s="44" t="str">
        <f aca="false">IF(AND(ISNUMBER(L63),ISNUMBER(K63),K63&lt;&gt;0),L63/K63-1,"")</f>
        <v/>
      </c>
      <c r="M127" s="44" t="str">
        <f aca="false">IF(AND(ISNUMBER(M63),ISNUMBER(L63),L63&lt;&gt;0),M63/L63-1,"")</f>
        <v/>
      </c>
      <c r="N127" s="44" t="str">
        <f aca="false">IF(AND(ISNUMBER(N63),ISNUMBER(M63),M63&lt;&gt;0),N63/M63-1,"")</f>
        <v/>
      </c>
    </row>
    <row r="128" customFormat="false" ht="15" hidden="false" customHeight="false" outlineLevel="0" collapsed="false">
      <c r="A128" s="61" t="s">
        <v>1072</v>
      </c>
      <c r="C128" s="5" t="s">
        <v>1073</v>
      </c>
      <c r="F128" s="44" t="str">
        <f aca="false">IF(AND(ISNUMBER(F64),ISNUMBER(E64),E64&lt;&gt;0),F64/E64-1,"")</f>
        <v/>
      </c>
      <c r="G128" s="44" t="str">
        <f aca="false">IF(AND(ISNUMBER(G64),ISNUMBER(F64),F64&lt;&gt;0),G64/F64-1,"")</f>
        <v/>
      </c>
      <c r="H128" s="44" t="str">
        <f aca="false">IF(AND(ISNUMBER(H64),ISNUMBER(G64),G64&lt;&gt;0),H64/G64-1,"")</f>
        <v/>
      </c>
      <c r="I128" s="44" t="str">
        <f aca="false">IF(AND(ISNUMBER(I64),ISNUMBER(H64),H64&lt;&gt;0),I64/H64-1,"")</f>
        <v/>
      </c>
      <c r="J128" s="44" t="str">
        <f aca="false">IF(AND(ISNUMBER(J64),ISNUMBER(I64),I64&lt;&gt;0),J64/I64-1,"")</f>
        <v/>
      </c>
      <c r="K128" s="44" t="str">
        <f aca="false">IF(AND(ISNUMBER(K64),ISNUMBER(J64),J64&lt;&gt;0),K64/J64-1,"")</f>
        <v/>
      </c>
      <c r="L128" s="44" t="str">
        <f aca="false">IF(AND(ISNUMBER(L64),ISNUMBER(K64),K64&lt;&gt;0),L64/K64-1,"")</f>
        <v/>
      </c>
      <c r="M128" s="44" t="str">
        <f aca="false">IF(AND(ISNUMBER(M64),ISNUMBER(L64),L64&lt;&gt;0),M64/L64-1,"")</f>
        <v/>
      </c>
      <c r="N128" s="44" t="str">
        <f aca="false">IF(AND(ISNUMBER(N64),ISNUMBER(M64),M64&lt;&gt;0),N64/M64-1,"")</f>
        <v/>
      </c>
    </row>
    <row r="129" customFormat="false" ht="15" hidden="false" customHeight="false" outlineLevel="0" collapsed="false">
      <c r="A129" s="61" t="s">
        <v>1074</v>
      </c>
      <c r="C129" s="5" t="s">
        <v>1075</v>
      </c>
      <c r="F129" s="44" t="str">
        <f aca="false">IF(AND(ISNUMBER(F65),ISNUMBER(E65),E65&lt;&gt;0),F65/E65-1,"")</f>
        <v/>
      </c>
      <c r="G129" s="44" t="str">
        <f aca="false">IF(AND(ISNUMBER(G65),ISNUMBER(F65),F65&lt;&gt;0),G65/F65-1,"")</f>
        <v/>
      </c>
      <c r="H129" s="44" t="str">
        <f aca="false">IF(AND(ISNUMBER(H65),ISNUMBER(G65),G65&lt;&gt;0),H65/G65-1,"")</f>
        <v/>
      </c>
      <c r="I129" s="44" t="str">
        <f aca="false">IF(AND(ISNUMBER(I65),ISNUMBER(H65),H65&lt;&gt;0),I65/H65-1,"")</f>
        <v/>
      </c>
      <c r="J129" s="44" t="str">
        <f aca="false">IF(AND(ISNUMBER(J65),ISNUMBER(I65),I65&lt;&gt;0),J65/I65-1,"")</f>
        <v/>
      </c>
      <c r="K129" s="44" t="str">
        <f aca="false">IF(AND(ISNUMBER(K65),ISNUMBER(J65),J65&lt;&gt;0),K65/J65-1,"")</f>
        <v/>
      </c>
      <c r="L129" s="44" t="str">
        <f aca="false">IF(AND(ISNUMBER(L65),ISNUMBER(K65),K65&lt;&gt;0),L65/K65-1,"")</f>
        <v/>
      </c>
      <c r="M129" s="44" t="str">
        <f aca="false">IF(AND(ISNUMBER(M65),ISNUMBER(L65),L65&lt;&gt;0),M65/L65-1,"")</f>
        <v/>
      </c>
      <c r="N129" s="44" t="str">
        <f aca="false">IF(AND(ISNUMBER(N65),ISNUMBER(M65),M65&lt;&gt;0),N65/M65-1,"")</f>
        <v/>
      </c>
    </row>
    <row r="130" customFormat="false" ht="15" hidden="false" customHeight="false" outlineLevel="0" collapsed="false">
      <c r="A130" s="61" t="s">
        <v>1076</v>
      </c>
      <c r="C130" s="5" t="s">
        <v>1077</v>
      </c>
      <c r="F130" s="44" t="str">
        <f aca="false">IF(AND(ISNUMBER(F66),ISNUMBER(E66),E66&lt;&gt;0),F66/E66-1,"")</f>
        <v/>
      </c>
      <c r="G130" s="44" t="str">
        <f aca="false">IF(AND(ISNUMBER(G66),ISNUMBER(F66),F66&lt;&gt;0),G66/F66-1,"")</f>
        <v/>
      </c>
      <c r="H130" s="44" t="str">
        <f aca="false">IF(AND(ISNUMBER(H66),ISNUMBER(G66),G66&lt;&gt;0),H66/G66-1,"")</f>
        <v/>
      </c>
      <c r="I130" s="44" t="str">
        <f aca="false">IF(AND(ISNUMBER(I66),ISNUMBER(H66),H66&lt;&gt;0),I66/H66-1,"")</f>
        <v/>
      </c>
      <c r="J130" s="44" t="str">
        <f aca="false">IF(AND(ISNUMBER(J66),ISNUMBER(I66),I66&lt;&gt;0),J66/I66-1,"")</f>
        <v/>
      </c>
      <c r="K130" s="44" t="str">
        <f aca="false">IF(AND(ISNUMBER(K66),ISNUMBER(J66),J66&lt;&gt;0),K66/J66-1,"")</f>
        <v/>
      </c>
      <c r="L130" s="44" t="str">
        <f aca="false">IF(AND(ISNUMBER(L66),ISNUMBER(K66),K66&lt;&gt;0),L66/K66-1,"")</f>
        <v/>
      </c>
      <c r="M130" s="44" t="str">
        <f aca="false">IF(AND(ISNUMBER(M66),ISNUMBER(L66),L66&lt;&gt;0),M66/L66-1,"")</f>
        <v/>
      </c>
      <c r="N130" s="44" t="str">
        <f aca="false">IF(AND(ISNUMBER(N66),ISNUMBER(M66),M66&lt;&gt;0),N66/M66-1,"")</f>
        <v/>
      </c>
    </row>
    <row r="132" customFormat="false" ht="46.25" hidden="false" customHeight="false" outlineLevel="0" collapsed="false">
      <c r="B132" s="20" t="s">
        <v>1081</v>
      </c>
    </row>
    <row r="133" customFormat="false" ht="15" hidden="false" customHeight="false" outlineLevel="0" collapsed="false">
      <c r="A133" s="12"/>
      <c r="B133" s="12" t="s">
        <v>1082</v>
      </c>
      <c r="C133" s="12"/>
      <c r="D133" s="12"/>
      <c r="E133" s="12" t="s">
        <v>95</v>
      </c>
      <c r="F133" s="12" t="s">
        <v>927</v>
      </c>
      <c r="G133" s="12" t="s">
        <v>928</v>
      </c>
      <c r="H133" s="12" t="s">
        <v>929</v>
      </c>
      <c r="I133" s="12" t="s">
        <v>930</v>
      </c>
      <c r="J133" s="12" t="s">
        <v>931</v>
      </c>
      <c r="K133" s="12" t="s">
        <v>932</v>
      </c>
      <c r="L133" s="12" t="s">
        <v>933</v>
      </c>
      <c r="M133" s="12" t="s">
        <v>934</v>
      </c>
      <c r="N133" s="12" t="s">
        <v>935</v>
      </c>
    </row>
    <row r="134" customFormat="false" ht="15" hidden="false" customHeight="false" outlineLevel="0" collapsed="false">
      <c r="B134" s="5" t="s">
        <v>1083</v>
      </c>
      <c r="F134" s="15" t="str">
        <f aca="false">IF(AND(ISNUMBER(F78),ISNUMBER(F86)),IF(AND(F78&lt;0,F86&lt;0),"Both cut",""),"")</f>
        <v>Both cut</v>
      </c>
      <c r="G134" s="15" t="str">
        <f aca="false">IF(AND(ISNUMBER(G78),ISNUMBER(G86)),IF(AND(G78&lt;0,G86&lt;0),"Both cut",""),"")</f>
        <v/>
      </c>
      <c r="H134" s="15" t="str">
        <f aca="false">IF(AND(ISNUMBER(H78),ISNUMBER(H86)),IF(AND(H78&lt;0,H86&lt;0),"Both cut",""),"")</f>
        <v/>
      </c>
      <c r="I134" s="15" t="str">
        <f aca="false">IF(AND(ISNUMBER(I78),ISNUMBER(I86)),IF(AND(I78&lt;0,I86&lt;0),"Both cut",""),"")</f>
        <v/>
      </c>
      <c r="J134" s="15" t="str">
        <f aca="false">IF(AND(ISNUMBER(J78),ISNUMBER(J86)),IF(AND(J78&lt;0,J86&lt;0),"Both cut",""),"")</f>
        <v/>
      </c>
      <c r="K134" s="15" t="str">
        <f aca="false">IF(AND(ISNUMBER(K78),ISNUMBER(K86)),IF(AND(K78&lt;0,K86&lt;0),"Both cut",""),"")</f>
        <v/>
      </c>
      <c r="L134" s="15" t="str">
        <f aca="false">IF(AND(ISNUMBER(L78),ISNUMBER(L86)),IF(AND(L78&lt;0,L86&lt;0),"Both cut",""),"")</f>
        <v/>
      </c>
      <c r="M134" s="15" t="str">
        <f aca="false">IF(AND(ISNUMBER(M78),ISNUMBER(M86)),IF(AND(M78&lt;0,M86&lt;0),"Both cut",""),"")</f>
        <v/>
      </c>
      <c r="N134" s="15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1084</v>
      </c>
      <c r="F135" s="15" t="str">
        <f aca="false">IF(AND(ISNUMBER(F79),ISNUMBER(F87)),IF(AND(F79&lt;0,F87&lt;0),"Both cut",""),"")</f>
        <v/>
      </c>
      <c r="G135" s="15" t="str">
        <f aca="false">IF(AND(ISNUMBER(G79),ISNUMBER(G87)),IF(AND(G79&lt;0,G87&lt;0),"Both cut",""),"")</f>
        <v/>
      </c>
      <c r="H135" s="15" t="str">
        <f aca="false">IF(AND(ISNUMBER(H79),ISNUMBER(H87)),IF(AND(H79&lt;0,H87&lt;0),"Both cut",""),"")</f>
        <v/>
      </c>
      <c r="I135" s="15" t="str">
        <f aca="false">IF(AND(ISNUMBER(I79),ISNUMBER(I87)),IF(AND(I79&lt;0,I87&lt;0),"Both cut",""),"")</f>
        <v/>
      </c>
      <c r="J135" s="15" t="str">
        <f aca="false">IF(AND(ISNUMBER(J79),ISNUMBER(J87)),IF(AND(J79&lt;0,J87&lt;0),"Both cut",""),"")</f>
        <v/>
      </c>
      <c r="K135" s="15" t="str">
        <f aca="false">IF(AND(ISNUMBER(K79),ISNUMBER(K87)),IF(AND(K79&lt;0,K87&lt;0),"Both cut",""),"")</f>
        <v/>
      </c>
      <c r="L135" s="15" t="str">
        <f aca="false">IF(AND(ISNUMBER(L79),ISNUMBER(L87)),IF(AND(L79&lt;0,L87&lt;0),"Both cut",""),"")</f>
        <v/>
      </c>
      <c r="M135" s="15" t="str">
        <f aca="false">IF(AND(ISNUMBER(M79),ISNUMBER(M87)),IF(AND(M79&lt;0,M87&lt;0),"Both cut",""),"")</f>
        <v/>
      </c>
      <c r="N135" s="15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1085</v>
      </c>
      <c r="F136" s="15" t="str">
        <f aca="false">IF(AND(ISNUMBER(F80),ISNUMBER(F88)),IF(AND(F80&lt;0,F88&lt;0),"Both cut",""),"")</f>
        <v/>
      </c>
      <c r="G136" s="15" t="str">
        <f aca="false">IF(AND(ISNUMBER(G80),ISNUMBER(G88)),IF(AND(G80&lt;0,G88&lt;0),"Both cut",""),"")</f>
        <v/>
      </c>
      <c r="H136" s="15" t="str">
        <f aca="false">IF(AND(ISNUMBER(H80),ISNUMBER(H88)),IF(AND(H80&lt;0,H88&lt;0),"Both cut",""),"")</f>
        <v/>
      </c>
      <c r="I136" s="15" t="str">
        <f aca="false">IF(AND(ISNUMBER(I80),ISNUMBER(I88)),IF(AND(I80&lt;0,I88&lt;0),"Both cut",""),"")</f>
        <v/>
      </c>
      <c r="J136" s="15" t="str">
        <f aca="false">IF(AND(ISNUMBER(J80),ISNUMBER(J88)),IF(AND(J80&lt;0,J88&lt;0),"Both cut",""),"")</f>
        <v/>
      </c>
      <c r="K136" s="15" t="str">
        <f aca="false">IF(AND(ISNUMBER(K80),ISNUMBER(K88)),IF(AND(K80&lt;0,K88&lt;0),"Both cut",""),"")</f>
        <v/>
      </c>
      <c r="L136" s="15" t="str">
        <f aca="false">IF(AND(ISNUMBER(L80),ISNUMBER(L88)),IF(AND(L80&lt;0,L88&lt;0),"Both cut",""),"")</f>
        <v/>
      </c>
      <c r="M136" s="15" t="str">
        <f aca="false">IF(AND(ISNUMBER(M80),ISNUMBER(M88)),IF(AND(M80&lt;0,M88&lt;0),"Both cut",""),"")</f>
        <v/>
      </c>
      <c r="N136" s="15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1086</v>
      </c>
      <c r="F137" s="15" t="str">
        <f aca="false">IF(AND(ISNUMBER(F81),ISNUMBER(F89)),IF(AND(F81&lt;0,F89&lt;0),"Both cut",""),"")</f>
        <v/>
      </c>
      <c r="G137" s="15" t="str">
        <f aca="false">IF(AND(ISNUMBER(G81),ISNUMBER(G89)),IF(AND(G81&lt;0,G89&lt;0),"Both cut",""),"")</f>
        <v/>
      </c>
      <c r="H137" s="15" t="str">
        <f aca="false">IF(AND(ISNUMBER(H81),ISNUMBER(H89)),IF(AND(H81&lt;0,H89&lt;0),"Both cut",""),"")</f>
        <v/>
      </c>
      <c r="I137" s="15" t="str">
        <f aca="false">IF(AND(ISNUMBER(I81),ISNUMBER(I89)),IF(AND(I81&lt;0,I89&lt;0),"Both cut",""),"")</f>
        <v/>
      </c>
      <c r="J137" s="15" t="str">
        <f aca="false">IF(AND(ISNUMBER(J81),ISNUMBER(J89)),IF(AND(J81&lt;0,J89&lt;0),"Both cut",""),"")</f>
        <v/>
      </c>
      <c r="K137" s="15" t="str">
        <f aca="false">IF(AND(ISNUMBER(K81),ISNUMBER(K89)),IF(AND(K81&lt;0,K89&lt;0),"Both cut",""),"")</f>
        <v/>
      </c>
      <c r="L137" s="15" t="str">
        <f aca="false">IF(AND(ISNUMBER(L81),ISNUMBER(L89)),IF(AND(L81&lt;0,L89&lt;0),"Both cut",""),"")</f>
        <v/>
      </c>
      <c r="M137" s="15" t="str">
        <f aca="false">IF(AND(ISNUMBER(M81),ISNUMBER(M89)),IF(AND(M81&lt;0,M89&lt;0),"Both cut",""),"")</f>
        <v/>
      </c>
      <c r="N137" s="15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1087</v>
      </c>
      <c r="F138" s="15" t="str">
        <f aca="false">IF(AND(ISNUMBER(F82),ISNUMBER(F90)),IF(AND(F82&lt;0,F90&lt;0),"Both cut",""),"")</f>
        <v/>
      </c>
      <c r="G138" s="15" t="str">
        <f aca="false">IF(AND(ISNUMBER(G82),ISNUMBER(G90)),IF(AND(G82&lt;0,G90&lt;0),"Both cut",""),"")</f>
        <v/>
      </c>
      <c r="H138" s="15" t="str">
        <f aca="false">IF(AND(ISNUMBER(H82),ISNUMBER(H90)),IF(AND(H82&lt;0,H90&lt;0),"Both cut",""),"")</f>
        <v/>
      </c>
      <c r="I138" s="15" t="str">
        <f aca="false">IF(AND(ISNUMBER(I82),ISNUMBER(I90)),IF(AND(I82&lt;0,I90&lt;0),"Both cut",""),"")</f>
        <v/>
      </c>
      <c r="J138" s="15" t="str">
        <f aca="false">IF(AND(ISNUMBER(J82),ISNUMBER(J90)),IF(AND(J82&lt;0,J90&lt;0),"Both cut",""),"")</f>
        <v/>
      </c>
      <c r="K138" s="15" t="str">
        <f aca="false">IF(AND(ISNUMBER(K82),ISNUMBER(K90)),IF(AND(K82&lt;0,K90&lt;0),"Both cut",""),"")</f>
        <v/>
      </c>
      <c r="L138" s="15" t="str">
        <f aca="false">IF(AND(ISNUMBER(L82),ISNUMBER(L90)),IF(AND(L82&lt;0,L90&lt;0),"Both cut",""),"")</f>
        <v/>
      </c>
      <c r="M138" s="15" t="str">
        <f aca="false">IF(AND(ISNUMBER(M82),ISNUMBER(M90)),IF(AND(M82&lt;0,M90&lt;0),"Both cut",""),"")</f>
        <v/>
      </c>
      <c r="N138" s="15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1088</v>
      </c>
      <c r="F139" s="15" t="str">
        <f aca="false">IF(AND(ISNUMBER(F83),ISNUMBER(F91)),IF(AND(F83&lt;0,F91&lt;0),"Both cut",""),"")</f>
        <v/>
      </c>
      <c r="G139" s="15" t="str">
        <f aca="false">IF(AND(ISNUMBER(G83),ISNUMBER(G91)),IF(AND(G83&lt;0,G91&lt;0),"Both cut",""),"")</f>
        <v/>
      </c>
      <c r="H139" s="15" t="str">
        <f aca="false">IF(AND(ISNUMBER(H83),ISNUMBER(H91)),IF(AND(H83&lt;0,H91&lt;0),"Both cut",""),"")</f>
        <v/>
      </c>
      <c r="I139" s="15" t="str">
        <f aca="false">IF(AND(ISNUMBER(I83),ISNUMBER(I91)),IF(AND(I83&lt;0,I91&lt;0),"Both cut",""),"")</f>
        <v/>
      </c>
      <c r="J139" s="15" t="str">
        <f aca="false">IF(AND(ISNUMBER(J83),ISNUMBER(J91)),IF(AND(J83&lt;0,J91&lt;0),"Both cut",""),"")</f>
        <v/>
      </c>
      <c r="K139" s="15" t="str">
        <f aca="false">IF(AND(ISNUMBER(K83),ISNUMBER(K91)),IF(AND(K83&lt;0,K91&lt;0),"Both cut",""),"")</f>
        <v/>
      </c>
      <c r="L139" s="15" t="str">
        <f aca="false">IF(AND(ISNUMBER(L83),ISNUMBER(L91)),IF(AND(L83&lt;0,L91&lt;0),"Both cut",""),"")</f>
        <v/>
      </c>
      <c r="M139" s="15" t="str">
        <f aca="false">IF(AND(ISNUMBER(M83),ISNUMBER(M91)),IF(AND(M83&lt;0,M91&lt;0),"Both cut",""),"")</f>
        <v/>
      </c>
      <c r="N139" s="15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1089</v>
      </c>
      <c r="F140" s="15" t="str">
        <f aca="false">IF(AND(ISNUMBER(F84),ISNUMBER(F92)),IF(AND(F84&lt;0,F92&lt;0),"Both cut",""),"")</f>
        <v/>
      </c>
      <c r="G140" s="15" t="str">
        <f aca="false">IF(AND(ISNUMBER(G84),ISNUMBER(G92)),IF(AND(G84&lt;0,G92&lt;0),"Both cut",""),"")</f>
        <v/>
      </c>
      <c r="H140" s="15" t="str">
        <f aca="false">IF(AND(ISNUMBER(H84),ISNUMBER(H92)),IF(AND(H84&lt;0,H92&lt;0),"Both cut",""),"")</f>
        <v/>
      </c>
      <c r="I140" s="15" t="str">
        <f aca="false">IF(AND(ISNUMBER(I84),ISNUMBER(I92)),IF(AND(I84&lt;0,I92&lt;0),"Both cut",""),"")</f>
        <v/>
      </c>
      <c r="J140" s="15" t="str">
        <f aca="false">IF(AND(ISNUMBER(J84),ISNUMBER(J92)),IF(AND(J84&lt;0,J92&lt;0),"Both cut",""),"")</f>
        <v/>
      </c>
      <c r="K140" s="15" t="str">
        <f aca="false">IF(AND(ISNUMBER(K84),ISNUMBER(K92)),IF(AND(K84&lt;0,K92&lt;0),"Both cut",""),"")</f>
        <v/>
      </c>
      <c r="L140" s="15" t="str">
        <f aca="false">IF(AND(ISNUMBER(L84),ISNUMBER(L92)),IF(AND(L84&lt;0,L92&lt;0),"Both cut",""),"")</f>
        <v/>
      </c>
      <c r="M140" s="15" t="str">
        <f aca="false">IF(AND(ISNUMBER(M84),ISNUMBER(M92)),IF(AND(M84&lt;0,M92&lt;0),"Both cut",""),"")</f>
        <v/>
      </c>
      <c r="N140" s="15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1090</v>
      </c>
      <c r="F141" s="15" t="str">
        <f aca="false">IF(AND(ISNUMBER(F85),ISNUMBER(F93)),IF(AND(F85&lt;0,F93&lt;0),"Both cut",""),"")</f>
        <v/>
      </c>
      <c r="G141" s="15" t="str">
        <f aca="false">IF(AND(ISNUMBER(G85),ISNUMBER(G93)),IF(AND(G85&lt;0,G93&lt;0),"Both cut",""),"")</f>
        <v/>
      </c>
      <c r="H141" s="15" t="str">
        <f aca="false">IF(AND(ISNUMBER(H85),ISNUMBER(H93)),IF(AND(H85&lt;0,H93&lt;0),"Both cut",""),"")</f>
        <v/>
      </c>
      <c r="I141" s="15" t="str">
        <f aca="false">IF(AND(ISNUMBER(I85),ISNUMBER(I93)),IF(AND(I85&lt;0,I93&lt;0),"Both cut",""),"")</f>
        <v/>
      </c>
      <c r="J141" s="15" t="str">
        <f aca="false">IF(AND(ISNUMBER(J85),ISNUMBER(J93)),IF(AND(J85&lt;0,J93&lt;0),"Both cut",""),"")</f>
        <v/>
      </c>
      <c r="K141" s="15" t="str">
        <f aca="false">IF(AND(ISNUMBER(K85),ISNUMBER(K93)),IF(AND(K85&lt;0,K93&lt;0),"Both cut",""),"")</f>
        <v/>
      </c>
      <c r="L141" s="15" t="str">
        <f aca="false">IF(AND(ISNUMBER(L85),ISNUMBER(L93)),IF(AND(L85&lt;0,L93&lt;0),"Both cut",""),"")</f>
        <v/>
      </c>
      <c r="M141" s="15" t="str">
        <f aca="false">IF(AND(ISNUMBER(M85),ISNUMBER(M93)),IF(AND(M85&lt;0,M93&lt;0),"Both cut",""),"")</f>
        <v/>
      </c>
      <c r="N141" s="15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63" t="s">
        <v>1091</v>
      </c>
    </row>
    <row r="144" customFormat="false" ht="15" hidden="false" customHeight="false" outlineLevel="0" collapsed="false">
      <c r="B144" s="63" t="s">
        <v>1092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R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true" outlineLevel="0" max="18" min="18" style="0" width="13"/>
  </cols>
  <sheetData>
    <row r="1" customFormat="false" ht="19.7" hidden="false" customHeight="false" outlineLevel="0" collapsed="false">
      <c r="A1" s="7" t="s">
        <v>1093</v>
      </c>
    </row>
    <row r="2" customFormat="false" ht="15" hidden="false" customHeight="false" outlineLevel="0" collapsed="false">
      <c r="A2" s="3" t="s">
        <v>1094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122</v>
      </c>
      <c r="B5" s="12" t="s">
        <v>1095</v>
      </c>
      <c r="C5" s="12" t="s">
        <v>198</v>
      </c>
      <c r="D5" s="12" t="s">
        <v>95</v>
      </c>
      <c r="E5" s="12" t="s">
        <v>1096</v>
      </c>
      <c r="F5" s="12" t="s">
        <v>927</v>
      </c>
      <c r="G5" s="12" t="s">
        <v>1096</v>
      </c>
      <c r="H5" s="12" t="s">
        <v>928</v>
      </c>
      <c r="I5" s="12" t="s">
        <v>1096</v>
      </c>
      <c r="J5" s="12" t="s">
        <v>929</v>
      </c>
      <c r="K5" s="12" t="s">
        <v>1096</v>
      </c>
      <c r="L5" s="12" t="s">
        <v>930</v>
      </c>
      <c r="M5" s="12" t="s">
        <v>1096</v>
      </c>
    </row>
    <row r="6" customFormat="false" ht="15" hidden="false" customHeight="false" outlineLevel="0" collapsed="false">
      <c r="A6" s="64" t="s">
        <v>1097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R6" s="36" t="s">
        <v>1098</v>
      </c>
    </row>
    <row r="7" customFormat="false" ht="15" hidden="false" customHeight="false" outlineLevel="0" collapsed="false">
      <c r="A7" s="5" t="s">
        <v>937</v>
      </c>
      <c r="B7" s="5" t="s">
        <v>938</v>
      </c>
      <c r="C7" s="5" t="s">
        <v>939</v>
      </c>
      <c r="D7" s="11"/>
      <c r="F7" s="11"/>
      <c r="H7" s="11"/>
      <c r="J7" s="11"/>
      <c r="L7" s="11"/>
      <c r="R7" s="36" t="s">
        <v>1099</v>
      </c>
    </row>
    <row r="8" customFormat="false" ht="15" hidden="false" customHeight="false" outlineLevel="0" collapsed="false">
      <c r="A8" s="5" t="s">
        <v>937</v>
      </c>
      <c r="B8" s="5" t="s">
        <v>942</v>
      </c>
      <c r="C8" s="5" t="s">
        <v>939</v>
      </c>
      <c r="D8" s="11"/>
      <c r="F8" s="11"/>
      <c r="H8" s="11"/>
      <c r="J8" s="11"/>
      <c r="L8" s="11"/>
      <c r="R8" s="36" t="s">
        <v>1100</v>
      </c>
    </row>
    <row r="9" customFormat="false" ht="15" hidden="false" customHeight="false" outlineLevel="0" collapsed="false">
      <c r="A9" s="5" t="s">
        <v>945</v>
      </c>
      <c r="B9" s="5" t="s">
        <v>946</v>
      </c>
      <c r="C9" s="5" t="s">
        <v>947</v>
      </c>
      <c r="D9" s="28"/>
      <c r="F9" s="28"/>
      <c r="G9" s="66" t="str">
        <f aca="false">IF(AND(ISNUMBER(F9),ISNUMBER(D9)),F9-D9,"")</f>
        <v/>
      </c>
      <c r="H9" s="28"/>
      <c r="I9" s="66" t="str">
        <f aca="false">IF(AND(ISNUMBER(H9),ISNUMBER(F9)),H9-F9,"")</f>
        <v/>
      </c>
      <c r="J9" s="28"/>
      <c r="K9" s="66" t="str">
        <f aca="false">IF(AND(ISNUMBER(J9),ISNUMBER(H9)),J9-H9,"")</f>
        <v/>
      </c>
      <c r="L9" s="28"/>
      <c r="M9" s="66" t="str">
        <f aca="false">IF(AND(ISNUMBER(L9),ISNUMBER(J9)),L9-J9,"")</f>
        <v/>
      </c>
      <c r="R9" s="36" t="s">
        <v>1101</v>
      </c>
    </row>
    <row r="10" customFormat="false" ht="15" hidden="false" customHeight="false" outlineLevel="0" collapsed="false">
      <c r="A10" s="5" t="s">
        <v>945</v>
      </c>
      <c r="B10" s="5" t="s">
        <v>949</v>
      </c>
      <c r="C10" s="5" t="s">
        <v>947</v>
      </c>
      <c r="D10" s="28"/>
      <c r="F10" s="28"/>
      <c r="G10" s="66" t="str">
        <f aca="false">IF(AND(ISNUMBER(F10),ISNUMBER(D10)),F10-D10,"")</f>
        <v/>
      </c>
      <c r="H10" s="28"/>
      <c r="I10" s="66" t="str">
        <f aca="false">IF(AND(ISNUMBER(H10),ISNUMBER(F10)),H10-F10,"")</f>
        <v/>
      </c>
      <c r="J10" s="28"/>
      <c r="K10" s="66" t="str">
        <f aca="false">IF(AND(ISNUMBER(J10),ISNUMBER(H10)),J10-H10,"")</f>
        <v/>
      </c>
      <c r="L10" s="28"/>
      <c r="M10" s="66" t="str">
        <f aca="false">IF(AND(ISNUMBER(L10),ISNUMBER(J10)),L10-J10,"")</f>
        <v/>
      </c>
      <c r="R10" s="36" t="s">
        <v>1102</v>
      </c>
    </row>
    <row r="11" customFormat="false" ht="15" hidden="false" customHeight="false" outlineLevel="0" collapsed="false">
      <c r="A11" s="5" t="s">
        <v>945</v>
      </c>
      <c r="B11" s="5" t="s">
        <v>951</v>
      </c>
      <c r="C11" s="5" t="s">
        <v>952</v>
      </c>
      <c r="D11" s="19"/>
      <c r="F11" s="19"/>
      <c r="G11" s="67" t="str">
        <f aca="false">IF(AND(ISNUMBER(F11),ISNUMBER(D11)),F11-D11,"")</f>
        <v/>
      </c>
      <c r="H11" s="19"/>
      <c r="I11" s="67" t="str">
        <f aca="false">IF(AND(ISNUMBER(H11),ISNUMBER(F11)),H11-F11,"")</f>
        <v/>
      </c>
      <c r="J11" s="19"/>
      <c r="K11" s="67" t="str">
        <f aca="false">IF(AND(ISNUMBER(J11),ISNUMBER(H11)),J11-H11,"")</f>
        <v/>
      </c>
      <c r="L11" s="19"/>
      <c r="M11" s="67" t="str">
        <f aca="false">IF(AND(ISNUMBER(L11),ISNUMBER(J11)),L11-J11,"")</f>
        <v/>
      </c>
      <c r="R11" s="36" t="s">
        <v>913</v>
      </c>
    </row>
    <row r="12" customFormat="false" ht="15" hidden="false" customHeight="false" outlineLevel="0" collapsed="false">
      <c r="A12" s="5" t="s">
        <v>945</v>
      </c>
      <c r="B12" s="5" t="s">
        <v>954</v>
      </c>
      <c r="C12" s="5" t="s">
        <v>952</v>
      </c>
      <c r="D12" s="19"/>
      <c r="F12" s="19"/>
      <c r="G12" s="67" t="str">
        <f aca="false">IF(AND(ISNUMBER(F12),ISNUMBER(D12)),F12-D12,"")</f>
        <v/>
      </c>
      <c r="H12" s="19"/>
      <c r="I12" s="67" t="str">
        <f aca="false">IF(AND(ISNUMBER(H12),ISNUMBER(F12)),H12-F12,"")</f>
        <v/>
      </c>
      <c r="J12" s="19"/>
      <c r="K12" s="67" t="str">
        <f aca="false">IF(AND(ISNUMBER(J12),ISNUMBER(H12)),J12-H12,"")</f>
        <v/>
      </c>
      <c r="L12" s="19"/>
      <c r="M12" s="67" t="str">
        <f aca="false">IF(AND(ISNUMBER(L12),ISNUMBER(J12)),L12-J12,"")</f>
        <v/>
      </c>
      <c r="R12" s="36" t="s">
        <v>1103</v>
      </c>
    </row>
    <row r="13" customFormat="false" ht="15" hidden="false" customHeight="false" outlineLevel="0" collapsed="false">
      <c r="A13" s="5" t="s">
        <v>945</v>
      </c>
      <c r="B13" s="5" t="s">
        <v>956</v>
      </c>
      <c r="C13" s="5" t="s">
        <v>957</v>
      </c>
      <c r="D13" s="24"/>
      <c r="F13" s="24"/>
      <c r="G13" s="68" t="str">
        <f aca="false">IF(AND(ISNUMBER(F13),ISNUMBER(D13)),F13-D13,"")</f>
        <v/>
      </c>
      <c r="H13" s="24"/>
      <c r="I13" s="68" t="str">
        <f aca="false">IF(AND(ISNUMBER(H13),ISNUMBER(F13)),H13-F13,"")</f>
        <v/>
      </c>
      <c r="J13" s="24"/>
      <c r="K13" s="68" t="str">
        <f aca="false">IF(AND(ISNUMBER(J13),ISNUMBER(H13)),J13-H13,"")</f>
        <v/>
      </c>
      <c r="L13" s="24"/>
      <c r="M13" s="68" t="str">
        <f aca="false">IF(AND(ISNUMBER(L13),ISNUMBER(J13)),L13-J13,"")</f>
        <v/>
      </c>
      <c r="R13" s="36" t="s">
        <v>1104</v>
      </c>
    </row>
    <row r="14" customFormat="false" ht="15" hidden="false" customHeight="false" outlineLevel="0" collapsed="false">
      <c r="A14" s="5" t="s">
        <v>945</v>
      </c>
      <c r="B14" s="5" t="s">
        <v>959</v>
      </c>
      <c r="C14" s="5" t="s">
        <v>957</v>
      </c>
      <c r="D14" s="24"/>
      <c r="F14" s="24"/>
      <c r="G14" s="68" t="str">
        <f aca="false">IF(AND(ISNUMBER(F14),ISNUMBER(D14)),F14-D14,"")</f>
        <v/>
      </c>
      <c r="H14" s="24"/>
      <c r="I14" s="68" t="str">
        <f aca="false">IF(AND(ISNUMBER(H14),ISNUMBER(F14)),H14-F14,"")</f>
        <v/>
      </c>
      <c r="J14" s="24"/>
      <c r="K14" s="68" t="str">
        <f aca="false">IF(AND(ISNUMBER(J14),ISNUMBER(H14)),J14-H14,"")</f>
        <v/>
      </c>
      <c r="L14" s="24"/>
      <c r="M14" s="68" t="str">
        <f aca="false">IF(AND(ISNUMBER(L14),ISNUMBER(J14)),L14-J14,"")</f>
        <v/>
      </c>
      <c r="R14" s="36" t="s">
        <v>1105</v>
      </c>
    </row>
    <row r="15" customFormat="false" ht="15" hidden="false" customHeight="false" outlineLevel="0" collapsed="false">
      <c r="A15" s="5" t="s">
        <v>961</v>
      </c>
      <c r="B15" s="5" t="s">
        <v>962</v>
      </c>
      <c r="C15" s="5" t="s">
        <v>613</v>
      </c>
      <c r="D15" s="62"/>
      <c r="F15" s="62"/>
      <c r="G15" s="69" t="str">
        <f aca="false">IF(AND(ISNUMBER(F15),ISNUMBER(D15)),F15-D15,"")</f>
        <v/>
      </c>
      <c r="H15" s="62"/>
      <c r="I15" s="69" t="str">
        <f aca="false">IF(AND(ISNUMBER(H15),ISNUMBER(F15)),H15-F15,"")</f>
        <v/>
      </c>
      <c r="J15" s="62"/>
      <c r="K15" s="69" t="str">
        <f aca="false">IF(AND(ISNUMBER(J15),ISNUMBER(H15)),J15-H15,"")</f>
        <v/>
      </c>
      <c r="L15" s="62"/>
      <c r="M15" s="69" t="str">
        <f aca="false">IF(AND(ISNUMBER(L15),ISNUMBER(J15)),L15-J15,"")</f>
        <v/>
      </c>
      <c r="R15" s="36" t="s">
        <v>1106</v>
      </c>
    </row>
    <row r="16" customFormat="false" ht="15" hidden="false" customHeight="false" outlineLevel="0" collapsed="false">
      <c r="A16" s="5" t="s">
        <v>961</v>
      </c>
      <c r="B16" s="5" t="s">
        <v>964</v>
      </c>
      <c r="C16" s="5" t="s">
        <v>613</v>
      </c>
      <c r="D16" s="62"/>
      <c r="F16" s="62"/>
      <c r="G16" s="69" t="str">
        <f aca="false">IF(AND(ISNUMBER(F16),ISNUMBER(D16)),F16-D16,"")</f>
        <v/>
      </c>
      <c r="H16" s="62"/>
      <c r="I16" s="69" t="str">
        <f aca="false">IF(AND(ISNUMBER(H16),ISNUMBER(F16)),H16-F16,"")</f>
        <v/>
      </c>
      <c r="J16" s="62"/>
      <c r="K16" s="69" t="str">
        <f aca="false">IF(AND(ISNUMBER(J16),ISNUMBER(H16)),J16-H16,"")</f>
        <v/>
      </c>
      <c r="L16" s="62"/>
      <c r="M16" s="69" t="str">
        <f aca="false">IF(AND(ISNUMBER(L16),ISNUMBER(J16)),L16-J16,"")</f>
        <v/>
      </c>
      <c r="R16" s="36" t="s">
        <v>1107</v>
      </c>
    </row>
    <row r="17" customFormat="false" ht="15" hidden="false" customHeight="false" outlineLevel="0" collapsed="false">
      <c r="A17" s="5" t="s">
        <v>961</v>
      </c>
      <c r="B17" s="5" t="s">
        <v>966</v>
      </c>
      <c r="C17" s="5" t="s">
        <v>613</v>
      </c>
      <c r="D17" s="62"/>
      <c r="F17" s="62"/>
      <c r="G17" s="69" t="str">
        <f aca="false">IF(AND(ISNUMBER(F17),ISNUMBER(D17)),F17-D17,"")</f>
        <v/>
      </c>
      <c r="H17" s="62"/>
      <c r="I17" s="69" t="str">
        <f aca="false">IF(AND(ISNUMBER(H17),ISNUMBER(F17)),H17-F17,"")</f>
        <v/>
      </c>
      <c r="J17" s="62"/>
      <c r="K17" s="69" t="str">
        <f aca="false">IF(AND(ISNUMBER(J17),ISNUMBER(H17)),J17-H17,"")</f>
        <v/>
      </c>
      <c r="L17" s="62"/>
      <c r="M17" s="69" t="str">
        <f aca="false">IF(AND(ISNUMBER(L17),ISNUMBER(J17)),L17-J17,"")</f>
        <v/>
      </c>
      <c r="R17" s="36" t="s">
        <v>1108</v>
      </c>
    </row>
    <row r="18" customFormat="false" ht="15" hidden="false" customHeight="false" outlineLevel="0" collapsed="false">
      <c r="A18" s="5" t="s">
        <v>961</v>
      </c>
      <c r="B18" s="5" t="s">
        <v>968</v>
      </c>
      <c r="C18" s="5" t="s">
        <v>613</v>
      </c>
      <c r="D18" s="62"/>
      <c r="F18" s="62"/>
      <c r="G18" s="69" t="str">
        <f aca="false">IF(AND(ISNUMBER(F18),ISNUMBER(D18)),F18-D18,"")</f>
        <v/>
      </c>
      <c r="H18" s="62"/>
      <c r="I18" s="69" t="str">
        <f aca="false">IF(AND(ISNUMBER(H18),ISNUMBER(F18)),H18-F18,"")</f>
        <v/>
      </c>
      <c r="J18" s="62"/>
      <c r="K18" s="69" t="str">
        <f aca="false">IF(AND(ISNUMBER(J18),ISNUMBER(H18)),J18-H18,"")</f>
        <v/>
      </c>
      <c r="L18" s="62"/>
      <c r="M18" s="69" t="str">
        <f aca="false">IF(AND(ISNUMBER(L18),ISNUMBER(J18)),L18-J18,"")</f>
        <v/>
      </c>
      <c r="R18" s="36" t="s">
        <v>1109</v>
      </c>
    </row>
    <row r="19" customFormat="false" ht="15" hidden="false" customHeight="false" outlineLevel="0" collapsed="false">
      <c r="A19" s="5" t="s">
        <v>961</v>
      </c>
      <c r="B19" s="5" t="s">
        <v>970</v>
      </c>
      <c r="C19" s="5" t="s">
        <v>613</v>
      </c>
      <c r="D19" s="62"/>
      <c r="F19" s="62"/>
      <c r="G19" s="69" t="str">
        <f aca="false">IF(AND(ISNUMBER(F19),ISNUMBER(D19)),F19-D19,"")</f>
        <v/>
      </c>
      <c r="H19" s="62"/>
      <c r="I19" s="69" t="str">
        <f aca="false">IF(AND(ISNUMBER(H19),ISNUMBER(F19)),H19-F19,"")</f>
        <v/>
      </c>
      <c r="J19" s="62"/>
      <c r="K19" s="69" t="str">
        <f aca="false">IF(AND(ISNUMBER(J19),ISNUMBER(H19)),J19-H19,"")</f>
        <v/>
      </c>
      <c r="L19" s="62"/>
      <c r="M19" s="69" t="str">
        <f aca="false">IF(AND(ISNUMBER(L19),ISNUMBER(J19)),L19-J19,"")</f>
        <v/>
      </c>
      <c r="R19" s="36" t="s">
        <v>1110</v>
      </c>
    </row>
    <row r="20" customFormat="false" ht="15" hidden="false" customHeight="false" outlineLevel="0" collapsed="false">
      <c r="A20" s="5" t="s">
        <v>961</v>
      </c>
      <c r="B20" s="5" t="s">
        <v>972</v>
      </c>
      <c r="C20" s="5" t="s">
        <v>613</v>
      </c>
      <c r="D20" s="62"/>
      <c r="F20" s="62"/>
      <c r="G20" s="69" t="str">
        <f aca="false">IF(AND(ISNUMBER(F20),ISNUMBER(D20)),F20-D20,"")</f>
        <v/>
      </c>
      <c r="H20" s="62"/>
      <c r="I20" s="69" t="str">
        <f aca="false">IF(AND(ISNUMBER(H20),ISNUMBER(F20)),H20-F20,"")</f>
        <v/>
      </c>
      <c r="J20" s="62"/>
      <c r="K20" s="69" t="str">
        <f aca="false">IF(AND(ISNUMBER(J20),ISNUMBER(H20)),J20-H20,"")</f>
        <v/>
      </c>
      <c r="L20" s="62"/>
      <c r="M20" s="69" t="str">
        <f aca="false">IF(AND(ISNUMBER(L20),ISNUMBER(J20)),L20-J20,"")</f>
        <v/>
      </c>
      <c r="R20" s="36" t="s">
        <v>915</v>
      </c>
    </row>
    <row r="21" customFormat="false" ht="15" hidden="false" customHeight="false" outlineLevel="0" collapsed="false">
      <c r="A21" s="5" t="s">
        <v>961</v>
      </c>
      <c r="B21" s="5" t="s">
        <v>974</v>
      </c>
      <c r="C21" s="5" t="s">
        <v>613</v>
      </c>
      <c r="D21" s="62"/>
      <c r="F21" s="62"/>
      <c r="G21" s="69" t="str">
        <f aca="false">IF(AND(ISNUMBER(F21),ISNUMBER(D21)),F21-D21,"")</f>
        <v/>
      </c>
      <c r="H21" s="62"/>
      <c r="I21" s="69" t="str">
        <f aca="false">IF(AND(ISNUMBER(H21),ISNUMBER(F21)),H21-F21,"")</f>
        <v/>
      </c>
      <c r="J21" s="62"/>
      <c r="K21" s="69" t="str">
        <f aca="false">IF(AND(ISNUMBER(J21),ISNUMBER(H21)),J21-H21,"")</f>
        <v/>
      </c>
      <c r="L21" s="62"/>
      <c r="M21" s="69" t="str">
        <f aca="false">IF(AND(ISNUMBER(L21),ISNUMBER(J21)),L21-J21,"")</f>
        <v/>
      </c>
      <c r="R21" s="36" t="s">
        <v>1111</v>
      </c>
    </row>
    <row r="22" customFormat="false" ht="15" hidden="false" customHeight="false" outlineLevel="0" collapsed="false">
      <c r="A22" s="5" t="s">
        <v>961</v>
      </c>
      <c r="B22" s="5" t="s">
        <v>976</v>
      </c>
      <c r="C22" s="5" t="s">
        <v>613</v>
      </c>
      <c r="D22" s="62"/>
      <c r="F22" s="62"/>
      <c r="G22" s="69" t="str">
        <f aca="false">IF(AND(ISNUMBER(F22),ISNUMBER(D22)),F22-D22,"")</f>
        <v/>
      </c>
      <c r="H22" s="62"/>
      <c r="I22" s="69" t="str">
        <f aca="false">IF(AND(ISNUMBER(H22),ISNUMBER(F22)),H22-F22,"")</f>
        <v/>
      </c>
      <c r="J22" s="62"/>
      <c r="K22" s="69" t="str">
        <f aca="false">IF(AND(ISNUMBER(J22),ISNUMBER(H22)),J22-H22,"")</f>
        <v/>
      </c>
      <c r="L22" s="62"/>
      <c r="M22" s="69" t="str">
        <f aca="false">IF(AND(ISNUMBER(L22),ISNUMBER(J22)),L22-J22,"")</f>
        <v/>
      </c>
      <c r="R22" s="36" t="s">
        <v>1112</v>
      </c>
    </row>
    <row r="23" customFormat="false" ht="15" hidden="false" customHeight="false" outlineLevel="0" collapsed="false">
      <c r="A23" s="5" t="s">
        <v>961</v>
      </c>
      <c r="B23" s="5" t="s">
        <v>978</v>
      </c>
      <c r="C23" s="5" t="s">
        <v>957</v>
      </c>
      <c r="D23" s="24"/>
      <c r="F23" s="24"/>
      <c r="G23" s="68" t="str">
        <f aca="false">IF(AND(ISNUMBER(F23),ISNUMBER(D23)),F23-D23,"")</f>
        <v/>
      </c>
      <c r="H23" s="24"/>
      <c r="I23" s="68" t="str">
        <f aca="false">IF(AND(ISNUMBER(H23),ISNUMBER(F23)),H23-F23,"")</f>
        <v/>
      </c>
      <c r="J23" s="24"/>
      <c r="K23" s="68" t="str">
        <f aca="false">IF(AND(ISNUMBER(J23),ISNUMBER(H23)),J23-H23,"")</f>
        <v/>
      </c>
      <c r="L23" s="24"/>
      <c r="M23" s="68" t="str">
        <f aca="false">IF(AND(ISNUMBER(L23),ISNUMBER(J23)),L23-J23,"")</f>
        <v/>
      </c>
      <c r="R23" s="36" t="s">
        <v>1113</v>
      </c>
    </row>
    <row r="24" customFormat="false" ht="15" hidden="false" customHeight="false" outlineLevel="0" collapsed="false">
      <c r="A24" s="5" t="s">
        <v>961</v>
      </c>
      <c r="B24" s="5" t="s">
        <v>980</v>
      </c>
      <c r="C24" s="5" t="s">
        <v>957</v>
      </c>
      <c r="D24" s="24"/>
      <c r="F24" s="24"/>
      <c r="G24" s="68" t="str">
        <f aca="false">IF(AND(ISNUMBER(F24),ISNUMBER(D24)),F24-D24,"")</f>
        <v/>
      </c>
      <c r="H24" s="24"/>
      <c r="I24" s="68" t="str">
        <f aca="false">IF(AND(ISNUMBER(H24),ISNUMBER(F24)),H24-F24,"")</f>
        <v/>
      </c>
      <c r="J24" s="24"/>
      <c r="K24" s="68" t="str">
        <f aca="false">IF(AND(ISNUMBER(J24),ISNUMBER(H24)),J24-H24,"")</f>
        <v/>
      </c>
      <c r="L24" s="24"/>
      <c r="M24" s="68" t="str">
        <f aca="false">IF(AND(ISNUMBER(L24),ISNUMBER(J24)),L24-J24,"")</f>
        <v/>
      </c>
      <c r="R24" s="36" t="s">
        <v>1114</v>
      </c>
    </row>
    <row r="25" customFormat="false" ht="15" hidden="false" customHeight="false" outlineLevel="0" collapsed="false">
      <c r="A25" s="5" t="s">
        <v>961</v>
      </c>
      <c r="B25" s="5" t="s">
        <v>982</v>
      </c>
      <c r="C25" s="5" t="s">
        <v>957</v>
      </c>
      <c r="D25" s="24"/>
      <c r="F25" s="24"/>
      <c r="G25" s="68" t="str">
        <f aca="false">IF(AND(ISNUMBER(F25),ISNUMBER(D25)),F25-D25,"")</f>
        <v/>
      </c>
      <c r="H25" s="24"/>
      <c r="I25" s="68" t="str">
        <f aca="false">IF(AND(ISNUMBER(H25),ISNUMBER(F25)),H25-F25,"")</f>
        <v/>
      </c>
      <c r="J25" s="24"/>
      <c r="K25" s="68" t="str">
        <f aca="false">IF(AND(ISNUMBER(J25),ISNUMBER(H25)),J25-H25,"")</f>
        <v/>
      </c>
      <c r="L25" s="24"/>
      <c r="M25" s="68" t="str">
        <f aca="false">IF(AND(ISNUMBER(L25),ISNUMBER(J25)),L25-J25,"")</f>
        <v/>
      </c>
      <c r="R25" s="36" t="s">
        <v>1115</v>
      </c>
    </row>
    <row r="26" customFormat="false" ht="15" hidden="false" customHeight="false" outlineLevel="0" collapsed="false">
      <c r="A26" s="5" t="s">
        <v>961</v>
      </c>
      <c r="B26" s="5" t="s">
        <v>984</v>
      </c>
      <c r="C26" s="5" t="s">
        <v>957</v>
      </c>
      <c r="D26" s="24"/>
      <c r="F26" s="24"/>
      <c r="G26" s="68" t="str">
        <f aca="false">IF(AND(ISNUMBER(F26),ISNUMBER(D26)),F26-D26,"")</f>
        <v/>
      </c>
      <c r="H26" s="24"/>
      <c r="I26" s="68" t="str">
        <f aca="false">IF(AND(ISNUMBER(H26),ISNUMBER(F26)),H26-F26,"")</f>
        <v/>
      </c>
      <c r="J26" s="24"/>
      <c r="K26" s="68" t="str">
        <f aca="false">IF(AND(ISNUMBER(J26),ISNUMBER(H26)),J26-H26,"")</f>
        <v/>
      </c>
      <c r="L26" s="24"/>
      <c r="M26" s="68" t="str">
        <f aca="false">IF(AND(ISNUMBER(L26),ISNUMBER(J26)),L26-J26,"")</f>
        <v/>
      </c>
      <c r="R26" s="36" t="s">
        <v>916</v>
      </c>
    </row>
    <row r="27" customFormat="false" ht="15" hidden="false" customHeight="false" outlineLevel="0" collapsed="false">
      <c r="A27" s="5" t="s">
        <v>961</v>
      </c>
      <c r="B27" s="5" t="s">
        <v>986</v>
      </c>
      <c r="C27" s="5" t="s">
        <v>957</v>
      </c>
      <c r="D27" s="24"/>
      <c r="F27" s="24"/>
      <c r="G27" s="68" t="str">
        <f aca="false">IF(AND(ISNUMBER(F27),ISNUMBER(D27)),F27-D27,"")</f>
        <v/>
      </c>
      <c r="H27" s="24"/>
      <c r="I27" s="68" t="str">
        <f aca="false">IF(AND(ISNUMBER(H27),ISNUMBER(F27)),H27-F27,"")</f>
        <v/>
      </c>
      <c r="J27" s="24"/>
      <c r="K27" s="68" t="str">
        <f aca="false">IF(AND(ISNUMBER(J27),ISNUMBER(H27)),J27-H27,"")</f>
        <v/>
      </c>
      <c r="L27" s="24"/>
      <c r="M27" s="68" t="str">
        <f aca="false">IF(AND(ISNUMBER(L27),ISNUMBER(J27)),L27-J27,"")</f>
        <v/>
      </c>
    </row>
    <row r="28" customFormat="false" ht="15" hidden="false" customHeight="false" outlineLevel="0" collapsed="false">
      <c r="A28" s="5" t="s">
        <v>961</v>
      </c>
      <c r="B28" s="5" t="s">
        <v>988</v>
      </c>
      <c r="C28" s="5" t="s">
        <v>957</v>
      </c>
      <c r="D28" s="24"/>
      <c r="F28" s="24"/>
      <c r="G28" s="68" t="str">
        <f aca="false">IF(AND(ISNUMBER(F28),ISNUMBER(D28)),F28-D28,"")</f>
        <v/>
      </c>
      <c r="H28" s="24"/>
      <c r="I28" s="68" t="str">
        <f aca="false">IF(AND(ISNUMBER(H28),ISNUMBER(F28)),H28-F28,"")</f>
        <v/>
      </c>
      <c r="J28" s="24"/>
      <c r="K28" s="68" t="str">
        <f aca="false">IF(AND(ISNUMBER(J28),ISNUMBER(H28)),J28-H28,"")</f>
        <v/>
      </c>
      <c r="L28" s="24"/>
      <c r="M28" s="68" t="str">
        <f aca="false">IF(AND(ISNUMBER(L28),ISNUMBER(J28)),L28-J28,"")</f>
        <v/>
      </c>
    </row>
    <row r="29" customFormat="false" ht="15" hidden="false" customHeight="false" outlineLevel="0" collapsed="false">
      <c r="A29" s="5" t="s">
        <v>961</v>
      </c>
      <c r="B29" s="5" t="s">
        <v>990</v>
      </c>
      <c r="C29" s="5" t="s">
        <v>957</v>
      </c>
      <c r="D29" s="24"/>
      <c r="F29" s="24"/>
      <c r="G29" s="68" t="str">
        <f aca="false">IF(AND(ISNUMBER(F29),ISNUMBER(D29)),F29-D29,"")</f>
        <v/>
      </c>
      <c r="H29" s="24"/>
      <c r="I29" s="68" t="str">
        <f aca="false">IF(AND(ISNUMBER(H29),ISNUMBER(F29)),H29-F29,"")</f>
        <v/>
      </c>
      <c r="J29" s="24"/>
      <c r="K29" s="68" t="str">
        <f aca="false">IF(AND(ISNUMBER(J29),ISNUMBER(H29)),J29-H29,"")</f>
        <v/>
      </c>
      <c r="L29" s="24"/>
      <c r="M29" s="68" t="str">
        <f aca="false">IF(AND(ISNUMBER(L29),ISNUMBER(J29)),L29-J29,"")</f>
        <v/>
      </c>
    </row>
    <row r="30" customFormat="false" ht="15" hidden="false" customHeight="false" outlineLevel="0" collapsed="false">
      <c r="A30" s="5" t="s">
        <v>961</v>
      </c>
      <c r="B30" s="5" t="s">
        <v>992</v>
      </c>
      <c r="C30" s="5" t="s">
        <v>957</v>
      </c>
      <c r="D30" s="24"/>
      <c r="F30" s="24"/>
      <c r="G30" s="68" t="str">
        <f aca="false">IF(AND(ISNUMBER(F30),ISNUMBER(D30)),F30-D30,"")</f>
        <v/>
      </c>
      <c r="H30" s="24"/>
      <c r="I30" s="68" t="str">
        <f aca="false">IF(AND(ISNUMBER(H30),ISNUMBER(F30)),H30-F30,"")</f>
        <v/>
      </c>
      <c r="J30" s="24"/>
      <c r="K30" s="68" t="str">
        <f aca="false">IF(AND(ISNUMBER(J30),ISNUMBER(H30)),J30-H30,"")</f>
        <v/>
      </c>
      <c r="L30" s="24"/>
      <c r="M30" s="68" t="str">
        <f aca="false">IF(AND(ISNUMBER(L30),ISNUMBER(J30)),L30-J30,"")</f>
        <v/>
      </c>
    </row>
    <row r="31" customFormat="false" ht="23.85" hidden="false" customHeight="false" outlineLevel="0" collapsed="false">
      <c r="A31" s="5" t="s">
        <v>961</v>
      </c>
      <c r="B31" s="5" t="s">
        <v>994</v>
      </c>
      <c r="C31" s="5" t="s">
        <v>995</v>
      </c>
      <c r="D31" s="28"/>
      <c r="F31" s="28"/>
      <c r="G31" s="66" t="str">
        <f aca="false">IF(AND(ISNUMBER(F31),ISNUMBER(D31)),F31-D31,"")</f>
        <v/>
      </c>
      <c r="H31" s="28"/>
      <c r="I31" s="66" t="str">
        <f aca="false">IF(AND(ISNUMBER(H31),ISNUMBER(F31)),H31-F31,"")</f>
        <v/>
      </c>
      <c r="J31" s="28"/>
      <c r="K31" s="66" t="str">
        <f aca="false">IF(AND(ISNUMBER(J31),ISNUMBER(H31)),J31-H31,"")</f>
        <v/>
      </c>
      <c r="L31" s="28"/>
      <c r="M31" s="66" t="str">
        <f aca="false">IF(AND(ISNUMBER(L31),ISNUMBER(J31)),L31-J31,"")</f>
        <v/>
      </c>
    </row>
    <row r="32" customFormat="false" ht="23.85" hidden="false" customHeight="false" outlineLevel="0" collapsed="false">
      <c r="A32" s="5" t="s">
        <v>961</v>
      </c>
      <c r="B32" s="5" t="s">
        <v>997</v>
      </c>
      <c r="C32" s="5" t="s">
        <v>995</v>
      </c>
      <c r="D32" s="28"/>
      <c r="F32" s="28"/>
      <c r="G32" s="66" t="str">
        <f aca="false">IF(AND(ISNUMBER(F32),ISNUMBER(D32)),F32-D32,"")</f>
        <v/>
      </c>
      <c r="H32" s="28"/>
      <c r="I32" s="66" t="str">
        <f aca="false">IF(AND(ISNUMBER(H32),ISNUMBER(F32)),H32-F32,"")</f>
        <v/>
      </c>
      <c r="J32" s="28"/>
      <c r="K32" s="66" t="str">
        <f aca="false">IF(AND(ISNUMBER(J32),ISNUMBER(H32)),J32-H32,"")</f>
        <v/>
      </c>
      <c r="L32" s="28"/>
      <c r="M32" s="66" t="str">
        <f aca="false">IF(AND(ISNUMBER(L32),ISNUMBER(J32)),L32-J32,"")</f>
        <v/>
      </c>
    </row>
    <row r="33" customFormat="false" ht="23.85" hidden="false" customHeight="false" outlineLevel="0" collapsed="false">
      <c r="A33" s="5" t="s">
        <v>961</v>
      </c>
      <c r="B33" s="5" t="s">
        <v>999</v>
      </c>
      <c r="C33" s="5" t="s">
        <v>995</v>
      </c>
      <c r="D33" s="28"/>
      <c r="F33" s="28"/>
      <c r="G33" s="66" t="str">
        <f aca="false">IF(AND(ISNUMBER(F33),ISNUMBER(D33)),F33-D33,"")</f>
        <v/>
      </c>
      <c r="H33" s="28"/>
      <c r="I33" s="66" t="str">
        <f aca="false">IF(AND(ISNUMBER(H33),ISNUMBER(F33)),H33-F33,"")</f>
        <v/>
      </c>
      <c r="J33" s="28"/>
      <c r="K33" s="66" t="str">
        <f aca="false">IF(AND(ISNUMBER(J33),ISNUMBER(H33)),J33-H33,"")</f>
        <v/>
      </c>
      <c r="L33" s="28"/>
      <c r="M33" s="66" t="str">
        <f aca="false">IF(AND(ISNUMBER(L33),ISNUMBER(J33)),L33-J33,"")</f>
        <v/>
      </c>
    </row>
    <row r="34" customFormat="false" ht="23.85" hidden="false" customHeight="false" outlineLevel="0" collapsed="false">
      <c r="A34" s="5" t="s">
        <v>961</v>
      </c>
      <c r="B34" s="5" t="s">
        <v>1001</v>
      </c>
      <c r="C34" s="5" t="s">
        <v>995</v>
      </c>
      <c r="D34" s="28"/>
      <c r="F34" s="28"/>
      <c r="G34" s="66" t="str">
        <f aca="false">IF(AND(ISNUMBER(F34),ISNUMBER(D34)),F34-D34,"")</f>
        <v/>
      </c>
      <c r="H34" s="28"/>
      <c r="I34" s="66" t="str">
        <f aca="false">IF(AND(ISNUMBER(H34),ISNUMBER(F34)),H34-F34,"")</f>
        <v/>
      </c>
      <c r="J34" s="28"/>
      <c r="K34" s="66" t="str">
        <f aca="false">IF(AND(ISNUMBER(J34),ISNUMBER(H34)),J34-H34,"")</f>
        <v/>
      </c>
      <c r="L34" s="28"/>
      <c r="M34" s="66" t="str">
        <f aca="false">IF(AND(ISNUMBER(L34),ISNUMBER(J34)),L34-J34,"")</f>
        <v/>
      </c>
    </row>
    <row r="35" customFormat="false" ht="23.85" hidden="false" customHeight="false" outlineLevel="0" collapsed="false">
      <c r="A35" s="5" t="s">
        <v>961</v>
      </c>
      <c r="B35" s="5" t="s">
        <v>1003</v>
      </c>
      <c r="C35" s="5" t="s">
        <v>995</v>
      </c>
      <c r="D35" s="28"/>
      <c r="F35" s="28"/>
      <c r="G35" s="66" t="str">
        <f aca="false">IF(AND(ISNUMBER(F35),ISNUMBER(D35)),F35-D35,"")</f>
        <v/>
      </c>
      <c r="H35" s="28"/>
      <c r="I35" s="66" t="str">
        <f aca="false">IF(AND(ISNUMBER(H35),ISNUMBER(F35)),H35-F35,"")</f>
        <v/>
      </c>
      <c r="J35" s="28"/>
      <c r="K35" s="66" t="str">
        <f aca="false">IF(AND(ISNUMBER(J35),ISNUMBER(H35)),J35-H35,"")</f>
        <v/>
      </c>
      <c r="L35" s="28"/>
      <c r="M35" s="66" t="str">
        <f aca="false">IF(AND(ISNUMBER(L35),ISNUMBER(J35)),L35-J35,"")</f>
        <v/>
      </c>
    </row>
    <row r="36" customFormat="false" ht="23.85" hidden="false" customHeight="false" outlineLevel="0" collapsed="false">
      <c r="A36" s="5" t="s">
        <v>961</v>
      </c>
      <c r="B36" s="5" t="s">
        <v>1005</v>
      </c>
      <c r="C36" s="5" t="s">
        <v>995</v>
      </c>
      <c r="D36" s="28"/>
      <c r="F36" s="28"/>
      <c r="G36" s="66" t="str">
        <f aca="false">IF(AND(ISNUMBER(F36),ISNUMBER(D36)),F36-D36,"")</f>
        <v/>
      </c>
      <c r="H36" s="28"/>
      <c r="I36" s="66" t="str">
        <f aca="false">IF(AND(ISNUMBER(H36),ISNUMBER(F36)),H36-F36,"")</f>
        <v/>
      </c>
      <c r="J36" s="28"/>
      <c r="K36" s="66" t="str">
        <f aca="false">IF(AND(ISNUMBER(J36),ISNUMBER(H36)),J36-H36,"")</f>
        <v/>
      </c>
      <c r="L36" s="28"/>
      <c r="M36" s="66" t="str">
        <f aca="false">IF(AND(ISNUMBER(L36),ISNUMBER(J36)),L36-J36,"")</f>
        <v/>
      </c>
    </row>
    <row r="37" customFormat="false" ht="23.85" hidden="false" customHeight="false" outlineLevel="0" collapsed="false">
      <c r="A37" s="5" t="s">
        <v>961</v>
      </c>
      <c r="B37" s="5" t="s">
        <v>1007</v>
      </c>
      <c r="C37" s="5" t="s">
        <v>995</v>
      </c>
      <c r="D37" s="28"/>
      <c r="F37" s="28"/>
      <c r="G37" s="66" t="str">
        <f aca="false">IF(AND(ISNUMBER(F37),ISNUMBER(D37)),F37-D37,"")</f>
        <v/>
      </c>
      <c r="H37" s="28"/>
      <c r="I37" s="66" t="str">
        <f aca="false">IF(AND(ISNUMBER(H37),ISNUMBER(F37)),H37-F37,"")</f>
        <v/>
      </c>
      <c r="J37" s="28"/>
      <c r="K37" s="66" t="str">
        <f aca="false">IF(AND(ISNUMBER(J37),ISNUMBER(H37)),J37-H37,"")</f>
        <v/>
      </c>
      <c r="L37" s="28"/>
      <c r="M37" s="66" t="str">
        <f aca="false">IF(AND(ISNUMBER(L37),ISNUMBER(J37)),L37-J37,"")</f>
        <v/>
      </c>
    </row>
    <row r="38" customFormat="false" ht="23.85" hidden="false" customHeight="false" outlineLevel="0" collapsed="false">
      <c r="A38" s="5" t="s">
        <v>961</v>
      </c>
      <c r="B38" s="5" t="s">
        <v>1009</v>
      </c>
      <c r="C38" s="5" t="s">
        <v>995</v>
      </c>
      <c r="D38" s="28"/>
      <c r="F38" s="28"/>
      <c r="G38" s="66" t="str">
        <f aca="false">IF(AND(ISNUMBER(F38),ISNUMBER(D38)),F38-D38,"")</f>
        <v/>
      </c>
      <c r="H38" s="28"/>
      <c r="I38" s="66" t="str">
        <f aca="false">IF(AND(ISNUMBER(H38),ISNUMBER(F38)),H38-F38,"")</f>
        <v/>
      </c>
      <c r="J38" s="28"/>
      <c r="K38" s="66" t="str">
        <f aca="false">IF(AND(ISNUMBER(J38),ISNUMBER(H38)),J38-H38,"")</f>
        <v/>
      </c>
      <c r="L38" s="28"/>
      <c r="M38" s="66" t="str">
        <f aca="false">IF(AND(ISNUMBER(L38),ISNUMBER(J38)),L38-J38,"")</f>
        <v/>
      </c>
    </row>
    <row r="39" customFormat="false" ht="15" hidden="false" customHeight="false" outlineLevel="0" collapsed="false">
      <c r="A39" s="5" t="s">
        <v>961</v>
      </c>
      <c r="B39" s="5" t="s">
        <v>1011</v>
      </c>
      <c r="C39" s="5" t="s">
        <v>1012</v>
      </c>
      <c r="D39" s="19"/>
      <c r="F39" s="19"/>
      <c r="G39" s="67" t="str">
        <f aca="false">IF(AND(ISNUMBER(F39),ISNUMBER(D39)),F39-D39,"")</f>
        <v/>
      </c>
      <c r="H39" s="19"/>
      <c r="I39" s="67" t="str">
        <f aca="false">IF(AND(ISNUMBER(H39),ISNUMBER(F39)),H39-F39,"")</f>
        <v/>
      </c>
      <c r="J39" s="19"/>
      <c r="K39" s="67" t="str">
        <f aca="false">IF(AND(ISNUMBER(J39),ISNUMBER(H39)),J39-H39,"")</f>
        <v/>
      </c>
      <c r="L39" s="19"/>
      <c r="M39" s="67" t="str">
        <f aca="false">IF(AND(ISNUMBER(L39),ISNUMBER(J39)),L39-J39,"")</f>
        <v/>
      </c>
    </row>
    <row r="40" customFormat="false" ht="15" hidden="false" customHeight="false" outlineLevel="0" collapsed="false">
      <c r="A40" s="5" t="s">
        <v>961</v>
      </c>
      <c r="B40" s="5" t="s">
        <v>1014</v>
      </c>
      <c r="C40" s="5" t="s">
        <v>1012</v>
      </c>
      <c r="D40" s="19"/>
      <c r="F40" s="19"/>
      <c r="G40" s="67" t="str">
        <f aca="false">IF(AND(ISNUMBER(F40),ISNUMBER(D40)),F40-D40,"")</f>
        <v/>
      </c>
      <c r="H40" s="19"/>
      <c r="I40" s="67" t="str">
        <f aca="false">IF(AND(ISNUMBER(H40),ISNUMBER(F40)),H40-F40,"")</f>
        <v/>
      </c>
      <c r="J40" s="19"/>
      <c r="K40" s="67" t="str">
        <f aca="false">IF(AND(ISNUMBER(J40),ISNUMBER(H40)),J40-H40,"")</f>
        <v/>
      </c>
      <c r="L40" s="19"/>
      <c r="M40" s="67" t="str">
        <f aca="false">IF(AND(ISNUMBER(L40),ISNUMBER(J40)),L40-J40,"")</f>
        <v/>
      </c>
    </row>
    <row r="41" customFormat="false" ht="15" hidden="false" customHeight="false" outlineLevel="0" collapsed="false">
      <c r="A41" s="5" t="s">
        <v>961</v>
      </c>
      <c r="B41" s="5" t="s">
        <v>1016</v>
      </c>
      <c r="C41" s="5" t="s">
        <v>1012</v>
      </c>
      <c r="D41" s="19"/>
      <c r="F41" s="19"/>
      <c r="G41" s="67" t="str">
        <f aca="false">IF(AND(ISNUMBER(F41),ISNUMBER(D41)),F41-D41,"")</f>
        <v/>
      </c>
      <c r="H41" s="19"/>
      <c r="I41" s="67" t="str">
        <f aca="false">IF(AND(ISNUMBER(H41),ISNUMBER(F41)),H41-F41,"")</f>
        <v/>
      </c>
      <c r="J41" s="19"/>
      <c r="K41" s="67" t="str">
        <f aca="false">IF(AND(ISNUMBER(J41),ISNUMBER(H41)),J41-H41,"")</f>
        <v/>
      </c>
      <c r="L41" s="19"/>
      <c r="M41" s="67" t="str">
        <f aca="false">IF(AND(ISNUMBER(L41),ISNUMBER(J41)),L41-J41,"")</f>
        <v/>
      </c>
    </row>
    <row r="42" customFormat="false" ht="15" hidden="false" customHeight="false" outlineLevel="0" collapsed="false">
      <c r="A42" s="5" t="s">
        <v>961</v>
      </c>
      <c r="B42" s="5" t="s">
        <v>1018</v>
      </c>
      <c r="C42" s="5" t="s">
        <v>1012</v>
      </c>
      <c r="D42" s="19"/>
      <c r="F42" s="19"/>
      <c r="G42" s="67" t="str">
        <f aca="false">IF(AND(ISNUMBER(F42),ISNUMBER(D42)),F42-D42,"")</f>
        <v/>
      </c>
      <c r="H42" s="19"/>
      <c r="I42" s="67" t="str">
        <f aca="false">IF(AND(ISNUMBER(H42),ISNUMBER(F42)),H42-F42,"")</f>
        <v/>
      </c>
      <c r="J42" s="19"/>
      <c r="K42" s="67" t="str">
        <f aca="false">IF(AND(ISNUMBER(J42),ISNUMBER(H42)),J42-H42,"")</f>
        <v/>
      </c>
      <c r="L42" s="19"/>
      <c r="M42" s="67" t="str">
        <f aca="false">IF(AND(ISNUMBER(L42),ISNUMBER(J42)),L42-J42,"")</f>
        <v/>
      </c>
    </row>
    <row r="43" customFormat="false" ht="15" hidden="false" customHeight="false" outlineLevel="0" collapsed="false">
      <c r="A43" s="5" t="s">
        <v>961</v>
      </c>
      <c r="B43" s="5" t="s">
        <v>1020</v>
      </c>
      <c r="C43" s="5" t="s">
        <v>1012</v>
      </c>
      <c r="D43" s="19"/>
      <c r="F43" s="19"/>
      <c r="G43" s="67" t="str">
        <f aca="false">IF(AND(ISNUMBER(F43),ISNUMBER(D43)),F43-D43,"")</f>
        <v/>
      </c>
      <c r="H43" s="19"/>
      <c r="I43" s="67" t="str">
        <f aca="false">IF(AND(ISNUMBER(H43),ISNUMBER(F43)),H43-F43,"")</f>
        <v/>
      </c>
      <c r="J43" s="19"/>
      <c r="K43" s="67" t="str">
        <f aca="false">IF(AND(ISNUMBER(J43),ISNUMBER(H43)),J43-H43,"")</f>
        <v/>
      </c>
      <c r="L43" s="19"/>
      <c r="M43" s="67" t="str">
        <f aca="false">IF(AND(ISNUMBER(L43),ISNUMBER(J43)),L43-J43,"")</f>
        <v/>
      </c>
    </row>
    <row r="44" customFormat="false" ht="15" hidden="false" customHeight="false" outlineLevel="0" collapsed="false">
      <c r="A44" s="5" t="s">
        <v>961</v>
      </c>
      <c r="B44" s="5" t="s">
        <v>1022</v>
      </c>
      <c r="C44" s="5" t="s">
        <v>1012</v>
      </c>
      <c r="D44" s="19"/>
      <c r="F44" s="19"/>
      <c r="G44" s="67" t="str">
        <f aca="false">IF(AND(ISNUMBER(F44),ISNUMBER(D44)),F44-D44,"")</f>
        <v/>
      </c>
      <c r="H44" s="19"/>
      <c r="I44" s="67" t="str">
        <f aca="false">IF(AND(ISNUMBER(H44),ISNUMBER(F44)),H44-F44,"")</f>
        <v/>
      </c>
      <c r="J44" s="19"/>
      <c r="K44" s="67" t="str">
        <f aca="false">IF(AND(ISNUMBER(J44),ISNUMBER(H44)),J44-H44,"")</f>
        <v/>
      </c>
      <c r="L44" s="19"/>
      <c r="M44" s="67" t="str">
        <f aca="false">IF(AND(ISNUMBER(L44),ISNUMBER(J44)),L44-J44,"")</f>
        <v/>
      </c>
    </row>
    <row r="45" customFormat="false" ht="15" hidden="false" customHeight="false" outlineLevel="0" collapsed="false">
      <c r="A45" s="5" t="s">
        <v>961</v>
      </c>
      <c r="B45" s="5" t="s">
        <v>1024</v>
      </c>
      <c r="C45" s="5" t="s">
        <v>1012</v>
      </c>
      <c r="D45" s="19"/>
      <c r="F45" s="19"/>
      <c r="G45" s="67" t="str">
        <f aca="false">IF(AND(ISNUMBER(F45),ISNUMBER(D45)),F45-D45,"")</f>
        <v/>
      </c>
      <c r="H45" s="19"/>
      <c r="I45" s="67" t="str">
        <f aca="false">IF(AND(ISNUMBER(H45),ISNUMBER(F45)),H45-F45,"")</f>
        <v/>
      </c>
      <c r="J45" s="19"/>
      <c r="K45" s="67" t="str">
        <f aca="false">IF(AND(ISNUMBER(J45),ISNUMBER(H45)),J45-H45,"")</f>
        <v/>
      </c>
      <c r="L45" s="19"/>
      <c r="M45" s="67" t="str">
        <f aca="false">IF(AND(ISNUMBER(L45),ISNUMBER(J45)),L45-J45,"")</f>
        <v/>
      </c>
    </row>
    <row r="46" customFormat="false" ht="15" hidden="false" customHeight="false" outlineLevel="0" collapsed="false">
      <c r="A46" s="5" t="s">
        <v>961</v>
      </c>
      <c r="B46" s="5" t="s">
        <v>1026</v>
      </c>
      <c r="C46" s="5" t="s">
        <v>1012</v>
      </c>
      <c r="D46" s="19"/>
      <c r="F46" s="19"/>
      <c r="G46" s="67" t="str">
        <f aca="false">IF(AND(ISNUMBER(F46),ISNUMBER(D46)),F46-D46,"")</f>
        <v/>
      </c>
      <c r="H46" s="19"/>
      <c r="I46" s="67" t="str">
        <f aca="false">IF(AND(ISNUMBER(H46),ISNUMBER(F46)),H46-F46,"")</f>
        <v/>
      </c>
      <c r="J46" s="19"/>
      <c r="K46" s="67" t="str">
        <f aca="false">IF(AND(ISNUMBER(J46),ISNUMBER(H46)),J46-H46,"")</f>
        <v/>
      </c>
      <c r="L46" s="19"/>
      <c r="M46" s="67" t="str">
        <f aca="false">IF(AND(ISNUMBER(L46),ISNUMBER(J46)),L46-J46,"")</f>
        <v/>
      </c>
    </row>
    <row r="47" customFormat="false" ht="15" hidden="false" customHeight="false" outlineLevel="0" collapsed="false">
      <c r="A47" s="5" t="s">
        <v>1028</v>
      </c>
      <c r="B47" s="5" t="s">
        <v>1029</v>
      </c>
      <c r="C47" s="5" t="s">
        <v>952</v>
      </c>
      <c r="D47" s="19"/>
      <c r="F47" s="19"/>
      <c r="G47" s="67" t="str">
        <f aca="false">IF(AND(ISNUMBER(F47),ISNUMBER(D47)),F47-D47,"")</f>
        <v/>
      </c>
      <c r="H47" s="19"/>
      <c r="I47" s="67" t="str">
        <f aca="false">IF(AND(ISNUMBER(H47),ISNUMBER(F47)),H47-F47,"")</f>
        <v/>
      </c>
      <c r="J47" s="19"/>
      <c r="K47" s="67" t="str">
        <f aca="false">IF(AND(ISNUMBER(J47),ISNUMBER(H47)),J47-H47,"")</f>
        <v/>
      </c>
      <c r="L47" s="19"/>
      <c r="M47" s="67" t="str">
        <f aca="false">IF(AND(ISNUMBER(L47),ISNUMBER(J47)),L47-J47,"")</f>
        <v/>
      </c>
    </row>
    <row r="48" customFormat="false" ht="15" hidden="false" customHeight="false" outlineLevel="0" collapsed="false">
      <c r="A48" s="5" t="s">
        <v>1028</v>
      </c>
      <c r="B48" s="5" t="s">
        <v>1031</v>
      </c>
      <c r="C48" s="5" t="s">
        <v>952</v>
      </c>
      <c r="D48" s="19"/>
      <c r="F48" s="19"/>
      <c r="G48" s="67" t="str">
        <f aca="false">IF(AND(ISNUMBER(F48),ISNUMBER(D48)),F48-D48,"")</f>
        <v/>
      </c>
      <c r="H48" s="19"/>
      <c r="I48" s="67" t="str">
        <f aca="false">IF(AND(ISNUMBER(H48),ISNUMBER(F48)),H48-F48,"")</f>
        <v/>
      </c>
      <c r="J48" s="19"/>
      <c r="K48" s="67" t="str">
        <f aca="false">IF(AND(ISNUMBER(J48),ISNUMBER(H48)),J48-H48,"")</f>
        <v/>
      </c>
      <c r="L48" s="19"/>
      <c r="M48" s="67" t="str">
        <f aca="false">IF(AND(ISNUMBER(L48),ISNUMBER(J48)),L48-J48,"")</f>
        <v/>
      </c>
    </row>
    <row r="49" customFormat="false" ht="15" hidden="false" customHeight="false" outlineLevel="0" collapsed="false">
      <c r="A49" s="5" t="s">
        <v>1028</v>
      </c>
      <c r="B49" s="5" t="s">
        <v>1033</v>
      </c>
      <c r="C49" s="5" t="s">
        <v>1034</v>
      </c>
      <c r="D49" s="22"/>
      <c r="F49" s="22"/>
      <c r="G49" s="70" t="str">
        <f aca="false">IF(AND(ISNUMBER(F49),ISNUMBER(D49)),F49-D49,"")</f>
        <v/>
      </c>
      <c r="H49" s="22"/>
      <c r="I49" s="70" t="str">
        <f aca="false">IF(AND(ISNUMBER(H49),ISNUMBER(F49)),H49-F49,"")</f>
        <v/>
      </c>
      <c r="J49" s="22"/>
      <c r="K49" s="70" t="str">
        <f aca="false">IF(AND(ISNUMBER(J49),ISNUMBER(H49)),J49-H49,"")</f>
        <v/>
      </c>
      <c r="L49" s="22"/>
      <c r="M49" s="70" t="str">
        <f aca="false">IF(AND(ISNUMBER(L49),ISNUMBER(J49)),L49-J49,"")</f>
        <v/>
      </c>
    </row>
    <row r="50" customFormat="false" ht="15" hidden="false" customHeight="false" outlineLevel="0" collapsed="false">
      <c r="A50" s="5" t="s">
        <v>1028</v>
      </c>
      <c r="B50" s="5" t="s">
        <v>1036</v>
      </c>
      <c r="C50" s="5" t="s">
        <v>1034</v>
      </c>
      <c r="D50" s="22"/>
      <c r="F50" s="22"/>
      <c r="G50" s="70" t="str">
        <f aca="false">IF(AND(ISNUMBER(F50),ISNUMBER(D50)),F50-D50,"")</f>
        <v/>
      </c>
      <c r="H50" s="22"/>
      <c r="I50" s="70" t="str">
        <f aca="false">IF(AND(ISNUMBER(H50),ISNUMBER(F50)),H50-F50,"")</f>
        <v/>
      </c>
      <c r="J50" s="22"/>
      <c r="K50" s="70" t="str">
        <f aca="false">IF(AND(ISNUMBER(J50),ISNUMBER(H50)),J50-H50,"")</f>
        <v/>
      </c>
      <c r="L50" s="22"/>
      <c r="M50" s="70" t="str">
        <f aca="false">IF(AND(ISNUMBER(L50),ISNUMBER(J50)),L50-J50,"")</f>
        <v/>
      </c>
    </row>
    <row r="51" customFormat="false" ht="15" hidden="false" customHeight="false" outlineLevel="0" collapsed="false">
      <c r="A51" s="5" t="s">
        <v>1028</v>
      </c>
      <c r="B51" s="5" t="s">
        <v>1038</v>
      </c>
      <c r="C51" s="5" t="s">
        <v>1039</v>
      </c>
      <c r="D51" s="38"/>
      <c r="F51" s="38"/>
      <c r="G51" s="71" t="str">
        <f aca="false">IF(AND(ISNUMBER(F51),ISNUMBER(D51)),F51-D51,"")</f>
        <v/>
      </c>
      <c r="H51" s="38"/>
      <c r="I51" s="71" t="str">
        <f aca="false">IF(AND(ISNUMBER(H51),ISNUMBER(F51)),H51-F51,"")</f>
        <v/>
      </c>
      <c r="J51" s="38"/>
      <c r="K51" s="71" t="str">
        <f aca="false">IF(AND(ISNUMBER(J51),ISNUMBER(H51)),J51-H51,"")</f>
        <v/>
      </c>
      <c r="L51" s="38"/>
      <c r="M51" s="71" t="str">
        <f aca="false">IF(AND(ISNUMBER(L51),ISNUMBER(J51)),L51-J51,"")</f>
        <v/>
      </c>
    </row>
    <row r="52" customFormat="false" ht="15" hidden="false" customHeight="false" outlineLevel="0" collapsed="false">
      <c r="A52" s="5" t="s">
        <v>1028</v>
      </c>
      <c r="B52" s="5" t="s">
        <v>1041</v>
      </c>
      <c r="C52" s="5" t="s">
        <v>1039</v>
      </c>
      <c r="D52" s="38"/>
      <c r="F52" s="38"/>
      <c r="G52" s="71" t="str">
        <f aca="false">IF(AND(ISNUMBER(F52),ISNUMBER(D52)),F52-D52,"")</f>
        <v/>
      </c>
      <c r="H52" s="38"/>
      <c r="I52" s="71" t="str">
        <f aca="false">IF(AND(ISNUMBER(H52),ISNUMBER(F52)),H52-F52,"")</f>
        <v/>
      </c>
      <c r="J52" s="38"/>
      <c r="K52" s="71" t="str">
        <f aca="false">IF(AND(ISNUMBER(J52),ISNUMBER(H52)),J52-H52,"")</f>
        <v/>
      </c>
      <c r="L52" s="38"/>
      <c r="M52" s="71" t="str">
        <f aca="false">IF(AND(ISNUMBER(L52),ISNUMBER(J52)),L52-J52,"")</f>
        <v/>
      </c>
    </row>
    <row r="53" customFormat="false" ht="15" hidden="false" customHeight="false" outlineLevel="0" collapsed="false">
      <c r="A53" s="5" t="s">
        <v>1043</v>
      </c>
      <c r="B53" s="5" t="s">
        <v>1044</v>
      </c>
      <c r="C53" s="5" t="s">
        <v>1039</v>
      </c>
      <c r="D53" s="38"/>
      <c r="F53" s="38"/>
      <c r="G53" s="71" t="str">
        <f aca="false">IF(AND(ISNUMBER(F53),ISNUMBER(D53)),F53-D53,"")</f>
        <v/>
      </c>
      <c r="H53" s="38"/>
      <c r="I53" s="71" t="str">
        <f aca="false">IF(AND(ISNUMBER(H53),ISNUMBER(F53)),H53-F53,"")</f>
        <v/>
      </c>
      <c r="J53" s="38"/>
      <c r="K53" s="71" t="str">
        <f aca="false">IF(AND(ISNUMBER(J53),ISNUMBER(H53)),J53-H53,"")</f>
        <v/>
      </c>
      <c r="L53" s="38"/>
      <c r="M53" s="71" t="str">
        <f aca="false">IF(AND(ISNUMBER(L53),ISNUMBER(J53)),L53-J53,"")</f>
        <v/>
      </c>
    </row>
    <row r="54" customFormat="false" ht="15" hidden="false" customHeight="false" outlineLevel="0" collapsed="false">
      <c r="A54" s="5" t="s">
        <v>1043</v>
      </c>
      <c r="B54" s="5" t="s">
        <v>1046</v>
      </c>
      <c r="C54" s="5" t="s">
        <v>1047</v>
      </c>
      <c r="D54" s="62"/>
      <c r="F54" s="62"/>
      <c r="G54" s="69" t="str">
        <f aca="false">IF(AND(ISNUMBER(F54),ISNUMBER(D54)),F54-D54,"")</f>
        <v/>
      </c>
      <c r="H54" s="62"/>
      <c r="I54" s="69" t="str">
        <f aca="false">IF(AND(ISNUMBER(H54),ISNUMBER(F54)),H54-F54,"")</f>
        <v/>
      </c>
      <c r="J54" s="62"/>
      <c r="K54" s="69" t="str">
        <f aca="false">IF(AND(ISNUMBER(J54),ISNUMBER(H54)),J54-H54,"")</f>
        <v/>
      </c>
      <c r="L54" s="62"/>
      <c r="M54" s="69" t="str">
        <f aca="false">IF(AND(ISNUMBER(L54),ISNUMBER(J54)),L54-J54,"")</f>
        <v/>
      </c>
    </row>
    <row r="55" customFormat="false" ht="15" hidden="false" customHeight="false" outlineLevel="0" collapsed="false">
      <c r="A55" s="5" t="s">
        <v>1043</v>
      </c>
      <c r="B55" s="5" t="s">
        <v>1049</v>
      </c>
      <c r="C55" s="5" t="s">
        <v>1039</v>
      </c>
      <c r="D55" s="38"/>
      <c r="F55" s="38"/>
      <c r="G55" s="71" t="str">
        <f aca="false">IF(AND(ISNUMBER(F55),ISNUMBER(D55)),F55-D55,"")</f>
        <v/>
      </c>
      <c r="H55" s="38"/>
      <c r="I55" s="71" t="str">
        <f aca="false">IF(AND(ISNUMBER(H55),ISNUMBER(F55)),H55-F55,"")</f>
        <v/>
      </c>
      <c r="J55" s="38"/>
      <c r="K55" s="71" t="str">
        <f aca="false">IF(AND(ISNUMBER(J55),ISNUMBER(H55)),J55-H55,"")</f>
        <v/>
      </c>
      <c r="L55" s="38"/>
      <c r="M55" s="71" t="str">
        <f aca="false">IF(AND(ISNUMBER(L55),ISNUMBER(J55)),L55-J55,"")</f>
        <v/>
      </c>
    </row>
    <row r="56" customFormat="false" ht="15" hidden="false" customHeight="false" outlineLevel="0" collapsed="false">
      <c r="A56" s="5" t="s">
        <v>1051</v>
      </c>
      <c r="B56" s="5" t="s">
        <v>1052</v>
      </c>
      <c r="C56" s="5" t="s">
        <v>957</v>
      </c>
      <c r="D56" s="24"/>
      <c r="F56" s="24"/>
      <c r="G56" s="68" t="str">
        <f aca="false">IF(AND(ISNUMBER(F56),ISNUMBER(D56)),F56-D56,"")</f>
        <v/>
      </c>
      <c r="H56" s="24"/>
      <c r="I56" s="68" t="str">
        <f aca="false">IF(AND(ISNUMBER(H56),ISNUMBER(F56)),H56-F56,"")</f>
        <v/>
      </c>
      <c r="J56" s="24"/>
      <c r="K56" s="68" t="str">
        <f aca="false">IF(AND(ISNUMBER(J56),ISNUMBER(H56)),J56-H56,"")</f>
        <v/>
      </c>
      <c r="L56" s="24"/>
      <c r="M56" s="68" t="str">
        <f aca="false">IF(AND(ISNUMBER(L56),ISNUMBER(J56)),L56-J56,"")</f>
        <v/>
      </c>
    </row>
    <row r="57" customFormat="false" ht="15" hidden="false" customHeight="false" outlineLevel="0" collapsed="false">
      <c r="A57" s="5" t="s">
        <v>1051</v>
      </c>
      <c r="B57" s="5" t="s">
        <v>1054</v>
      </c>
      <c r="C57" s="5" t="s">
        <v>939</v>
      </c>
      <c r="D57" s="11"/>
      <c r="F57" s="11"/>
      <c r="H57" s="11"/>
      <c r="J57" s="11"/>
      <c r="L57" s="11"/>
    </row>
    <row r="58" customFormat="false" ht="15" hidden="false" customHeight="false" outlineLevel="0" collapsed="false">
      <c r="A58" s="5" t="s">
        <v>1056</v>
      </c>
      <c r="B58" s="5" t="s">
        <v>1057</v>
      </c>
      <c r="C58" s="5" t="s">
        <v>957</v>
      </c>
      <c r="D58" s="24"/>
      <c r="F58" s="24"/>
      <c r="G58" s="68" t="str">
        <f aca="false">IF(AND(ISNUMBER(F58),ISNUMBER(D58)),F58-D58,"")</f>
        <v/>
      </c>
      <c r="H58" s="24"/>
      <c r="I58" s="68" t="str">
        <f aca="false">IF(AND(ISNUMBER(H58),ISNUMBER(F58)),H58-F58,"")</f>
        <v/>
      </c>
      <c r="J58" s="24"/>
      <c r="K58" s="68" t="str">
        <f aca="false">IF(AND(ISNUMBER(J58),ISNUMBER(H58)),J58-H58,"")</f>
        <v/>
      </c>
      <c r="L58" s="24"/>
      <c r="M58" s="68" t="str">
        <f aca="false">IF(AND(ISNUMBER(L58),ISNUMBER(J58)),L58-J58,"")</f>
        <v/>
      </c>
    </row>
    <row r="59" customFormat="false" ht="15" hidden="false" customHeight="false" outlineLevel="0" collapsed="false">
      <c r="A59" s="5" t="s">
        <v>1056</v>
      </c>
      <c r="B59" s="5" t="s">
        <v>1059</v>
      </c>
      <c r="C59" s="5" t="s">
        <v>957</v>
      </c>
      <c r="D59" s="24"/>
      <c r="F59" s="24"/>
      <c r="G59" s="68" t="str">
        <f aca="false">IF(AND(ISNUMBER(F59),ISNUMBER(D59)),F59-D59,"")</f>
        <v/>
      </c>
      <c r="H59" s="24"/>
      <c r="I59" s="68" t="str">
        <f aca="false">IF(AND(ISNUMBER(H59),ISNUMBER(F59)),H59-F59,"")</f>
        <v/>
      </c>
      <c r="J59" s="24"/>
      <c r="K59" s="68" t="str">
        <f aca="false">IF(AND(ISNUMBER(J59),ISNUMBER(H59)),J59-H59,"")</f>
        <v/>
      </c>
      <c r="L59" s="24"/>
      <c r="M59" s="68" t="str">
        <f aca="false">IF(AND(ISNUMBER(L59),ISNUMBER(J59)),L59-J59,"")</f>
        <v/>
      </c>
    </row>
    <row r="60" customFormat="false" ht="15" hidden="false" customHeight="false" outlineLevel="0" collapsed="false">
      <c r="A60" s="5" t="s">
        <v>1056</v>
      </c>
      <c r="B60" s="5" t="s">
        <v>1061</v>
      </c>
      <c r="C60" s="5" t="s">
        <v>1062</v>
      </c>
      <c r="D60" s="24"/>
      <c r="F60" s="24"/>
      <c r="G60" s="68" t="str">
        <f aca="false">IF(AND(ISNUMBER(F60),ISNUMBER(D60)),F60-D60,"")</f>
        <v/>
      </c>
      <c r="H60" s="24"/>
      <c r="I60" s="68" t="str">
        <f aca="false">IF(AND(ISNUMBER(H60),ISNUMBER(F60)),H60-F60,"")</f>
        <v/>
      </c>
      <c r="J60" s="24"/>
      <c r="K60" s="68" t="str">
        <f aca="false">IF(AND(ISNUMBER(J60),ISNUMBER(H60)),J60-H60,"")</f>
        <v/>
      </c>
      <c r="L60" s="24"/>
      <c r="M60" s="68" t="str">
        <f aca="false">IF(AND(ISNUMBER(L60),ISNUMBER(J60)),L60-J60,"")</f>
        <v/>
      </c>
    </row>
    <row r="61" customFormat="false" ht="15" hidden="false" customHeight="false" outlineLevel="0" collapsed="false">
      <c r="A61" s="5" t="s">
        <v>1056</v>
      </c>
      <c r="B61" s="5" t="s">
        <v>1064</v>
      </c>
      <c r="C61" s="5" t="s">
        <v>1062</v>
      </c>
      <c r="D61" s="24"/>
      <c r="F61" s="24"/>
      <c r="G61" s="68" t="str">
        <f aca="false">IF(AND(ISNUMBER(F61),ISNUMBER(D61)),F61-D61,"")</f>
        <v/>
      </c>
      <c r="H61" s="24"/>
      <c r="I61" s="68" t="str">
        <f aca="false">IF(AND(ISNUMBER(H61),ISNUMBER(F61)),H61-F61,"")</f>
        <v/>
      </c>
      <c r="J61" s="24"/>
      <c r="K61" s="68" t="str">
        <f aca="false">IF(AND(ISNUMBER(J61),ISNUMBER(H61)),J61-H61,"")</f>
        <v/>
      </c>
      <c r="L61" s="24"/>
      <c r="M61" s="68" t="str">
        <f aca="false">IF(AND(ISNUMBER(L61),ISNUMBER(J61)),L61-J61,"")</f>
        <v/>
      </c>
    </row>
    <row r="62" customFormat="false" ht="15" hidden="false" customHeight="false" outlineLevel="0" collapsed="false">
      <c r="A62" s="5" t="s">
        <v>1056</v>
      </c>
      <c r="B62" s="5" t="s">
        <v>1066</v>
      </c>
      <c r="C62" s="5" t="s">
        <v>613</v>
      </c>
      <c r="D62" s="62"/>
      <c r="F62" s="62"/>
      <c r="G62" s="69" t="str">
        <f aca="false">IF(AND(ISNUMBER(F62),ISNUMBER(D62)),F62-D62,"")</f>
        <v/>
      </c>
      <c r="H62" s="62"/>
      <c r="I62" s="69" t="str">
        <f aca="false">IF(AND(ISNUMBER(H62),ISNUMBER(F62)),H62-F62,"")</f>
        <v/>
      </c>
      <c r="J62" s="62"/>
      <c r="K62" s="69" t="str">
        <f aca="false">IF(AND(ISNUMBER(J62),ISNUMBER(H62)),J62-H62,"")</f>
        <v/>
      </c>
      <c r="L62" s="62"/>
      <c r="M62" s="69" t="str">
        <f aca="false">IF(AND(ISNUMBER(L62),ISNUMBER(J62)),L62-J62,"")</f>
        <v/>
      </c>
    </row>
    <row r="64" customFormat="false" ht="15" hidden="false" customHeight="false" outlineLevel="0" collapsed="false">
      <c r="A64" s="64" t="s">
        <v>1116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</row>
    <row r="65" customFormat="false" ht="15" hidden="false" customHeight="false" outlineLevel="0" collapsed="false">
      <c r="A65" s="5" t="s">
        <v>1117</v>
      </c>
      <c r="B65" s="20" t="s">
        <v>105</v>
      </c>
      <c r="D65" s="72" t="n">
        <v>1.85</v>
      </c>
      <c r="F65" s="72" t="n">
        <v>2.1</v>
      </c>
      <c r="G65" s="73" t="n">
        <f aca="false">IF(AND(ISNUMBER(F65),ISNUMBER(D65)),F65-D65,"")</f>
        <v>0.25</v>
      </c>
      <c r="H65" s="72" t="n">
        <v>2.32</v>
      </c>
      <c r="I65" s="73" t="n">
        <f aca="false">IF(AND(ISNUMBER(H65),ISNUMBER(F65)),H65-F65,"")</f>
        <v>0.22</v>
      </c>
      <c r="J65" s="72"/>
      <c r="K65" s="73" t="str">
        <f aca="false">IF(AND(ISNUMBER(J65),ISNUMBER(H65)),J65-H65,"")</f>
        <v/>
      </c>
      <c r="L65" s="72"/>
      <c r="M65" s="73" t="str">
        <f aca="false">IF(AND(ISNUMBER(L65),ISNUMBER(J65)),L65-J65,"")</f>
        <v/>
      </c>
    </row>
    <row r="66" customFormat="false" ht="15" hidden="false" customHeight="false" outlineLevel="0" collapsed="false">
      <c r="A66" s="5" t="s">
        <v>1117</v>
      </c>
      <c r="B66" s="5" t="s">
        <v>1118</v>
      </c>
      <c r="D66" s="72" t="n">
        <v>2</v>
      </c>
      <c r="F66" s="72" t="n">
        <v>2.15</v>
      </c>
      <c r="G66" s="73" t="n">
        <f aca="false">IF(AND(ISNUMBER(F66),ISNUMBER(D66)),F66-D66,"")</f>
        <v>0.15</v>
      </c>
      <c r="H66" s="72" t="n">
        <v>2.3</v>
      </c>
      <c r="I66" s="73" t="n">
        <f aca="false">IF(AND(ISNUMBER(H66),ISNUMBER(F66)),H66-F66,"")</f>
        <v>0.15</v>
      </c>
      <c r="J66" s="72"/>
      <c r="K66" s="73" t="str">
        <f aca="false">IF(AND(ISNUMBER(J66),ISNUMBER(H66)),J66-H66,"")</f>
        <v/>
      </c>
      <c r="L66" s="72"/>
      <c r="M66" s="73" t="str">
        <f aca="false">IF(AND(ISNUMBER(L66),ISNUMBER(J66)),L66-J66,"")</f>
        <v/>
      </c>
    </row>
    <row r="67" customFormat="false" ht="15" hidden="false" customHeight="false" outlineLevel="0" collapsed="false">
      <c r="A67" s="5" t="s">
        <v>1117</v>
      </c>
      <c r="B67" s="20" t="s">
        <v>1119</v>
      </c>
      <c r="D67" s="22" t="n">
        <v>0.142</v>
      </c>
      <c r="F67" s="22" t="n">
        <v>0.155</v>
      </c>
      <c r="G67" s="70" t="n">
        <f aca="false">IF(AND(ISNUMBER(F67),ISNUMBER(D67)),F67-D67,"")</f>
        <v>0.013</v>
      </c>
      <c r="H67" s="22" t="n">
        <v>0.168</v>
      </c>
      <c r="I67" s="70" t="n">
        <f aca="false">IF(AND(ISNUMBER(H67),ISNUMBER(F67)),H67-F67,"")</f>
        <v>0.013</v>
      </c>
      <c r="J67" s="22"/>
      <c r="K67" s="70" t="str">
        <f aca="false">IF(AND(ISNUMBER(J67),ISNUMBER(H67)),J67-H67,"")</f>
        <v/>
      </c>
      <c r="L67" s="22"/>
      <c r="M67" s="70" t="str">
        <f aca="false">IF(AND(ISNUMBER(L67),ISNUMBER(J67)),L67-J67,"")</f>
        <v/>
      </c>
    </row>
    <row r="68" customFormat="false" ht="15" hidden="false" customHeight="false" outlineLevel="0" collapsed="false">
      <c r="A68" s="5" t="s">
        <v>1117</v>
      </c>
      <c r="B68" s="5" t="s">
        <v>1120</v>
      </c>
      <c r="D68" s="22" t="n">
        <v>0.15</v>
      </c>
      <c r="F68" s="22" t="n">
        <v>0.155</v>
      </c>
      <c r="G68" s="70" t="n">
        <f aca="false">IF(AND(ISNUMBER(F68),ISNUMBER(D68)),F68-D68,"")</f>
        <v>0.005</v>
      </c>
      <c r="H68" s="22" t="n">
        <v>0.16</v>
      </c>
      <c r="I68" s="70" t="n">
        <f aca="false">IF(AND(ISNUMBER(H68),ISNUMBER(F68)),H68-F68,"")</f>
        <v>0.005</v>
      </c>
      <c r="J68" s="22"/>
      <c r="K68" s="70" t="str">
        <f aca="false">IF(AND(ISNUMBER(J68),ISNUMBER(H68)),J68-H68,"")</f>
        <v/>
      </c>
      <c r="L68" s="22"/>
      <c r="M68" s="70" t="str">
        <f aca="false">IF(AND(ISNUMBER(L68),ISNUMBER(J68)),L68-J68,"")</f>
        <v/>
      </c>
    </row>
    <row r="69" customFormat="false" ht="15" hidden="false" customHeight="false" outlineLevel="0" collapsed="false">
      <c r="A69" s="5" t="s">
        <v>1117</v>
      </c>
      <c r="B69" s="20" t="s">
        <v>1121</v>
      </c>
      <c r="D69" s="72" t="n">
        <v>22.4</v>
      </c>
      <c r="F69" s="72" t="n">
        <v>26.1</v>
      </c>
      <c r="G69" s="73" t="n">
        <f aca="false">IF(AND(ISNUMBER(F69),ISNUMBER(D69)),F69-D69,"")</f>
        <v>3.7</v>
      </c>
      <c r="H69" s="72" t="n">
        <v>29.5</v>
      </c>
      <c r="I69" s="73" t="n">
        <f aca="false">IF(AND(ISNUMBER(H69),ISNUMBER(F69)),H69-F69,"")</f>
        <v>3.4</v>
      </c>
      <c r="J69" s="72"/>
      <c r="K69" s="73" t="str">
        <f aca="false">IF(AND(ISNUMBER(J69),ISNUMBER(H69)),J69-H69,"")</f>
        <v/>
      </c>
      <c r="L69" s="72"/>
      <c r="M69" s="73" t="str">
        <f aca="false">IF(AND(ISNUMBER(L69),ISNUMBER(J69)),L69-J69,"")</f>
        <v/>
      </c>
    </row>
    <row r="70" customFormat="false" ht="15" hidden="false" customHeight="false" outlineLevel="0" collapsed="false">
      <c r="A70" s="5" t="s">
        <v>1117</v>
      </c>
      <c r="B70" s="5" t="s">
        <v>1122</v>
      </c>
      <c r="D70" s="72" t="n">
        <v>25</v>
      </c>
      <c r="F70" s="72" t="n">
        <v>27</v>
      </c>
      <c r="G70" s="73" t="n">
        <f aca="false">IF(AND(ISNUMBER(F70),ISNUMBER(D70)),F70-D70,"")</f>
        <v>2</v>
      </c>
      <c r="H70" s="72" t="n">
        <v>29</v>
      </c>
      <c r="I70" s="73" t="n">
        <f aca="false">IF(AND(ISNUMBER(H70),ISNUMBER(F70)),H70-F70,"")</f>
        <v>2</v>
      </c>
      <c r="J70" s="72"/>
      <c r="K70" s="73" t="str">
        <f aca="false">IF(AND(ISNUMBER(J70),ISNUMBER(H70)),J70-H70,"")</f>
        <v/>
      </c>
      <c r="L70" s="72"/>
      <c r="M70" s="73" t="str">
        <f aca="false">IF(AND(ISNUMBER(L70),ISNUMBER(J70)),L70-J70,"")</f>
        <v/>
      </c>
    </row>
    <row r="71" customFormat="false" ht="15" hidden="false" customHeight="false" outlineLevel="0" collapsed="false">
      <c r="A71" s="5" t="s">
        <v>1117</v>
      </c>
      <c r="B71" s="5" t="s">
        <v>136</v>
      </c>
      <c r="D71" s="11" t="s">
        <v>1110</v>
      </c>
      <c r="F71" s="11" t="s">
        <v>1109</v>
      </c>
      <c r="H71" s="11" t="s">
        <v>1108</v>
      </c>
      <c r="J71" s="11"/>
      <c r="L71" s="11"/>
    </row>
    <row r="72" customFormat="false" ht="15" hidden="false" customHeight="false" outlineLevel="0" collapsed="false">
      <c r="A72" s="5" t="s">
        <v>1117</v>
      </c>
      <c r="B72" s="5" t="s">
        <v>1123</v>
      </c>
      <c r="D72" s="11" t="s">
        <v>1108</v>
      </c>
      <c r="F72" s="11" t="s">
        <v>1108</v>
      </c>
      <c r="H72" s="11" t="s">
        <v>1108</v>
      </c>
      <c r="J72" s="11"/>
      <c r="L72" s="11"/>
    </row>
    <row r="73" customFormat="false" ht="15" hidden="false" customHeight="false" outlineLevel="0" collapsed="false">
      <c r="A73" s="5" t="s">
        <v>1117</v>
      </c>
      <c r="B73" s="20" t="s">
        <v>1124</v>
      </c>
      <c r="D73" s="26" t="n">
        <f aca="false">IF(D71="","",IFERROR(22-MATCH(D71,CreditScale,0),""))</f>
        <v>8</v>
      </c>
      <c r="F73" s="26" t="n">
        <f aca="false">IF(F71="","",IFERROR(22-MATCH(F71,CreditScale,0),""))</f>
        <v>9</v>
      </c>
      <c r="G73" s="67" t="n">
        <f aca="false">IF(AND(ISNUMBER(F73),ISNUMBER(D73)),F73-D73,"")</f>
        <v>1</v>
      </c>
      <c r="H73" s="26" t="n">
        <f aca="false">IF(H71="","",IFERROR(22-MATCH(H71,CreditScale,0),""))</f>
        <v>10</v>
      </c>
      <c r="I73" s="67" t="n">
        <f aca="false">IF(AND(ISNUMBER(H73),ISNUMBER(F73)),H73-F73,"")</f>
        <v>1</v>
      </c>
      <c r="J73" s="26" t="str">
        <f aca="false">IF(J71="","",IFERROR(22-MATCH(J71,CreditScale,0),""))</f>
        <v/>
      </c>
      <c r="K73" s="67" t="str">
        <f aca="false">IF(AND(ISNUMBER(J73),ISNUMBER(H73)),J73-H73,"")</f>
        <v/>
      </c>
      <c r="L73" s="26" t="str">
        <f aca="false">IF(L71="","",IFERROR(22-MATCH(L71,CreditScale,0),""))</f>
        <v/>
      </c>
      <c r="M73" s="67" t="str">
        <f aca="false">IF(AND(ISNUMBER(L73),ISNUMBER(J73)),L73-J73,"")</f>
        <v/>
      </c>
    </row>
    <row r="74" customFormat="false" ht="15" hidden="false" customHeight="false" outlineLevel="0" collapsed="false">
      <c r="A74" s="5" t="s">
        <v>1117</v>
      </c>
      <c r="B74" s="20" t="s">
        <v>1125</v>
      </c>
      <c r="D74" s="19" t="n">
        <v>68</v>
      </c>
      <c r="F74" s="19" t="n">
        <v>71</v>
      </c>
      <c r="G74" s="67" t="n">
        <f aca="false">IF(AND(ISNUMBER(F74),ISNUMBER(D74)),F74-D74,"")</f>
        <v>3</v>
      </c>
      <c r="H74" s="19" t="n">
        <v>74</v>
      </c>
      <c r="I74" s="67" t="n">
        <f aca="false">IF(AND(ISNUMBER(H74),ISNUMBER(F74)),H74-F74,"")</f>
        <v>3</v>
      </c>
      <c r="J74" s="19"/>
      <c r="K74" s="67" t="str">
        <f aca="false">IF(AND(ISNUMBER(J74),ISNUMBER(H74)),J74-H74,"")</f>
        <v/>
      </c>
      <c r="L74" s="19"/>
      <c r="M74" s="67" t="str">
        <f aca="false">IF(AND(ISNUMBER(L74),ISNUMBER(J74)),L74-J74,"")</f>
        <v/>
      </c>
    </row>
    <row r="75" customFormat="false" ht="15" hidden="false" customHeight="false" outlineLevel="0" collapsed="false">
      <c r="A75" s="5" t="s">
        <v>1117</v>
      </c>
      <c r="B75" s="5" t="s">
        <v>1126</v>
      </c>
      <c r="D75" s="19" t="n">
        <v>70</v>
      </c>
      <c r="F75" s="19" t="n">
        <v>72</v>
      </c>
      <c r="G75" s="67" t="n">
        <f aca="false">IF(AND(ISNUMBER(F75),ISNUMBER(D75)),F75-D75,"")</f>
        <v>2</v>
      </c>
      <c r="H75" s="19" t="n">
        <v>74</v>
      </c>
      <c r="I75" s="67" t="n">
        <f aca="false">IF(AND(ISNUMBER(H75),ISNUMBER(F75)),H75-F75,"")</f>
        <v>2</v>
      </c>
      <c r="J75" s="19"/>
      <c r="K75" s="67" t="str">
        <f aca="false">IF(AND(ISNUMBER(J75),ISNUMBER(H75)),J75-H75,"")</f>
        <v/>
      </c>
      <c r="L75" s="19"/>
      <c r="M75" s="67" t="str">
        <f aca="false">IF(AND(ISNUMBER(L75),ISNUMBER(J75)),L75-J75,"")</f>
        <v/>
      </c>
    </row>
    <row r="76" customFormat="false" ht="15" hidden="false" customHeight="false" outlineLevel="0" collapsed="false">
      <c r="A76" s="5" t="s">
        <v>221</v>
      </c>
      <c r="B76" s="20" t="s">
        <v>1127</v>
      </c>
      <c r="D76" s="19" t="n">
        <v>78</v>
      </c>
      <c r="F76" s="19" t="n">
        <v>84</v>
      </c>
      <c r="G76" s="67" t="n">
        <f aca="false">IF(AND(ISNUMBER(F76),ISNUMBER(D76)),F76-D76,"")</f>
        <v>6</v>
      </c>
      <c r="H76" s="19" t="n">
        <v>89</v>
      </c>
      <c r="I76" s="67" t="n">
        <f aca="false">IF(AND(ISNUMBER(H76),ISNUMBER(F76)),H76-F76,"")</f>
        <v>5</v>
      </c>
      <c r="J76" s="19"/>
      <c r="K76" s="67" t="str">
        <f aca="false">IF(AND(ISNUMBER(J76),ISNUMBER(H76)),J76-H76,"")</f>
        <v/>
      </c>
      <c r="L76" s="19"/>
      <c r="M76" s="67" t="str">
        <f aca="false">IF(AND(ISNUMBER(L76),ISNUMBER(J76)),L76-J76,"")</f>
        <v/>
      </c>
    </row>
    <row r="77" customFormat="false" ht="15" hidden="false" customHeight="false" outlineLevel="0" collapsed="false">
      <c r="A77" s="5" t="s">
        <v>221</v>
      </c>
      <c r="B77" s="20" t="s">
        <v>1128</v>
      </c>
      <c r="D77" s="19" t="n">
        <v>3</v>
      </c>
      <c r="F77" s="19" t="n">
        <v>2</v>
      </c>
      <c r="G77" s="67" t="n">
        <f aca="false">IF(AND(ISNUMBER(F77),ISNUMBER(D77)),F77-D77,"")</f>
        <v>-1</v>
      </c>
      <c r="H77" s="19" t="n">
        <v>1</v>
      </c>
      <c r="I77" s="67" t="n">
        <f aca="false">IF(AND(ISNUMBER(H77),ISNUMBER(F77)),H77-F77,"")</f>
        <v>-1</v>
      </c>
      <c r="J77" s="19"/>
      <c r="K77" s="67" t="str">
        <f aca="false">IF(AND(ISNUMBER(J77),ISNUMBER(H77)),J77-H77,"")</f>
        <v/>
      </c>
      <c r="L77" s="19"/>
      <c r="M77" s="67" t="str">
        <f aca="false">IF(AND(ISNUMBER(L77),ISNUMBER(J77)),L77-J77,"")</f>
        <v/>
      </c>
    </row>
    <row r="78" customFormat="false" ht="15" hidden="false" customHeight="false" outlineLevel="0" collapsed="false">
      <c r="A78" s="5" t="s">
        <v>221</v>
      </c>
      <c r="B78" s="20" t="s">
        <v>1129</v>
      </c>
      <c r="D78" s="24" t="n">
        <v>412000</v>
      </c>
      <c r="F78" s="24" t="n">
        <v>455000</v>
      </c>
      <c r="G78" s="68" t="n">
        <f aca="false">IF(AND(ISNUMBER(F78),ISNUMBER(D78)),F78-D78,"")</f>
        <v>43000</v>
      </c>
      <c r="H78" s="24" t="n">
        <v>498000</v>
      </c>
      <c r="I78" s="68" t="n">
        <f aca="false">IF(AND(ISNUMBER(H78),ISNUMBER(F78)),H78-F78,"")</f>
        <v>43000</v>
      </c>
      <c r="J78" s="24"/>
      <c r="K78" s="68" t="str">
        <f aca="false">IF(AND(ISNUMBER(J78),ISNUMBER(H78)),J78-H78,"")</f>
        <v/>
      </c>
      <c r="L78" s="24"/>
      <c r="M78" s="68" t="str">
        <f aca="false">IF(AND(ISNUMBER(L78),ISNUMBER(J78)),L78-J78,"")</f>
        <v/>
      </c>
    </row>
    <row r="79" customFormat="false" ht="15" hidden="false" customHeight="false" outlineLevel="0" collapsed="false">
      <c r="A79" s="5" t="s">
        <v>221</v>
      </c>
      <c r="B79" s="20" t="s">
        <v>1130</v>
      </c>
      <c r="D79" s="24" t="n">
        <v>18500</v>
      </c>
      <c r="F79" s="24" t="n">
        <v>21900</v>
      </c>
      <c r="G79" s="68" t="n">
        <f aca="false">IF(AND(ISNUMBER(F79),ISNUMBER(D79)),F79-D79,"")</f>
        <v>3400</v>
      </c>
      <c r="H79" s="24" t="n">
        <v>24800</v>
      </c>
      <c r="I79" s="68" t="n">
        <f aca="false">IF(AND(ISNUMBER(H79),ISNUMBER(F79)),H79-F79,"")</f>
        <v>2900</v>
      </c>
      <c r="J79" s="24"/>
      <c r="K79" s="68" t="str">
        <f aca="false">IF(AND(ISNUMBER(J79),ISNUMBER(H79)),J79-H79,"")</f>
        <v/>
      </c>
      <c r="L79" s="24"/>
      <c r="M79" s="68" t="str">
        <f aca="false">IF(AND(ISNUMBER(L79),ISNUMBER(J79)),L79-J79,"")</f>
        <v/>
      </c>
    </row>
    <row r="80" customFormat="false" ht="15" hidden="false" customHeight="false" outlineLevel="0" collapsed="false">
      <c r="A80" s="5" t="s">
        <v>221</v>
      </c>
      <c r="B80" s="20" t="s">
        <v>1131</v>
      </c>
      <c r="D80" s="24" t="n">
        <v>14200</v>
      </c>
      <c r="F80" s="24" t="n">
        <v>19800</v>
      </c>
      <c r="G80" s="68" t="n">
        <f aca="false">IF(AND(ISNUMBER(F80),ISNUMBER(D80)),F80-D80,"")</f>
        <v>5600</v>
      </c>
      <c r="H80" s="24" t="n">
        <v>23500</v>
      </c>
      <c r="I80" s="68" t="n">
        <f aca="false">IF(AND(ISNUMBER(H80),ISNUMBER(F80)),H80-F80,"")</f>
        <v>3700</v>
      </c>
      <c r="J80" s="24"/>
      <c r="K80" s="68" t="str">
        <f aca="false">IF(AND(ISNUMBER(J80),ISNUMBER(H80)),J80-H80,"")</f>
        <v/>
      </c>
      <c r="L80" s="24"/>
      <c r="M80" s="68" t="str">
        <f aca="false">IF(AND(ISNUMBER(L80),ISNUMBER(J80)),L80-J80,"")</f>
        <v/>
      </c>
    </row>
    <row r="81" customFormat="false" ht="15" hidden="false" customHeight="false" outlineLevel="0" collapsed="false">
      <c r="A81" s="5" t="s">
        <v>1132</v>
      </c>
      <c r="B81" s="20" t="s">
        <v>1133</v>
      </c>
      <c r="D81" s="24" t="n">
        <v>1450</v>
      </c>
      <c r="F81" s="24" t="n">
        <v>1610</v>
      </c>
      <c r="G81" s="68" t="n">
        <f aca="false">IF(AND(ISNUMBER(F81),ISNUMBER(D81)),F81-D81,"")</f>
        <v>160</v>
      </c>
      <c r="H81" s="24" t="n">
        <v>1720</v>
      </c>
      <c r="I81" s="68" t="n">
        <f aca="false">IF(AND(ISNUMBER(H81),ISNUMBER(F81)),H81-F81,"")</f>
        <v>110</v>
      </c>
      <c r="J81" s="24"/>
      <c r="K81" s="68" t="str">
        <f aca="false">IF(AND(ISNUMBER(J81),ISNUMBER(H81)),J81-H81,"")</f>
        <v/>
      </c>
      <c r="L81" s="24"/>
      <c r="M81" s="68" t="str">
        <f aca="false">IF(AND(ISNUMBER(L81),ISNUMBER(J81)),L81-J81,"")</f>
        <v/>
      </c>
    </row>
    <row r="82" customFormat="false" ht="15" hidden="false" customHeight="false" outlineLevel="0" collapsed="false">
      <c r="A82" s="5" t="s">
        <v>1132</v>
      </c>
      <c r="B82" s="5" t="s">
        <v>1134</v>
      </c>
      <c r="D82" s="38" t="n">
        <v>264</v>
      </c>
      <c r="F82" s="38" t="n">
        <v>259</v>
      </c>
      <c r="G82" s="71" t="n">
        <f aca="false">IF(AND(ISNUMBER(F82),ISNUMBER(D82)),F82-D82,"")</f>
        <v>-5</v>
      </c>
      <c r="H82" s="38" t="n">
        <v>255</v>
      </c>
      <c r="I82" s="71" t="n">
        <f aca="false">IF(AND(ISNUMBER(H82),ISNUMBER(F82)),H82-F82,"")</f>
        <v>-4</v>
      </c>
      <c r="J82" s="38"/>
      <c r="K82" s="71" t="str">
        <f aca="false">IF(AND(ISNUMBER(J82),ISNUMBER(H82)),J82-H82,"")</f>
        <v/>
      </c>
      <c r="L82" s="38"/>
      <c r="M82" s="71" t="str">
        <f aca="false">IF(AND(ISNUMBER(L82),ISNUMBER(J82)),L82-J82,"")</f>
        <v/>
      </c>
    </row>
    <row r="83" customFormat="false" ht="15" hidden="false" customHeight="false" outlineLevel="0" collapsed="false">
      <c r="A83" s="5" t="s">
        <v>1132</v>
      </c>
      <c r="B83" s="5" t="s">
        <v>1135</v>
      </c>
      <c r="D83" s="38" t="n">
        <v>276</v>
      </c>
      <c r="F83" s="38" t="n">
        <v>271</v>
      </c>
      <c r="G83" s="71" t="n">
        <f aca="false">IF(AND(ISNUMBER(F83),ISNUMBER(D83)),F83-D83,"")</f>
        <v>-5</v>
      </c>
      <c r="H83" s="38" t="n">
        <v>268</v>
      </c>
      <c r="I83" s="71" t="n">
        <f aca="false">IF(AND(ISNUMBER(H83),ISNUMBER(F83)),H83-F83,"")</f>
        <v>-3</v>
      </c>
      <c r="J83" s="38"/>
      <c r="K83" s="71" t="str">
        <f aca="false">IF(AND(ISNUMBER(J83),ISNUMBER(H83)),J83-H83,"")</f>
        <v/>
      </c>
      <c r="L83" s="38"/>
      <c r="M83" s="71" t="str">
        <f aca="false">IF(AND(ISNUMBER(L83),ISNUMBER(J83)),L83-J83,"")</f>
        <v/>
      </c>
    </row>
    <row r="84" customFormat="false" ht="15" hidden="false" customHeight="false" outlineLevel="0" collapsed="false">
      <c r="A84" s="5" t="s">
        <v>1132</v>
      </c>
      <c r="B84" s="5" t="s">
        <v>1136</v>
      </c>
      <c r="D84" s="25" t="n">
        <f aca="false">IF(AND(ISNUMBER(D82),ISNUMBER(D83)),D82/D83-1,"")</f>
        <v>-0.0434782608695652</v>
      </c>
      <c r="F84" s="25" t="n">
        <f aca="false">IF(AND(ISNUMBER(F82),ISNUMBER(F83)),F82/F83-1,"")</f>
        <v>-0.044280442804428</v>
      </c>
      <c r="G84" s="70" t="n">
        <f aca="false">IF(AND(ISNUMBER(F84),ISNUMBER(D84)),F84-D84,"")</f>
        <v>-0.000802181934862811</v>
      </c>
      <c r="H84" s="25" t="n">
        <f aca="false">IF(AND(ISNUMBER(H82),ISNUMBER(H83)),H82/H83-1,"")</f>
        <v>-0.0485074626865671</v>
      </c>
      <c r="I84" s="70" t="n">
        <f aca="false">IF(AND(ISNUMBER(H84),ISNUMBER(F84)),H84-F84,"")</f>
        <v>-0.00422701988213914</v>
      </c>
      <c r="J84" s="25" t="str">
        <f aca="false">IF(AND(ISNUMBER(J82),ISNUMBER(J83)),J82/J83-1,"")</f>
        <v/>
      </c>
      <c r="K84" s="70" t="str">
        <f aca="false">IF(AND(ISNUMBER(J84),ISNUMBER(H84)),J84-H84,"")</f>
        <v/>
      </c>
      <c r="L84" s="25" t="str">
        <f aca="false">IF(AND(ISNUMBER(L82),ISNUMBER(L83)),L82/L83-1,"")</f>
        <v/>
      </c>
      <c r="M84" s="70" t="str">
        <f aca="false">IF(AND(ISNUMBER(L84),ISNUMBER(J84)),L84-J84,"")</f>
        <v/>
      </c>
    </row>
    <row r="85" customFormat="false" ht="15" hidden="false" customHeight="false" outlineLevel="0" collapsed="false">
      <c r="A85" s="5" t="s">
        <v>1132</v>
      </c>
      <c r="B85" s="20" t="s">
        <v>1137</v>
      </c>
      <c r="D85" s="28" t="n">
        <v>4</v>
      </c>
      <c r="F85" s="28" t="n">
        <v>4.2</v>
      </c>
      <c r="G85" s="66" t="n">
        <f aca="false">IF(AND(ISNUMBER(F85),ISNUMBER(D85)),F85-D85,"")</f>
        <v>0.2</v>
      </c>
      <c r="H85" s="28" t="n">
        <v>4.3</v>
      </c>
      <c r="I85" s="66" t="n">
        <f aca="false">IF(AND(ISNUMBER(H85),ISNUMBER(F85)),H85-F85,"")</f>
        <v>0.0999999999999996</v>
      </c>
      <c r="J85" s="28"/>
      <c r="K85" s="66" t="str">
        <f aca="false">IF(AND(ISNUMBER(J85),ISNUMBER(H85)),J85-H85,"")</f>
        <v/>
      </c>
      <c r="L85" s="28"/>
      <c r="M85" s="66" t="str">
        <f aca="false">IF(AND(ISNUMBER(L85),ISNUMBER(J85)),L85-J85,"")</f>
        <v/>
      </c>
    </row>
    <row r="86" customFormat="false" ht="15" hidden="false" customHeight="false" outlineLevel="0" collapsed="false">
      <c r="A86" s="5" t="s">
        <v>1132</v>
      </c>
      <c r="B86" s="5" t="s">
        <v>1138</v>
      </c>
      <c r="D86" s="28" t="n">
        <v>4</v>
      </c>
      <c r="F86" s="28" t="n">
        <v>4.1</v>
      </c>
      <c r="G86" s="66" t="n">
        <f aca="false">IF(AND(ISNUMBER(F86),ISNUMBER(D86)),F86-D86,"")</f>
        <v>0.0999999999999996</v>
      </c>
      <c r="H86" s="28" t="n">
        <v>4.2</v>
      </c>
      <c r="I86" s="66" t="n">
        <f aca="false">IF(AND(ISNUMBER(H86),ISNUMBER(F86)),H86-F86,"")</f>
        <v>0.100000000000001</v>
      </c>
      <c r="J86" s="28"/>
      <c r="K86" s="66" t="str">
        <f aca="false">IF(AND(ISNUMBER(J86),ISNUMBER(H86)),J86-H86,"")</f>
        <v/>
      </c>
      <c r="L86" s="28"/>
      <c r="M86" s="66" t="str">
        <f aca="false">IF(AND(ISNUMBER(L86),ISNUMBER(J86)),L86-J86,"")</f>
        <v/>
      </c>
    </row>
    <row r="87" customFormat="false" ht="15" hidden="false" customHeight="false" outlineLevel="0" collapsed="false">
      <c r="A87" s="5" t="s">
        <v>1132</v>
      </c>
      <c r="B87" s="20" t="s">
        <v>1139</v>
      </c>
      <c r="D87" s="38" t="n">
        <v>182</v>
      </c>
      <c r="F87" s="38" t="n">
        <v>176</v>
      </c>
      <c r="G87" s="71" t="n">
        <f aca="false">IF(AND(ISNUMBER(F87),ISNUMBER(D87)),F87-D87,"")</f>
        <v>-6</v>
      </c>
      <c r="H87" s="38" t="n">
        <v>171</v>
      </c>
      <c r="I87" s="71" t="n">
        <f aca="false">IF(AND(ISNUMBER(H87),ISNUMBER(F87)),H87-F87,"")</f>
        <v>-5</v>
      </c>
      <c r="J87" s="38"/>
      <c r="K87" s="71" t="str">
        <f aca="false">IF(AND(ISNUMBER(J87),ISNUMBER(H87)),J87-H87,"")</f>
        <v/>
      </c>
      <c r="L87" s="38"/>
      <c r="M87" s="71" t="str">
        <f aca="false">IF(AND(ISNUMBER(L87),ISNUMBER(J87)),L87-J87,"")</f>
        <v/>
      </c>
    </row>
    <row r="88" customFormat="false" ht="15" hidden="false" customHeight="false" outlineLevel="0" collapsed="false">
      <c r="A88" s="5" t="s">
        <v>1132</v>
      </c>
      <c r="B88" s="5" t="s">
        <v>1140</v>
      </c>
      <c r="D88" s="38" t="n">
        <v>186</v>
      </c>
      <c r="F88" s="38" t="n">
        <v>184</v>
      </c>
      <c r="G88" s="71" t="n">
        <f aca="false">IF(AND(ISNUMBER(F88),ISNUMBER(D88)),F88-D88,"")</f>
        <v>-2</v>
      </c>
      <c r="H88" s="38" t="n">
        <v>181</v>
      </c>
      <c r="I88" s="71" t="n">
        <f aca="false">IF(AND(ISNUMBER(H88),ISNUMBER(F88)),H88-F88,"")</f>
        <v>-3</v>
      </c>
      <c r="J88" s="38"/>
      <c r="K88" s="71" t="str">
        <f aca="false">IF(AND(ISNUMBER(J88),ISNUMBER(H88)),J88-H88,"")</f>
        <v/>
      </c>
      <c r="L88" s="38"/>
      <c r="M88" s="71" t="str">
        <f aca="false">IF(AND(ISNUMBER(L88),ISNUMBER(J88)),L88-J88,"")</f>
        <v/>
      </c>
    </row>
    <row r="89" customFormat="false" ht="15" hidden="false" customHeight="false" outlineLevel="0" collapsed="false">
      <c r="A89" s="5" t="s">
        <v>1132</v>
      </c>
      <c r="B89" s="20" t="s">
        <v>1141</v>
      </c>
      <c r="D89" s="25" t="n">
        <f aca="false">IF(AND(ISNUMBER(D87),ISNUMBER(D88)),D87/D88-1,"")</f>
        <v>-0.021505376344086</v>
      </c>
      <c r="F89" s="25" t="n">
        <f aca="false">IF(AND(ISNUMBER(F87),ISNUMBER(F88)),F87/F88-1,"")</f>
        <v>-0.0434782608695652</v>
      </c>
      <c r="G89" s="70" t="n">
        <f aca="false">IF(AND(ISNUMBER(F89),ISNUMBER(D89)),F89-D89,"")</f>
        <v>-0.0219728845254792</v>
      </c>
      <c r="H89" s="25" t="n">
        <f aca="false">IF(AND(ISNUMBER(H87),ISNUMBER(H88)),H87/H88-1,"")</f>
        <v>-0.0552486187845304</v>
      </c>
      <c r="I89" s="70" t="n">
        <f aca="false">IF(AND(ISNUMBER(H89),ISNUMBER(F89)),H89-F89,"")</f>
        <v>-0.0117703579149652</v>
      </c>
      <c r="J89" s="25" t="str">
        <f aca="false">IF(AND(ISNUMBER(J87),ISNUMBER(J88)),J87/J88-1,"")</f>
        <v/>
      </c>
      <c r="K89" s="70" t="str">
        <f aca="false">IF(AND(ISNUMBER(J89),ISNUMBER(H89)),J89-H89,"")</f>
        <v/>
      </c>
      <c r="L89" s="25" t="str">
        <f aca="false">IF(AND(ISNUMBER(L87),ISNUMBER(L88)),L87/L88-1,"")</f>
        <v/>
      </c>
      <c r="M89" s="70" t="str">
        <f aca="false">IF(AND(ISNUMBER(L89),ISNUMBER(J89)),L89-J89,"")</f>
        <v/>
      </c>
    </row>
    <row r="90" customFormat="false" ht="15" hidden="false" customHeight="false" outlineLevel="0" collapsed="false">
      <c r="A90" s="5" t="s">
        <v>1132</v>
      </c>
      <c r="B90" s="20" t="s">
        <v>1142</v>
      </c>
      <c r="D90" s="22" t="n">
        <v>0.11</v>
      </c>
      <c r="F90" s="22" t="n">
        <v>0.125</v>
      </c>
      <c r="G90" s="70" t="n">
        <f aca="false">IF(AND(ISNUMBER(F90),ISNUMBER(D90)),F90-D90,"")</f>
        <v>0.015</v>
      </c>
      <c r="H90" s="22" t="n">
        <v>0.135</v>
      </c>
      <c r="I90" s="70" t="n">
        <f aca="false">IF(AND(ISNUMBER(H90),ISNUMBER(F90)),H90-F90,"")</f>
        <v>0.01</v>
      </c>
      <c r="J90" s="22"/>
      <c r="K90" s="70" t="str">
        <f aca="false">IF(AND(ISNUMBER(J90),ISNUMBER(H90)),J90-H90,"")</f>
        <v/>
      </c>
      <c r="L90" s="22"/>
      <c r="M90" s="70" t="str">
        <f aca="false">IF(AND(ISNUMBER(L90),ISNUMBER(J90)),L90-J90,"")</f>
        <v/>
      </c>
    </row>
    <row r="91" customFormat="false" ht="15" hidden="false" customHeight="false" outlineLevel="0" collapsed="false">
      <c r="A91" s="5" t="s">
        <v>1132</v>
      </c>
      <c r="B91" s="20" t="s">
        <v>1143</v>
      </c>
      <c r="D91" s="28" t="n">
        <v>12</v>
      </c>
      <c r="F91" s="28" t="n">
        <v>13.1</v>
      </c>
      <c r="G91" s="66" t="n">
        <f aca="false">IF(AND(ISNUMBER(F91),ISNUMBER(D91)),F91-D91,"")</f>
        <v>1.1</v>
      </c>
      <c r="H91" s="28" t="n">
        <v>13.8</v>
      </c>
      <c r="I91" s="66" t="n">
        <f aca="false">IF(AND(ISNUMBER(H91),ISNUMBER(F91)),H91-F91,"")</f>
        <v>0.700000000000001</v>
      </c>
      <c r="J91" s="28"/>
      <c r="K91" s="66" t="str">
        <f aca="false">IF(AND(ISNUMBER(J91),ISNUMBER(H91)),J91-H91,"")</f>
        <v/>
      </c>
      <c r="L91" s="28"/>
      <c r="M91" s="66" t="str">
        <f aca="false">IF(AND(ISNUMBER(L91),ISNUMBER(J91)),L91-J91,"")</f>
        <v/>
      </c>
    </row>
    <row r="92" customFormat="false" ht="15" hidden="false" customHeight="false" outlineLevel="0" collapsed="false">
      <c r="A92" s="5" t="s">
        <v>1132</v>
      </c>
      <c r="B92" s="20" t="s">
        <v>1144</v>
      </c>
      <c r="D92" s="28" t="n">
        <v>11.5</v>
      </c>
      <c r="F92" s="28" t="n">
        <v>12.2</v>
      </c>
      <c r="G92" s="66" t="n">
        <f aca="false">IF(AND(ISNUMBER(F92),ISNUMBER(D92)),F92-D92,"")</f>
        <v>0.699999999999999</v>
      </c>
      <c r="H92" s="28" t="n">
        <v>12.9</v>
      </c>
      <c r="I92" s="66" t="n">
        <f aca="false">IF(AND(ISNUMBER(H92),ISNUMBER(F92)),H92-F92,"")</f>
        <v>0.700000000000001</v>
      </c>
      <c r="J92" s="28"/>
      <c r="K92" s="66" t="str">
        <f aca="false">IF(AND(ISNUMBER(J92),ISNUMBER(H92)),J92-H92,"")</f>
        <v/>
      </c>
      <c r="L92" s="28"/>
      <c r="M92" s="66" t="str">
        <f aca="false">IF(AND(ISNUMBER(L92),ISNUMBER(J92)),L92-J92,"")</f>
        <v/>
      </c>
    </row>
    <row r="93" customFormat="false" ht="15" hidden="false" customHeight="false" outlineLevel="0" collapsed="false">
      <c r="A93" s="5" t="s">
        <v>1132</v>
      </c>
      <c r="B93" s="20" t="s">
        <v>1145</v>
      </c>
      <c r="D93" s="28" t="n">
        <v>12.4</v>
      </c>
      <c r="F93" s="28" t="n">
        <v>13</v>
      </c>
      <c r="G93" s="66" t="n">
        <f aca="false">IF(AND(ISNUMBER(F93),ISNUMBER(D93)),F93-D93,"")</f>
        <v>0.6</v>
      </c>
      <c r="H93" s="28" t="n">
        <v>13.5</v>
      </c>
      <c r="I93" s="66" t="n">
        <f aca="false">IF(AND(ISNUMBER(H93),ISNUMBER(F93)),H93-F93,"")</f>
        <v>0.5</v>
      </c>
      <c r="J93" s="28"/>
      <c r="K93" s="66" t="str">
        <f aca="false">IF(AND(ISNUMBER(J93),ISNUMBER(H93)),J93-H93,"")</f>
        <v/>
      </c>
      <c r="L93" s="28"/>
      <c r="M93" s="66" t="str">
        <f aca="false">IF(AND(ISNUMBER(L93),ISNUMBER(J93)),L93-J93,"")</f>
        <v/>
      </c>
    </row>
    <row r="94" customFormat="false" ht="15" hidden="false" customHeight="false" outlineLevel="0" collapsed="false">
      <c r="A94" s="5" t="s">
        <v>1132</v>
      </c>
      <c r="B94" s="20" t="s">
        <v>1146</v>
      </c>
      <c r="D94" s="28" t="n">
        <v>13</v>
      </c>
      <c r="F94" s="28" t="n">
        <v>13.6</v>
      </c>
      <c r="G94" s="66" t="n">
        <f aca="false">IF(AND(ISNUMBER(F94),ISNUMBER(D94)),F94-D94,"")</f>
        <v>0.6</v>
      </c>
      <c r="H94" s="28" t="n">
        <v>14.1</v>
      </c>
      <c r="I94" s="66" t="n">
        <f aca="false">IF(AND(ISNUMBER(H94),ISNUMBER(F94)),H94-F94,"")</f>
        <v>0.5</v>
      </c>
      <c r="J94" s="28"/>
      <c r="K94" s="66" t="str">
        <f aca="false">IF(AND(ISNUMBER(J94),ISNUMBER(H94)),J94-H94,"")</f>
        <v/>
      </c>
      <c r="L94" s="28"/>
      <c r="M94" s="66" t="str">
        <f aca="false">IF(AND(ISNUMBER(L94),ISNUMBER(J94)),L94-J94,"")</f>
        <v/>
      </c>
    </row>
    <row r="95" customFormat="false" ht="15" hidden="false" customHeight="false" outlineLevel="0" collapsed="false">
      <c r="A95" s="5" t="s">
        <v>1132</v>
      </c>
      <c r="B95" s="20" t="s">
        <v>1147</v>
      </c>
      <c r="D95" s="27" t="n">
        <f aca="false">IF(COUNT(D91:D94)=0,"",AVERAGE(D91:D94))</f>
        <v>12.225</v>
      </c>
      <c r="F95" s="27" t="n">
        <f aca="false">IF(COUNT(F91:F94)=0,"",AVERAGE(F91:F94))</f>
        <v>12.975</v>
      </c>
      <c r="G95" s="66" t="n">
        <f aca="false">IF(AND(ISNUMBER(F95),ISNUMBER(D95)),F95-D95,"")</f>
        <v>0.75</v>
      </c>
      <c r="H95" s="27" t="n">
        <f aca="false">IF(COUNT(H91:H94)=0,"",AVERAGE(H91:H94))</f>
        <v>13.575</v>
      </c>
      <c r="I95" s="66" t="n">
        <f aca="false">IF(AND(ISNUMBER(H95),ISNUMBER(F95)),H95-F95,"")</f>
        <v>0.6</v>
      </c>
      <c r="J95" s="27" t="str">
        <f aca="false">IF(COUNT(J91:J94)=0,"",AVERAGE(J91:J94))</f>
        <v/>
      </c>
      <c r="K95" s="66" t="str">
        <f aca="false">IF(AND(ISNUMBER(J95),ISNUMBER(H95)),J95-H95,"")</f>
        <v/>
      </c>
      <c r="L95" s="27" t="str">
        <f aca="false">IF(COUNT(L91:L94)=0,"",AVERAGE(L91:L94))</f>
        <v/>
      </c>
      <c r="M95" s="66" t="str">
        <f aca="false">IF(AND(ISNUMBER(L95),ISNUMBER(J95)),L95-J95,"")</f>
        <v/>
      </c>
    </row>
    <row r="96" customFormat="false" ht="15" hidden="false" customHeight="false" outlineLevel="0" collapsed="false">
      <c r="A96" s="5" t="s">
        <v>1148</v>
      </c>
      <c r="B96" s="20" t="s">
        <v>1149</v>
      </c>
      <c r="D96" s="24" t="n">
        <v>120</v>
      </c>
      <c r="F96" s="24" t="n">
        <v>131</v>
      </c>
      <c r="G96" s="68" t="n">
        <f aca="false">IF(AND(ISNUMBER(F96),ISNUMBER(D96)),F96-D96,"")</f>
        <v>11</v>
      </c>
      <c r="H96" s="24" t="n">
        <v>142</v>
      </c>
      <c r="I96" s="68" t="n">
        <f aca="false">IF(AND(ISNUMBER(H96),ISNUMBER(F96)),H96-F96,"")</f>
        <v>11</v>
      </c>
      <c r="J96" s="24"/>
      <c r="K96" s="68" t="str">
        <f aca="false">IF(AND(ISNUMBER(J96),ISNUMBER(H96)),J96-H96,"")</f>
        <v/>
      </c>
      <c r="L96" s="24"/>
      <c r="M96" s="68" t="str">
        <f aca="false">IF(AND(ISNUMBER(L96),ISNUMBER(J96)),L96-J96,"")</f>
        <v/>
      </c>
    </row>
    <row r="97" customFormat="false" ht="15" hidden="false" customHeight="false" outlineLevel="0" collapsed="false">
      <c r="A97" s="5" t="s">
        <v>1148</v>
      </c>
      <c r="B97" s="5" t="s">
        <v>1150</v>
      </c>
      <c r="D97" s="38" t="n">
        <v>1237</v>
      </c>
      <c r="F97" s="38" t="n">
        <v>1229</v>
      </c>
      <c r="G97" s="71" t="n">
        <f aca="false">IF(AND(ISNUMBER(F97),ISNUMBER(D97)),F97-D97,"")</f>
        <v>-8</v>
      </c>
      <c r="H97" s="38" t="n">
        <v>1219</v>
      </c>
      <c r="I97" s="71" t="n">
        <f aca="false">IF(AND(ISNUMBER(H97),ISNUMBER(F97)),H97-F97,"")</f>
        <v>-10</v>
      </c>
      <c r="J97" s="38"/>
      <c r="K97" s="71" t="str">
        <f aca="false">IF(AND(ISNUMBER(J97),ISNUMBER(H97)),J97-H97,"")</f>
        <v/>
      </c>
      <c r="L97" s="38"/>
      <c r="M97" s="71" t="str">
        <f aca="false">IF(AND(ISNUMBER(L97),ISNUMBER(J97)),L97-J97,"")</f>
        <v/>
      </c>
    </row>
    <row r="98" customFormat="false" ht="15" hidden="false" customHeight="false" outlineLevel="0" collapsed="false">
      <c r="A98" s="5" t="s">
        <v>1148</v>
      </c>
      <c r="B98" s="5" t="s">
        <v>1151</v>
      </c>
      <c r="D98" s="38" t="n">
        <v>1195</v>
      </c>
      <c r="F98" s="38" t="n">
        <v>1188</v>
      </c>
      <c r="G98" s="71" t="n">
        <f aca="false">IF(AND(ISNUMBER(F98),ISNUMBER(D98)),F98-D98,"")</f>
        <v>-7</v>
      </c>
      <c r="H98" s="38" t="n">
        <v>1181</v>
      </c>
      <c r="I98" s="71" t="n">
        <f aca="false">IF(AND(ISNUMBER(H98),ISNUMBER(F98)),H98-F98,"")</f>
        <v>-7</v>
      </c>
      <c r="J98" s="38"/>
      <c r="K98" s="71" t="str">
        <f aca="false">IF(AND(ISNUMBER(J98),ISNUMBER(H98)),J98-H98,"")</f>
        <v/>
      </c>
      <c r="L98" s="38"/>
      <c r="M98" s="71" t="str">
        <f aca="false">IF(AND(ISNUMBER(L98),ISNUMBER(J98)),L98-J98,"")</f>
        <v/>
      </c>
    </row>
    <row r="99" customFormat="false" ht="15" hidden="false" customHeight="false" outlineLevel="0" collapsed="false">
      <c r="A99" s="5" t="s">
        <v>1148</v>
      </c>
      <c r="B99" s="5" t="s">
        <v>1152</v>
      </c>
      <c r="D99" s="25" t="n">
        <f aca="false">IF(AND(ISNUMBER(D97),ISNUMBER(D98)),D97/D98-1,"")</f>
        <v>0.0351464435146442</v>
      </c>
      <c r="F99" s="25" t="n">
        <f aca="false">IF(AND(ISNUMBER(F97),ISNUMBER(F98)),F97/F98-1,"")</f>
        <v>0.0345117845117846</v>
      </c>
      <c r="G99" s="70" t="n">
        <f aca="false">IF(AND(ISNUMBER(F99),ISNUMBER(D99)),F99-D99,"")</f>
        <v>-0.000634659002859639</v>
      </c>
      <c r="H99" s="25" t="n">
        <f aca="false">IF(AND(ISNUMBER(H97),ISNUMBER(H98)),H97/H98-1,"")</f>
        <v>0.0321761219305674</v>
      </c>
      <c r="I99" s="70" t="n">
        <f aca="false">IF(AND(ISNUMBER(H99),ISNUMBER(F99)),H99-F99,"")</f>
        <v>-0.0023356625812172</v>
      </c>
      <c r="J99" s="25" t="str">
        <f aca="false">IF(AND(ISNUMBER(J97),ISNUMBER(J98)),J97/J98-1,"")</f>
        <v/>
      </c>
      <c r="K99" s="70" t="str">
        <f aca="false">IF(AND(ISNUMBER(J99),ISNUMBER(H99)),J99-H99,"")</f>
        <v/>
      </c>
      <c r="L99" s="25" t="str">
        <f aca="false">IF(AND(ISNUMBER(L97),ISNUMBER(L98)),L97/L98-1,"")</f>
        <v/>
      </c>
      <c r="M99" s="70" t="str">
        <f aca="false">IF(AND(ISNUMBER(L99),ISNUMBER(J99)),L99-J99,"")</f>
        <v/>
      </c>
    </row>
    <row r="100" customFormat="false" ht="15" hidden="false" customHeight="false" outlineLevel="0" collapsed="false">
      <c r="A100" s="5" t="s">
        <v>1148</v>
      </c>
      <c r="B100" s="20" t="s">
        <v>1153</v>
      </c>
      <c r="D100" s="28" t="n">
        <v>4.2</v>
      </c>
      <c r="F100" s="28" t="n">
        <v>4.4</v>
      </c>
      <c r="G100" s="66" t="n">
        <f aca="false">IF(AND(ISNUMBER(F100),ISNUMBER(D100)),F100-D100,"")</f>
        <v>0.2</v>
      </c>
      <c r="H100" s="28" t="n">
        <v>4.6</v>
      </c>
      <c r="I100" s="66" t="n">
        <f aca="false">IF(AND(ISNUMBER(H100),ISNUMBER(F100)),H100-F100,"")</f>
        <v>0.199999999999999</v>
      </c>
      <c r="J100" s="28"/>
      <c r="K100" s="66" t="str">
        <f aca="false">IF(AND(ISNUMBER(J100),ISNUMBER(H100)),J100-H100,"")</f>
        <v/>
      </c>
      <c r="L100" s="28"/>
      <c r="M100" s="66" t="str">
        <f aca="false">IF(AND(ISNUMBER(L100),ISNUMBER(J100)),L100-J100,"")</f>
        <v/>
      </c>
    </row>
    <row r="101" customFormat="false" ht="15" hidden="false" customHeight="false" outlineLevel="0" collapsed="false">
      <c r="A101" s="5" t="s">
        <v>1148</v>
      </c>
      <c r="B101" s="5" t="s">
        <v>1154</v>
      </c>
      <c r="D101" s="28" t="n">
        <v>4.1</v>
      </c>
      <c r="F101" s="28" t="n">
        <v>4.2</v>
      </c>
      <c r="G101" s="66" t="n">
        <f aca="false">IF(AND(ISNUMBER(F101),ISNUMBER(D101)),F101-D101,"")</f>
        <v>0.100000000000001</v>
      </c>
      <c r="H101" s="28" t="n">
        <v>4.3</v>
      </c>
      <c r="I101" s="66" t="n">
        <f aca="false">IF(AND(ISNUMBER(H101),ISNUMBER(F101)),H101-F101,"")</f>
        <v>0.0999999999999996</v>
      </c>
      <c r="J101" s="28"/>
      <c r="K101" s="66" t="str">
        <f aca="false">IF(AND(ISNUMBER(J101),ISNUMBER(H101)),J101-H101,"")</f>
        <v/>
      </c>
      <c r="L101" s="28"/>
      <c r="M101" s="66" t="str">
        <f aca="false">IF(AND(ISNUMBER(L101),ISNUMBER(J101)),L101-J101,"")</f>
        <v/>
      </c>
    </row>
    <row r="102" customFormat="false" ht="15" hidden="false" customHeight="false" outlineLevel="0" collapsed="false">
      <c r="A102" s="5" t="s">
        <v>1148</v>
      </c>
      <c r="B102" s="20" t="s">
        <v>1155</v>
      </c>
      <c r="D102" s="38" t="n">
        <v>905</v>
      </c>
      <c r="F102" s="38" t="n">
        <v>884</v>
      </c>
      <c r="G102" s="71" t="n">
        <f aca="false">IF(AND(ISNUMBER(F102),ISNUMBER(D102)),F102-D102,"")</f>
        <v>-21</v>
      </c>
      <c r="H102" s="38" t="n">
        <v>870</v>
      </c>
      <c r="I102" s="71" t="n">
        <f aca="false">IF(AND(ISNUMBER(H102),ISNUMBER(F102)),H102-F102,"")</f>
        <v>-14</v>
      </c>
      <c r="J102" s="38"/>
      <c r="K102" s="71" t="str">
        <f aca="false">IF(AND(ISNUMBER(J102),ISNUMBER(H102)),J102-H102,"")</f>
        <v/>
      </c>
      <c r="L102" s="38"/>
      <c r="M102" s="71" t="str">
        <f aca="false">IF(AND(ISNUMBER(L102),ISNUMBER(J102)),L102-J102,"")</f>
        <v/>
      </c>
    </row>
    <row r="103" customFormat="false" ht="15" hidden="false" customHeight="false" outlineLevel="0" collapsed="false">
      <c r="A103" s="5" t="s">
        <v>1148</v>
      </c>
      <c r="B103" s="5" t="s">
        <v>1156</v>
      </c>
      <c r="D103" s="38" t="n">
        <v>890</v>
      </c>
      <c r="F103" s="38" t="n">
        <v>879</v>
      </c>
      <c r="G103" s="71" t="n">
        <f aca="false">IF(AND(ISNUMBER(F103),ISNUMBER(D103)),F103-D103,"")</f>
        <v>-11</v>
      </c>
      <c r="H103" s="38" t="n">
        <v>871</v>
      </c>
      <c r="I103" s="71" t="n">
        <f aca="false">IF(AND(ISNUMBER(H103),ISNUMBER(F103)),H103-F103,"")</f>
        <v>-8</v>
      </c>
      <c r="J103" s="38"/>
      <c r="K103" s="71" t="str">
        <f aca="false">IF(AND(ISNUMBER(J103),ISNUMBER(H103)),J103-H103,"")</f>
        <v/>
      </c>
      <c r="L103" s="38"/>
      <c r="M103" s="71" t="str">
        <f aca="false">IF(AND(ISNUMBER(L103),ISNUMBER(J103)),L103-J103,"")</f>
        <v/>
      </c>
    </row>
    <row r="104" customFormat="false" ht="15" hidden="false" customHeight="false" outlineLevel="0" collapsed="false">
      <c r="A104" s="5" t="s">
        <v>1148</v>
      </c>
      <c r="B104" s="20" t="s">
        <v>1157</v>
      </c>
      <c r="D104" s="25" t="n">
        <f aca="false">IF(AND(ISNUMBER(D102),ISNUMBER(D103)),D102/D103-1,"")</f>
        <v>0.0168539325842696</v>
      </c>
      <c r="F104" s="25" t="n">
        <f aca="false">IF(AND(ISNUMBER(F102),ISNUMBER(F103)),F102/F103-1,"")</f>
        <v>0.00568828213879402</v>
      </c>
      <c r="G104" s="70" t="n">
        <f aca="false">IF(AND(ISNUMBER(F104),ISNUMBER(D104)),F104-D104,"")</f>
        <v>-0.0111656504454756</v>
      </c>
      <c r="H104" s="25" t="n">
        <f aca="false">IF(AND(ISNUMBER(H102),ISNUMBER(H103)),H102/H103-1,"")</f>
        <v>-0.00114810562571754</v>
      </c>
      <c r="I104" s="70" t="n">
        <f aca="false">IF(AND(ISNUMBER(H104),ISNUMBER(F104)),H104-F104,"")</f>
        <v>-0.00683638776451156</v>
      </c>
      <c r="J104" s="25" t="str">
        <f aca="false">IF(AND(ISNUMBER(J102),ISNUMBER(J103)),J102/J103-1,"")</f>
        <v/>
      </c>
      <c r="K104" s="70" t="str">
        <f aca="false">IF(AND(ISNUMBER(J104),ISNUMBER(H104)),J104-H104,"")</f>
        <v/>
      </c>
      <c r="L104" s="25" t="str">
        <f aca="false">IF(AND(ISNUMBER(L102),ISNUMBER(L103)),L102/L103-1,"")</f>
        <v/>
      </c>
      <c r="M104" s="70" t="str">
        <f aca="false">IF(AND(ISNUMBER(L104),ISNUMBER(J104)),L104-J104,"")</f>
        <v/>
      </c>
    </row>
    <row r="105" customFormat="false" ht="15" hidden="false" customHeight="false" outlineLevel="0" collapsed="false">
      <c r="A105" s="5" t="s">
        <v>1148</v>
      </c>
      <c r="B105" s="20" t="s">
        <v>1158</v>
      </c>
      <c r="D105" s="22" t="n">
        <v>0.09</v>
      </c>
      <c r="F105" s="22" t="n">
        <v>0.105</v>
      </c>
      <c r="G105" s="70" t="n">
        <f aca="false">IF(AND(ISNUMBER(F105),ISNUMBER(D105)),F105-D105,"")</f>
        <v>0.015</v>
      </c>
      <c r="H105" s="22" t="n">
        <v>0.112</v>
      </c>
      <c r="I105" s="70" t="n">
        <f aca="false">IF(AND(ISNUMBER(H105),ISNUMBER(F105)),H105-F105,"")</f>
        <v>0.00700000000000001</v>
      </c>
      <c r="J105" s="22"/>
      <c r="K105" s="70" t="str">
        <f aca="false">IF(AND(ISNUMBER(J105),ISNUMBER(H105)),J105-H105,"")</f>
        <v/>
      </c>
      <c r="L105" s="22"/>
      <c r="M105" s="70" t="str">
        <f aca="false">IF(AND(ISNUMBER(L105),ISNUMBER(J105)),L105-J105,"")</f>
        <v/>
      </c>
    </row>
    <row r="106" customFormat="false" ht="15" hidden="false" customHeight="false" outlineLevel="0" collapsed="false">
      <c r="A106" s="5" t="s">
        <v>1148</v>
      </c>
      <c r="B106" s="20" t="s">
        <v>1159</v>
      </c>
      <c r="D106" s="28" t="n">
        <v>12</v>
      </c>
      <c r="F106" s="28" t="n">
        <v>12.8</v>
      </c>
      <c r="G106" s="66" t="n">
        <f aca="false">IF(AND(ISNUMBER(F106),ISNUMBER(D106)),F106-D106,"")</f>
        <v>0.800000000000001</v>
      </c>
      <c r="H106" s="28" t="n">
        <v>13.4</v>
      </c>
      <c r="I106" s="66" t="n">
        <f aca="false">IF(AND(ISNUMBER(H106),ISNUMBER(F106)),H106-F106,"")</f>
        <v>0.6</v>
      </c>
      <c r="J106" s="28"/>
      <c r="K106" s="66" t="str">
        <f aca="false">IF(AND(ISNUMBER(J106),ISNUMBER(H106)),J106-H106,"")</f>
        <v/>
      </c>
      <c r="L106" s="28"/>
      <c r="M106" s="66" t="str">
        <f aca="false">IF(AND(ISNUMBER(L106),ISNUMBER(J106)),L106-J106,"")</f>
        <v/>
      </c>
    </row>
    <row r="107" customFormat="false" ht="15" hidden="false" customHeight="false" outlineLevel="0" collapsed="false">
      <c r="A107" s="5" t="s">
        <v>1148</v>
      </c>
      <c r="B107" s="20" t="s">
        <v>1160</v>
      </c>
      <c r="D107" s="28" t="n">
        <v>12.6</v>
      </c>
      <c r="F107" s="28" t="n">
        <v>13</v>
      </c>
      <c r="G107" s="66" t="n">
        <f aca="false">IF(AND(ISNUMBER(F107),ISNUMBER(D107)),F107-D107,"")</f>
        <v>0.4</v>
      </c>
      <c r="H107" s="28" t="n">
        <v>13.6</v>
      </c>
      <c r="I107" s="66" t="n">
        <f aca="false">IF(AND(ISNUMBER(H107),ISNUMBER(F107)),H107-F107,"")</f>
        <v>0.6</v>
      </c>
      <c r="J107" s="28"/>
      <c r="K107" s="66" t="str">
        <f aca="false">IF(AND(ISNUMBER(J107),ISNUMBER(H107)),J107-H107,"")</f>
        <v/>
      </c>
      <c r="L107" s="28"/>
      <c r="M107" s="66" t="str">
        <f aca="false">IF(AND(ISNUMBER(L107),ISNUMBER(J107)),L107-J107,"")</f>
        <v/>
      </c>
    </row>
    <row r="108" customFormat="false" ht="15" hidden="false" customHeight="false" outlineLevel="0" collapsed="false">
      <c r="A108" s="5" t="s">
        <v>1148</v>
      </c>
      <c r="B108" s="20" t="s">
        <v>1161</v>
      </c>
      <c r="D108" s="28" t="n">
        <v>11.1</v>
      </c>
      <c r="F108" s="28" t="n">
        <v>11.9</v>
      </c>
      <c r="G108" s="66" t="n">
        <f aca="false">IF(AND(ISNUMBER(F108),ISNUMBER(D108)),F108-D108,"")</f>
        <v>0.800000000000001</v>
      </c>
      <c r="H108" s="28" t="n">
        <v>12.5</v>
      </c>
      <c r="I108" s="66" t="n">
        <f aca="false">IF(AND(ISNUMBER(H108),ISNUMBER(F108)),H108-F108,"")</f>
        <v>0.6</v>
      </c>
      <c r="J108" s="28"/>
      <c r="K108" s="66" t="str">
        <f aca="false">IF(AND(ISNUMBER(J108),ISNUMBER(H108)),J108-H108,"")</f>
        <v/>
      </c>
      <c r="L108" s="28"/>
      <c r="M108" s="66" t="str">
        <f aca="false">IF(AND(ISNUMBER(L108),ISNUMBER(J108)),L108-J108,"")</f>
        <v/>
      </c>
    </row>
    <row r="109" customFormat="false" ht="15" hidden="false" customHeight="false" outlineLevel="0" collapsed="false">
      <c r="A109" s="5" t="s">
        <v>1148</v>
      </c>
      <c r="B109" s="20" t="s">
        <v>1162</v>
      </c>
      <c r="D109" s="28" t="n">
        <v>12.2</v>
      </c>
      <c r="F109" s="28" t="n">
        <v>12.5</v>
      </c>
      <c r="G109" s="66" t="n">
        <f aca="false">IF(AND(ISNUMBER(F109),ISNUMBER(D109)),F109-D109,"")</f>
        <v>0.300000000000001</v>
      </c>
      <c r="H109" s="28" t="n">
        <v>13</v>
      </c>
      <c r="I109" s="66" t="n">
        <f aca="false">IF(AND(ISNUMBER(H109),ISNUMBER(F109)),H109-F109,"")</f>
        <v>0.5</v>
      </c>
      <c r="J109" s="28"/>
      <c r="K109" s="66" t="str">
        <f aca="false">IF(AND(ISNUMBER(J109),ISNUMBER(H109)),J109-H109,"")</f>
        <v/>
      </c>
      <c r="L109" s="28"/>
      <c r="M109" s="66" t="str">
        <f aca="false">IF(AND(ISNUMBER(L109),ISNUMBER(J109)),L109-J109,"")</f>
        <v/>
      </c>
    </row>
    <row r="110" customFormat="false" ht="15" hidden="false" customHeight="false" outlineLevel="0" collapsed="false">
      <c r="A110" s="5" t="s">
        <v>1148</v>
      </c>
      <c r="B110" s="20" t="s">
        <v>1163</v>
      </c>
      <c r="D110" s="27" t="n">
        <f aca="false">IF(COUNT(D106:D109)=0,"",AVERAGE(D106:D109))</f>
        <v>11.975</v>
      </c>
      <c r="F110" s="27" t="n">
        <f aca="false">IF(COUNT(F106:F109)=0,"",AVERAGE(F106:F109))</f>
        <v>12.55</v>
      </c>
      <c r="G110" s="66" t="n">
        <f aca="false">IF(AND(ISNUMBER(F110),ISNUMBER(D110)),F110-D110,"")</f>
        <v>0.575000000000001</v>
      </c>
      <c r="H110" s="27" t="n">
        <f aca="false">IF(COUNT(H106:H109)=0,"",AVERAGE(H106:H109))</f>
        <v>13.125</v>
      </c>
      <c r="I110" s="66" t="n">
        <f aca="false">IF(AND(ISNUMBER(H110),ISNUMBER(F110)),H110-F110,"")</f>
        <v>0.574999999999999</v>
      </c>
      <c r="J110" s="27" t="str">
        <f aca="false">IF(COUNT(J106:J109)=0,"",AVERAGE(J106:J109))</f>
        <v/>
      </c>
      <c r="K110" s="66" t="str">
        <f aca="false">IF(AND(ISNUMBER(J110),ISNUMBER(H110)),J110-H110,"")</f>
        <v/>
      </c>
      <c r="L110" s="27" t="str">
        <f aca="false">IF(COUNT(L106:L109)=0,"",AVERAGE(L106:L109))</f>
        <v/>
      </c>
      <c r="M110" s="66" t="str">
        <f aca="false">IF(AND(ISNUMBER(L110),ISNUMBER(J110)),L110-J110,"")</f>
        <v/>
      </c>
    </row>
  </sheetData>
  <conditionalFormatting sqref="G65 I65 K65 M65">
    <cfRule type="expression" priority="2" aboveAverage="0" equalAverage="0" bottom="0" percent="0" rank="0" text="" dxfId="0">
      <formula>AND(ISNUMBER(G65),G65&gt;0)</formula>
    </cfRule>
    <cfRule type="expression" priority="3" aboveAverage="0" equalAverage="0" bottom="0" percent="0" rank="0" text="" dxfId="2">
      <formula>AND(ISNUMBER(G65),G65&lt;0)</formula>
    </cfRule>
  </conditionalFormatting>
  <conditionalFormatting sqref="G67 I67 K67 M67">
    <cfRule type="expression" priority="4" aboveAverage="0" equalAverage="0" bottom="0" percent="0" rank="0" text="" dxfId="0">
      <formula>AND(ISNUMBER(G67),G67&gt;0)</formula>
    </cfRule>
    <cfRule type="expression" priority="5" aboveAverage="0" equalAverage="0" bottom="0" percent="0" rank="0" text="" dxfId="2">
      <formula>AND(ISNUMBER(G67),G67&lt;0)</formula>
    </cfRule>
  </conditionalFormatting>
  <conditionalFormatting sqref="G69 I69 K69 M69">
    <cfRule type="expression" priority="6" aboveAverage="0" equalAverage="0" bottom="0" percent="0" rank="0" text="" dxfId="0">
      <formula>AND(ISNUMBER(G69),G69&gt;0)</formula>
    </cfRule>
    <cfRule type="expression" priority="7" aboveAverage="0" equalAverage="0" bottom="0" percent="0" rank="0" text="" dxfId="2">
      <formula>AND(ISNUMBER(G69),G69&lt;0)</formula>
    </cfRule>
  </conditionalFormatting>
  <conditionalFormatting sqref="G73 I73 K73 M73">
    <cfRule type="expression" priority="8" aboveAverage="0" equalAverage="0" bottom="0" percent="0" rank="0" text="" dxfId="0">
      <formula>AND(ISNUMBER(G73),G73&gt;0)</formula>
    </cfRule>
    <cfRule type="expression" priority="9" aboveAverage="0" equalAverage="0" bottom="0" percent="0" rank="0" text="" dxfId="2">
      <formula>AND(ISNUMBER(G73),G73&lt;0)</formula>
    </cfRule>
  </conditionalFormatting>
  <conditionalFormatting sqref="G74 I74 K74 M74">
    <cfRule type="expression" priority="10" aboveAverage="0" equalAverage="0" bottom="0" percent="0" rank="0" text="" dxfId="0">
      <formula>AND(ISNUMBER(G74),G74&gt;0)</formula>
    </cfRule>
    <cfRule type="expression" priority="11" aboveAverage="0" equalAverage="0" bottom="0" percent="0" rank="0" text="" dxfId="2">
      <formula>AND(ISNUMBER(G74),G74&lt;0)</formula>
    </cfRule>
  </conditionalFormatting>
  <conditionalFormatting sqref="G76 I76 K76 M76">
    <cfRule type="expression" priority="12" aboveAverage="0" equalAverage="0" bottom="0" percent="0" rank="0" text="" dxfId="0">
      <formula>AND(ISNUMBER(G76),G76&gt;0)</formula>
    </cfRule>
    <cfRule type="expression" priority="13" aboveAverage="0" equalAverage="0" bottom="0" percent="0" rank="0" text="" dxfId="2">
      <formula>AND(ISNUMBER(G76),G76&lt;0)</formula>
    </cfRule>
  </conditionalFormatting>
  <conditionalFormatting sqref="G77 I77 K77 M77">
    <cfRule type="expression" priority="14" aboveAverage="0" equalAverage="0" bottom="0" percent="0" rank="0" text="" dxfId="0">
      <formula>AND(ISNUMBER(G77),G77&lt;0)</formula>
    </cfRule>
    <cfRule type="expression" priority="15" aboveAverage="0" equalAverage="0" bottom="0" percent="0" rank="0" text="" dxfId="2">
      <formula>AND(ISNUMBER(G77),G77&gt;0)</formula>
    </cfRule>
  </conditionalFormatting>
  <conditionalFormatting sqref="G78 I78 K78 M78">
    <cfRule type="expression" priority="16" aboveAverage="0" equalAverage="0" bottom="0" percent="0" rank="0" text="" dxfId="0">
      <formula>AND(ISNUMBER(G78),G78&gt;0)</formula>
    </cfRule>
    <cfRule type="expression" priority="17" aboveAverage="0" equalAverage="0" bottom="0" percent="0" rank="0" text="" dxfId="2">
      <formula>AND(ISNUMBER(G78),G78&lt;0)</formula>
    </cfRule>
  </conditionalFormatting>
  <conditionalFormatting sqref="G79 I79 K79 M79">
    <cfRule type="expression" priority="18" aboveAverage="0" equalAverage="0" bottom="0" percent="0" rank="0" text="" dxfId="0">
      <formula>AND(ISNUMBER(G79),G79&gt;0)</formula>
    </cfRule>
    <cfRule type="expression" priority="19" aboveAverage="0" equalAverage="0" bottom="0" percent="0" rank="0" text="" dxfId="2">
      <formula>AND(ISNUMBER(G79),G79&lt;0)</formula>
    </cfRule>
  </conditionalFormatting>
  <conditionalFormatting sqref="G80 I80 K80 M80">
    <cfRule type="expression" priority="20" aboveAverage="0" equalAverage="0" bottom="0" percent="0" rank="0" text="" dxfId="0">
      <formula>AND(ISNUMBER(G80),G80&gt;0)</formula>
    </cfRule>
    <cfRule type="expression" priority="21" aboveAverage="0" equalAverage="0" bottom="0" percent="0" rank="0" text="" dxfId="2">
      <formula>AND(ISNUMBER(G80),G80&lt;0)</formula>
    </cfRule>
  </conditionalFormatting>
  <conditionalFormatting sqref="G81 I81 K81 M81">
    <cfRule type="expression" priority="22" aboveAverage="0" equalAverage="0" bottom="0" percent="0" rank="0" text="" dxfId="0">
      <formula>AND(ISNUMBER(G81),G81&gt;0)</formula>
    </cfRule>
    <cfRule type="expression" priority="23" aboveAverage="0" equalAverage="0" bottom="0" percent="0" rank="0" text="" dxfId="2">
      <formula>AND(ISNUMBER(G81),G81&lt;0)</formula>
    </cfRule>
  </conditionalFormatting>
  <conditionalFormatting sqref="G85 I85 K85 M85">
    <cfRule type="expression" priority="24" aboveAverage="0" equalAverage="0" bottom="0" percent="0" rank="0" text="" dxfId="0">
      <formula>AND(ISNUMBER(G85),G85&gt;0)</formula>
    </cfRule>
    <cfRule type="expression" priority="25" aboveAverage="0" equalAverage="0" bottom="0" percent="0" rank="0" text="" dxfId="2">
      <formula>AND(ISNUMBER(G85),G85&lt;0)</formula>
    </cfRule>
  </conditionalFormatting>
  <conditionalFormatting sqref="G87 I87 K87 M87">
    <cfRule type="expression" priority="26" aboveAverage="0" equalAverage="0" bottom="0" percent="0" rank="0" text="" dxfId="0">
      <formula>AND(ISNUMBER(G87),G87&lt;0)</formula>
    </cfRule>
    <cfRule type="expression" priority="27" aboveAverage="0" equalAverage="0" bottom="0" percent="0" rank="0" text="" dxfId="2">
      <formula>AND(ISNUMBER(G87),G87&gt;0)</formula>
    </cfRule>
  </conditionalFormatting>
  <conditionalFormatting sqref="G89 I89 K89 M89">
    <cfRule type="expression" priority="28" aboveAverage="0" equalAverage="0" bottom="0" percent="0" rank="0" text="" dxfId="0">
      <formula>AND(ISNUMBER(G89),G89&lt;0)</formula>
    </cfRule>
    <cfRule type="expression" priority="29" aboveAverage="0" equalAverage="0" bottom="0" percent="0" rank="0" text="" dxfId="2">
      <formula>AND(ISNUMBER(G89),G89&gt;0)</formula>
    </cfRule>
  </conditionalFormatting>
  <conditionalFormatting sqref="G90 I90 K90 M90">
    <cfRule type="expression" priority="30" aboveAverage="0" equalAverage="0" bottom="0" percent="0" rank="0" text="" dxfId="0">
      <formula>AND(ISNUMBER(G90),G90&gt;0)</formula>
    </cfRule>
    <cfRule type="expression" priority="31" aboveAverage="0" equalAverage="0" bottom="0" percent="0" rank="0" text="" dxfId="2">
      <formula>AND(ISNUMBER(G90),G90&lt;0)</formula>
    </cfRule>
  </conditionalFormatting>
  <conditionalFormatting sqref="G91 I91 K91 M91">
    <cfRule type="expression" priority="32" aboveAverage="0" equalAverage="0" bottom="0" percent="0" rank="0" text="" dxfId="0">
      <formula>AND(ISNUMBER(G91),G91&gt;0)</formula>
    </cfRule>
    <cfRule type="expression" priority="33" aboveAverage="0" equalAverage="0" bottom="0" percent="0" rank="0" text="" dxfId="2">
      <formula>AND(ISNUMBER(G91),G91&lt;0)</formula>
    </cfRule>
  </conditionalFormatting>
  <conditionalFormatting sqref="G92 I92 K92 M92">
    <cfRule type="expression" priority="34" aboveAverage="0" equalAverage="0" bottom="0" percent="0" rank="0" text="" dxfId="0">
      <formula>AND(ISNUMBER(G92),G92&gt;0)</formula>
    </cfRule>
    <cfRule type="expression" priority="35" aboveAverage="0" equalAverage="0" bottom="0" percent="0" rank="0" text="" dxfId="2">
      <formula>AND(ISNUMBER(G92),G92&lt;0)</formula>
    </cfRule>
  </conditionalFormatting>
  <conditionalFormatting sqref="G93 I93 K93 M93">
    <cfRule type="expression" priority="36" aboveAverage="0" equalAverage="0" bottom="0" percent="0" rank="0" text="" dxfId="0">
      <formula>AND(ISNUMBER(G93),G93&gt;0)</formula>
    </cfRule>
    <cfRule type="expression" priority="37" aboveAverage="0" equalAverage="0" bottom="0" percent="0" rank="0" text="" dxfId="2">
      <formula>AND(ISNUMBER(G93),G93&lt;0)</formula>
    </cfRule>
  </conditionalFormatting>
  <conditionalFormatting sqref="G94 I94 K94 M94">
    <cfRule type="expression" priority="38" aboveAverage="0" equalAverage="0" bottom="0" percent="0" rank="0" text="" dxfId="0">
      <formula>AND(ISNUMBER(G94),G94&gt;0)</formula>
    </cfRule>
    <cfRule type="expression" priority="39" aboveAverage="0" equalAverage="0" bottom="0" percent="0" rank="0" text="" dxfId="2">
      <formula>AND(ISNUMBER(G94),G94&lt;0)</formula>
    </cfRule>
  </conditionalFormatting>
  <conditionalFormatting sqref="G95 I95 K95 M95">
    <cfRule type="expression" priority="40" aboveAverage="0" equalAverage="0" bottom="0" percent="0" rank="0" text="" dxfId="0">
      <formula>AND(ISNUMBER(G95),G95&gt;0)</formula>
    </cfRule>
    <cfRule type="expression" priority="41" aboveAverage="0" equalAverage="0" bottom="0" percent="0" rank="0" text="" dxfId="2">
      <formula>AND(ISNUMBER(G95),G95&lt;0)</formula>
    </cfRule>
  </conditionalFormatting>
  <conditionalFormatting sqref="G96 I96 K96 M96">
    <cfRule type="expression" priority="42" aboveAverage="0" equalAverage="0" bottom="0" percent="0" rank="0" text="" dxfId="0">
      <formula>AND(ISNUMBER(G96),G96&gt;0)</formula>
    </cfRule>
    <cfRule type="expression" priority="43" aboveAverage="0" equalAverage="0" bottom="0" percent="0" rank="0" text="" dxfId="2">
      <formula>AND(ISNUMBER(G96),G96&lt;0)</formula>
    </cfRule>
  </conditionalFormatting>
  <conditionalFormatting sqref="G100 I100 K100 M100">
    <cfRule type="expression" priority="44" aboveAverage="0" equalAverage="0" bottom="0" percent="0" rank="0" text="" dxfId="0">
      <formula>AND(ISNUMBER(G100),G100&gt;0)</formula>
    </cfRule>
    <cfRule type="expression" priority="45" aboveAverage="0" equalAverage="0" bottom="0" percent="0" rank="0" text="" dxfId="2">
      <formula>AND(ISNUMBER(G100),G100&lt;0)</formula>
    </cfRule>
  </conditionalFormatting>
  <conditionalFormatting sqref="G102 I102 K102 M102">
    <cfRule type="expression" priority="46" aboveAverage="0" equalAverage="0" bottom="0" percent="0" rank="0" text="" dxfId="0">
      <formula>AND(ISNUMBER(G102),G102&lt;0)</formula>
    </cfRule>
    <cfRule type="expression" priority="47" aboveAverage="0" equalAverage="0" bottom="0" percent="0" rank="0" text="" dxfId="2">
      <formula>AND(ISNUMBER(G102),G102&gt;0)</formula>
    </cfRule>
  </conditionalFormatting>
  <conditionalFormatting sqref="G104 I104 K104 M104">
    <cfRule type="expression" priority="48" aboveAverage="0" equalAverage="0" bottom="0" percent="0" rank="0" text="" dxfId="0">
      <formula>AND(ISNUMBER(G104),G104&lt;0)</formula>
    </cfRule>
    <cfRule type="expression" priority="49" aboveAverage="0" equalAverage="0" bottom="0" percent="0" rank="0" text="" dxfId="2">
      <formula>AND(ISNUMBER(G104),G104&gt;0)</formula>
    </cfRule>
  </conditionalFormatting>
  <conditionalFormatting sqref="G105 I105 K105 M105">
    <cfRule type="expression" priority="50" aboveAverage="0" equalAverage="0" bottom="0" percent="0" rank="0" text="" dxfId="0">
      <formula>AND(ISNUMBER(G105),G105&gt;0)</formula>
    </cfRule>
    <cfRule type="expression" priority="51" aboveAverage="0" equalAverage="0" bottom="0" percent="0" rank="0" text="" dxfId="2">
      <formula>AND(ISNUMBER(G105),G105&lt;0)</formula>
    </cfRule>
  </conditionalFormatting>
  <conditionalFormatting sqref="G106 I106 K106 M106">
    <cfRule type="expression" priority="52" aboveAverage="0" equalAverage="0" bottom="0" percent="0" rank="0" text="" dxfId="0">
      <formula>AND(ISNUMBER(G106),G106&gt;0)</formula>
    </cfRule>
    <cfRule type="expression" priority="53" aboveAverage="0" equalAverage="0" bottom="0" percent="0" rank="0" text="" dxfId="2">
      <formula>AND(ISNUMBER(G106),G106&lt;0)</formula>
    </cfRule>
  </conditionalFormatting>
  <conditionalFormatting sqref="G107 I107 K107 M107">
    <cfRule type="expression" priority="54" aboveAverage="0" equalAverage="0" bottom="0" percent="0" rank="0" text="" dxfId="0">
      <formula>AND(ISNUMBER(G107),G107&gt;0)</formula>
    </cfRule>
    <cfRule type="expression" priority="55" aboveAverage="0" equalAverage="0" bottom="0" percent="0" rank="0" text="" dxfId="2">
      <formula>AND(ISNUMBER(G107),G107&lt;0)</formula>
    </cfRule>
  </conditionalFormatting>
  <conditionalFormatting sqref="G108 I108 K108 M108">
    <cfRule type="expression" priority="56" aboveAverage="0" equalAverage="0" bottom="0" percent="0" rank="0" text="" dxfId="0">
      <formula>AND(ISNUMBER(G108),G108&gt;0)</formula>
    </cfRule>
    <cfRule type="expression" priority="57" aboveAverage="0" equalAverage="0" bottom="0" percent="0" rank="0" text="" dxfId="2">
      <formula>AND(ISNUMBER(G108),G108&lt;0)</formula>
    </cfRule>
  </conditionalFormatting>
  <conditionalFormatting sqref="G109 I109 K109 M109">
    <cfRule type="expression" priority="58" aboveAverage="0" equalAverage="0" bottom="0" percent="0" rank="0" text="" dxfId="0">
      <formula>AND(ISNUMBER(G109),G109&gt;0)</formula>
    </cfRule>
    <cfRule type="expression" priority="59" aboveAverage="0" equalAverage="0" bottom="0" percent="0" rank="0" text="" dxfId="2">
      <formula>AND(ISNUMBER(G109),G109&lt;0)</formula>
    </cfRule>
  </conditionalFormatting>
  <conditionalFormatting sqref="G110 I110 K110 M110">
    <cfRule type="expression" priority="60" aboveAverage="0" equalAverage="0" bottom="0" percent="0" rank="0" text="" dxfId="0">
      <formula>AND(ISNUMBER(G110),G110&gt;0)</formula>
    </cfRule>
    <cfRule type="expression" priority="61" aboveAverage="0" equalAverage="0" bottom="0" percent="0" rank="0" text="" dxfId="2">
      <formula>AND(ISNUMBER(G110),G110&lt;0)</formula>
    </cfRule>
  </conditionalFormatting>
  <conditionalFormatting sqref="D65">
    <cfRule type="expression" priority="62" aboveAverage="0" equalAverage="0" bottom="0" percent="0" rank="0" text="" dxfId="0">
      <formula>AND(ISNUMBER(D65),ISNUMBER(D66),D65&gt;=D66)</formula>
    </cfRule>
    <cfRule type="expression" priority="63" aboveAverage="0" equalAverage="0" bottom="0" percent="0" rank="0" text="" dxfId="1">
      <formula>AND(ISNUMBER(D65),ISNUMBER(D66),D65&lt;D66)</formula>
    </cfRule>
  </conditionalFormatting>
  <conditionalFormatting sqref="F65">
    <cfRule type="expression" priority="64" aboveAverage="0" equalAverage="0" bottom="0" percent="0" rank="0" text="" dxfId="0">
      <formula>AND(ISNUMBER(F65),ISNUMBER(F66),F65&gt;=F66)</formula>
    </cfRule>
    <cfRule type="expression" priority="65" aboveAverage="0" equalAverage="0" bottom="0" percent="0" rank="0" text="" dxfId="1">
      <formula>AND(ISNUMBER(F65),ISNUMBER(F66),F65&lt;F66)</formula>
    </cfRule>
  </conditionalFormatting>
  <conditionalFormatting sqref="H65">
    <cfRule type="expression" priority="66" aboveAverage="0" equalAverage="0" bottom="0" percent="0" rank="0" text="" dxfId="0">
      <formula>AND(ISNUMBER(H65),ISNUMBER(H66),H65&gt;=H66)</formula>
    </cfRule>
    <cfRule type="expression" priority="67" aboveAverage="0" equalAverage="0" bottom="0" percent="0" rank="0" text="" dxfId="1">
      <formula>AND(ISNUMBER(H65),ISNUMBER(H66),H65&lt;H66)</formula>
    </cfRule>
  </conditionalFormatting>
  <conditionalFormatting sqref="J65">
    <cfRule type="expression" priority="68" aboveAverage="0" equalAverage="0" bottom="0" percent="0" rank="0" text="" dxfId="0">
      <formula>AND(ISNUMBER(J65),ISNUMBER(J66),J65&gt;=J66)</formula>
    </cfRule>
    <cfRule type="expression" priority="69" aboveAverage="0" equalAverage="0" bottom="0" percent="0" rank="0" text="" dxfId="1">
      <formula>AND(ISNUMBER(J65),ISNUMBER(J66),J65&lt;J66)</formula>
    </cfRule>
  </conditionalFormatting>
  <conditionalFormatting sqref="L65">
    <cfRule type="expression" priority="70" aboveAverage="0" equalAverage="0" bottom="0" percent="0" rank="0" text="" dxfId="0">
      <formula>AND(ISNUMBER(L65),ISNUMBER(L66),L65&gt;=L66)</formula>
    </cfRule>
    <cfRule type="expression" priority="71" aboveAverage="0" equalAverage="0" bottom="0" percent="0" rank="0" text="" dxfId="1">
      <formula>AND(ISNUMBER(L65),ISNUMBER(L66),L65&lt;L66)</formula>
    </cfRule>
  </conditionalFormatting>
  <conditionalFormatting sqref="D67">
    <cfRule type="expression" priority="72" aboveAverage="0" equalAverage="0" bottom="0" percent="0" rank="0" text="" dxfId="0">
      <formula>AND(ISNUMBER(D67),ISNUMBER(D68),D67&gt;=D68)</formula>
    </cfRule>
    <cfRule type="expression" priority="73" aboveAverage="0" equalAverage="0" bottom="0" percent="0" rank="0" text="" dxfId="1">
      <formula>AND(ISNUMBER(D67),ISNUMBER(D68),D67&lt;D68)</formula>
    </cfRule>
  </conditionalFormatting>
  <conditionalFormatting sqref="F67">
    <cfRule type="expression" priority="74" aboveAverage="0" equalAverage="0" bottom="0" percent="0" rank="0" text="" dxfId="0">
      <formula>AND(ISNUMBER(F67),ISNUMBER(F68),F67&gt;=F68)</formula>
    </cfRule>
    <cfRule type="expression" priority="75" aboveAverage="0" equalAverage="0" bottom="0" percent="0" rank="0" text="" dxfId="1">
      <formula>AND(ISNUMBER(F67),ISNUMBER(F68),F67&lt;F68)</formula>
    </cfRule>
  </conditionalFormatting>
  <conditionalFormatting sqref="H67">
    <cfRule type="expression" priority="76" aboveAverage="0" equalAverage="0" bottom="0" percent="0" rank="0" text="" dxfId="0">
      <formula>AND(ISNUMBER(H67),ISNUMBER(H68),H67&gt;=H68)</formula>
    </cfRule>
    <cfRule type="expression" priority="77" aboveAverage="0" equalAverage="0" bottom="0" percent="0" rank="0" text="" dxfId="1">
      <formula>AND(ISNUMBER(H67),ISNUMBER(H68),H67&lt;H68)</formula>
    </cfRule>
  </conditionalFormatting>
  <conditionalFormatting sqref="J67">
    <cfRule type="expression" priority="78" aboveAverage="0" equalAverage="0" bottom="0" percent="0" rank="0" text="" dxfId="0">
      <formula>AND(ISNUMBER(J67),ISNUMBER(J68),J67&gt;=J68)</formula>
    </cfRule>
    <cfRule type="expression" priority="79" aboveAverage="0" equalAverage="0" bottom="0" percent="0" rank="0" text="" dxfId="1">
      <formula>AND(ISNUMBER(J67),ISNUMBER(J68),J67&lt;J68)</formula>
    </cfRule>
  </conditionalFormatting>
  <conditionalFormatting sqref="L67">
    <cfRule type="expression" priority="80" aboveAverage="0" equalAverage="0" bottom="0" percent="0" rank="0" text="" dxfId="0">
      <formula>AND(ISNUMBER(L67),ISNUMBER(L68),L67&gt;=L68)</formula>
    </cfRule>
    <cfRule type="expression" priority="81" aboveAverage="0" equalAverage="0" bottom="0" percent="0" rank="0" text="" dxfId="1">
      <formula>AND(ISNUMBER(L67),ISNUMBER(L68),L67&lt;L68)</formula>
    </cfRule>
  </conditionalFormatting>
  <conditionalFormatting sqref="D69">
    <cfRule type="expression" priority="82" aboveAverage="0" equalAverage="0" bottom="0" percent="0" rank="0" text="" dxfId="0">
      <formula>AND(ISNUMBER(D69),ISNUMBER(D70),D69&gt;=D70)</formula>
    </cfRule>
    <cfRule type="expression" priority="83" aboveAverage="0" equalAverage="0" bottom="0" percent="0" rank="0" text="" dxfId="1">
      <formula>AND(ISNUMBER(D69),ISNUMBER(D70),D69&lt;D70)</formula>
    </cfRule>
  </conditionalFormatting>
  <conditionalFormatting sqref="F69">
    <cfRule type="expression" priority="84" aboveAverage="0" equalAverage="0" bottom="0" percent="0" rank="0" text="" dxfId="0">
      <formula>AND(ISNUMBER(F69),ISNUMBER(F70),F69&gt;=F70)</formula>
    </cfRule>
    <cfRule type="expression" priority="85" aboveAverage="0" equalAverage="0" bottom="0" percent="0" rank="0" text="" dxfId="1">
      <formula>AND(ISNUMBER(F69),ISNUMBER(F70),F69&lt;F70)</formula>
    </cfRule>
  </conditionalFormatting>
  <conditionalFormatting sqref="H69">
    <cfRule type="expression" priority="86" aboveAverage="0" equalAverage="0" bottom="0" percent="0" rank="0" text="" dxfId="0">
      <formula>AND(ISNUMBER(H69),ISNUMBER(H70),H69&gt;=H70)</formula>
    </cfRule>
    <cfRule type="expression" priority="87" aboveAverage="0" equalAverage="0" bottom="0" percent="0" rank="0" text="" dxfId="1">
      <formula>AND(ISNUMBER(H69),ISNUMBER(H70),H69&lt;H70)</formula>
    </cfRule>
  </conditionalFormatting>
  <conditionalFormatting sqref="J69">
    <cfRule type="expression" priority="88" aboveAverage="0" equalAverage="0" bottom="0" percent="0" rank="0" text="" dxfId="0">
      <formula>AND(ISNUMBER(J69),ISNUMBER(J70),J69&gt;=J70)</formula>
    </cfRule>
    <cfRule type="expression" priority="89" aboveAverage="0" equalAverage="0" bottom="0" percent="0" rank="0" text="" dxfId="1">
      <formula>AND(ISNUMBER(J69),ISNUMBER(J70),J69&lt;J70)</formula>
    </cfRule>
  </conditionalFormatting>
  <conditionalFormatting sqref="L69">
    <cfRule type="expression" priority="90" aboveAverage="0" equalAverage="0" bottom="0" percent="0" rank="0" text="" dxfId="0">
      <formula>AND(ISNUMBER(L69),ISNUMBER(L70),L69&gt;=L70)</formula>
    </cfRule>
    <cfRule type="expression" priority="91" aboveAverage="0" equalAverage="0" bottom="0" percent="0" rank="0" text="" dxfId="1">
      <formula>AND(ISNUMBER(L69),ISNUMBER(L70),L69&lt;L70)</formula>
    </cfRule>
  </conditionalFormatting>
  <conditionalFormatting sqref="D74">
    <cfRule type="expression" priority="92" aboveAverage="0" equalAverage="0" bottom="0" percent="0" rank="0" text="" dxfId="0">
      <formula>AND(ISNUMBER(D74),ISNUMBER(D75),D74&gt;=D75)</formula>
    </cfRule>
    <cfRule type="expression" priority="93" aboveAverage="0" equalAverage="0" bottom="0" percent="0" rank="0" text="" dxfId="1">
      <formula>AND(ISNUMBER(D74),ISNUMBER(D75),D74&lt;D75)</formula>
    </cfRule>
  </conditionalFormatting>
  <conditionalFormatting sqref="F74">
    <cfRule type="expression" priority="94" aboveAverage="0" equalAverage="0" bottom="0" percent="0" rank="0" text="" dxfId="0">
      <formula>AND(ISNUMBER(F74),ISNUMBER(F75),F74&gt;=F75)</formula>
    </cfRule>
    <cfRule type="expression" priority="95" aboveAverage="0" equalAverage="0" bottom="0" percent="0" rank="0" text="" dxfId="1">
      <formula>AND(ISNUMBER(F74),ISNUMBER(F75),F74&lt;F75)</formula>
    </cfRule>
  </conditionalFormatting>
  <conditionalFormatting sqref="H74">
    <cfRule type="expression" priority="96" aboveAverage="0" equalAverage="0" bottom="0" percent="0" rank="0" text="" dxfId="0">
      <formula>AND(ISNUMBER(H74),ISNUMBER(H75),H74&gt;=H75)</formula>
    </cfRule>
    <cfRule type="expression" priority="97" aboveAverage="0" equalAverage="0" bottom="0" percent="0" rank="0" text="" dxfId="1">
      <formula>AND(ISNUMBER(H74),ISNUMBER(H75),H74&lt;H75)</formula>
    </cfRule>
  </conditionalFormatting>
  <conditionalFormatting sqref="J74">
    <cfRule type="expression" priority="98" aboveAverage="0" equalAverage="0" bottom="0" percent="0" rank="0" text="" dxfId="0">
      <formula>AND(ISNUMBER(J74),ISNUMBER(J75),J74&gt;=J75)</formula>
    </cfRule>
    <cfRule type="expression" priority="99" aboveAverage="0" equalAverage="0" bottom="0" percent="0" rank="0" text="" dxfId="1">
      <formula>AND(ISNUMBER(J74),ISNUMBER(J75),J74&lt;J75)</formula>
    </cfRule>
  </conditionalFormatting>
  <conditionalFormatting sqref="L74">
    <cfRule type="expression" priority="100" aboveAverage="0" equalAverage="0" bottom="0" percent="0" rank="0" text="" dxfId="0">
      <formula>AND(ISNUMBER(L74),ISNUMBER(L75),L74&gt;=L75)</formula>
    </cfRule>
    <cfRule type="expression" priority="101" aboveAverage="0" equalAverage="0" bottom="0" percent="0" rank="0" text="" dxfId="1">
      <formula>AND(ISNUMBER(L74),ISNUMBER(L75),L74&lt;L75)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K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7" t="s">
        <v>1164</v>
      </c>
    </row>
    <row r="2" customFormat="false" ht="15" hidden="false" customHeight="false" outlineLevel="0" collapsed="false">
      <c r="A2" s="3" t="s">
        <v>1165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1127</v>
      </c>
      <c r="B5" s="12" t="s">
        <v>95</v>
      </c>
      <c r="C5" s="12" t="s">
        <v>1096</v>
      </c>
      <c r="D5" s="12" t="s">
        <v>927</v>
      </c>
      <c r="E5" s="12" t="s">
        <v>1096</v>
      </c>
      <c r="F5" s="12" t="s">
        <v>928</v>
      </c>
      <c r="G5" s="12" t="s">
        <v>1096</v>
      </c>
      <c r="H5" s="12" t="s">
        <v>929</v>
      </c>
      <c r="I5" s="12" t="s">
        <v>1096</v>
      </c>
      <c r="J5" s="12" t="s">
        <v>930</v>
      </c>
      <c r="K5" s="12" t="s">
        <v>1096</v>
      </c>
    </row>
    <row r="6" customFormat="false" ht="15" hidden="false" customHeight="false" outlineLevel="0" collapsed="false">
      <c r="A6" s="74" t="s">
        <v>1166</v>
      </c>
      <c r="B6" s="19" t="n">
        <v>80</v>
      </c>
      <c r="D6" s="19" t="n">
        <v>79</v>
      </c>
      <c r="E6" s="67" t="n">
        <f aca="false">IF(AND(ISNUMBER(D6),ISNUMBER(B6)),D6-B6,"")</f>
        <v>-1</v>
      </c>
      <c r="F6" s="19" t="n">
        <v>76</v>
      </c>
      <c r="G6" s="67" t="n">
        <f aca="false">IF(AND(ISNUMBER(F6),ISNUMBER(D6)),F6-D6,"")</f>
        <v>-3</v>
      </c>
      <c r="H6" s="19"/>
      <c r="I6" s="67" t="str">
        <f aca="false">IF(AND(ISNUMBER(H6),ISNUMBER(F6)),H6-F6,"")</f>
        <v/>
      </c>
      <c r="J6" s="19"/>
      <c r="K6" s="67" t="str">
        <f aca="false">IF(AND(ISNUMBER(J6),ISNUMBER(H6)),J6-H6,"")</f>
        <v/>
      </c>
    </row>
    <row r="7" customFormat="false" ht="15" hidden="false" customHeight="false" outlineLevel="0" collapsed="false">
      <c r="A7" s="74" t="s">
        <v>1167</v>
      </c>
      <c r="B7" s="19" t="n">
        <v>72</v>
      </c>
      <c r="D7" s="19" t="n">
        <v>73</v>
      </c>
      <c r="E7" s="67" t="n">
        <f aca="false">IF(AND(ISNUMBER(D7),ISNUMBER(B7)),D7-B7,"")</f>
        <v>1</v>
      </c>
      <c r="F7" s="19" t="n">
        <v>76</v>
      </c>
      <c r="G7" s="67" t="n">
        <f aca="false">IF(AND(ISNUMBER(F7),ISNUMBER(D7)),F7-D7,"")</f>
        <v>3</v>
      </c>
      <c r="H7" s="19"/>
      <c r="I7" s="67" t="str">
        <f aca="false">IF(AND(ISNUMBER(H7),ISNUMBER(F7)),H7-F7,"")</f>
        <v/>
      </c>
      <c r="J7" s="19"/>
      <c r="K7" s="67" t="str">
        <f aca="false">IF(AND(ISNUMBER(J7),ISNUMBER(H7)),J7-H7,"")</f>
        <v/>
      </c>
    </row>
    <row r="8" customFormat="false" ht="15" hidden="false" customHeight="false" outlineLevel="0" collapsed="false">
      <c r="A8" s="4" t="s">
        <v>1168</v>
      </c>
      <c r="B8" s="75" t="n">
        <v>78</v>
      </c>
      <c r="D8" s="75" t="n">
        <v>84</v>
      </c>
      <c r="E8" s="67" t="n">
        <f aca="false">IF(AND(ISNUMBER(D8),ISNUMBER(B8)),D8-B8,"")</f>
        <v>6</v>
      </c>
      <c r="F8" s="75" t="n">
        <v>89</v>
      </c>
      <c r="G8" s="67" t="n">
        <f aca="false">IF(AND(ISNUMBER(F8),ISNUMBER(D8)),F8-D8,"")</f>
        <v>5</v>
      </c>
      <c r="H8" s="75"/>
      <c r="I8" s="67" t="str">
        <f aca="false">IF(AND(ISNUMBER(H8),ISNUMBER(F8)),H8-F8,"")</f>
        <v/>
      </c>
      <c r="J8" s="75"/>
      <c r="K8" s="67" t="str">
        <f aca="false">IF(AND(ISNUMBER(J8),ISNUMBER(H8)),J8-H8,"")</f>
        <v/>
      </c>
    </row>
    <row r="9" customFormat="false" ht="15" hidden="false" customHeight="false" outlineLevel="0" collapsed="false">
      <c r="A9" s="74" t="s">
        <v>1169</v>
      </c>
      <c r="B9" s="19" t="n">
        <v>85</v>
      </c>
      <c r="D9" s="19" t="n">
        <v>86</v>
      </c>
      <c r="E9" s="67" t="n">
        <f aca="false">IF(AND(ISNUMBER(D9),ISNUMBER(B9)),D9-B9,"")</f>
        <v>1</v>
      </c>
      <c r="F9" s="19" t="n">
        <v>85</v>
      </c>
      <c r="G9" s="67" t="n">
        <f aca="false">IF(AND(ISNUMBER(F9),ISNUMBER(D9)),F9-D9,"")</f>
        <v>-1</v>
      </c>
      <c r="H9" s="19"/>
      <c r="I9" s="67" t="str">
        <f aca="false">IF(AND(ISNUMBER(H9),ISNUMBER(F9)),H9-F9,"")</f>
        <v/>
      </c>
      <c r="J9" s="19"/>
      <c r="K9" s="67" t="str">
        <f aca="false">IF(AND(ISNUMBER(J9),ISNUMBER(H9)),J9-H9,"")</f>
        <v/>
      </c>
    </row>
    <row r="10" customFormat="false" ht="15" hidden="false" customHeight="false" outlineLevel="0" collapsed="false">
      <c r="A10" s="74" t="s">
        <v>1170</v>
      </c>
      <c r="B10" s="19" t="n">
        <v>70</v>
      </c>
      <c r="D10" s="19" t="n">
        <v>72</v>
      </c>
      <c r="E10" s="67" t="n">
        <f aca="false">IF(AND(ISNUMBER(D10),ISNUMBER(B10)),D10-B10,"")</f>
        <v>2</v>
      </c>
      <c r="F10" s="19" t="n">
        <v>64</v>
      </c>
      <c r="G10" s="67" t="n">
        <f aca="false">IF(AND(ISNUMBER(F10),ISNUMBER(D10)),F10-D10,"")</f>
        <v>-8</v>
      </c>
      <c r="H10" s="19"/>
      <c r="I10" s="67" t="str">
        <f aca="false">IF(AND(ISNUMBER(H10),ISNUMBER(F10)),H10-F10,"")</f>
        <v/>
      </c>
      <c r="J10" s="19"/>
      <c r="K10" s="67" t="str">
        <f aca="false">IF(AND(ISNUMBER(J10),ISNUMBER(H10)),J10-H10,"")</f>
        <v/>
      </c>
    </row>
    <row r="11" customFormat="false" ht="15" hidden="false" customHeight="false" outlineLevel="0" collapsed="false">
      <c r="A11" s="74" t="s">
        <v>1171</v>
      </c>
      <c r="B11" s="19" t="n">
        <v>75</v>
      </c>
      <c r="D11" s="19" t="n">
        <v>75</v>
      </c>
      <c r="E11" s="67" t="n">
        <f aca="false">IF(AND(ISNUMBER(D11),ISNUMBER(B11)),D11-B11,"")</f>
        <v>0</v>
      </c>
      <c r="F11" s="19" t="n">
        <v>81</v>
      </c>
      <c r="G11" s="67" t="n">
        <f aca="false">IF(AND(ISNUMBER(F11),ISNUMBER(D11)),F11-D11,"")</f>
        <v>6</v>
      </c>
      <c r="H11" s="19"/>
      <c r="I11" s="67" t="str">
        <f aca="false">IF(AND(ISNUMBER(H11),ISNUMBER(F11)),H11-F11,"")</f>
        <v/>
      </c>
      <c r="J11" s="19"/>
      <c r="K11" s="67" t="str">
        <f aca="false">IF(AND(ISNUMBER(J11),ISNUMBER(H11)),J11-H11,"")</f>
        <v/>
      </c>
    </row>
    <row r="12" customFormat="false" ht="15" hidden="false" customHeight="false" outlineLevel="0" collapsed="false">
      <c r="A12" s="74" t="s">
        <v>1172</v>
      </c>
      <c r="B12" s="19" t="n">
        <v>82</v>
      </c>
      <c r="D12" s="19" t="n">
        <v>86</v>
      </c>
      <c r="E12" s="67" t="n">
        <f aca="false">IF(AND(ISNUMBER(D12),ISNUMBER(B12)),D12-B12,"")</f>
        <v>4</v>
      </c>
      <c r="F12" s="19" t="n">
        <v>92</v>
      </c>
      <c r="G12" s="67" t="n">
        <f aca="false">IF(AND(ISNUMBER(F12),ISNUMBER(D12)),F12-D12,"")</f>
        <v>6</v>
      </c>
      <c r="H12" s="19"/>
      <c r="I12" s="67" t="str">
        <f aca="false">IF(AND(ISNUMBER(H12),ISNUMBER(F12)),H12-F12,"")</f>
        <v/>
      </c>
      <c r="J12" s="19"/>
      <c r="K12" s="67" t="str">
        <f aca="false">IF(AND(ISNUMBER(J12),ISNUMBER(H12)),J12-H12,"")</f>
        <v/>
      </c>
    </row>
    <row r="13" customFormat="false" ht="15" hidden="false" customHeight="false" outlineLevel="0" collapsed="false">
      <c r="A13" s="74" t="s">
        <v>1173</v>
      </c>
      <c r="B13" s="19" t="n">
        <v>68</v>
      </c>
      <c r="D13" s="19" t="n">
        <v>71</v>
      </c>
      <c r="E13" s="67" t="n">
        <f aca="false">IF(AND(ISNUMBER(D13),ISNUMBER(B13)),D13-B13,"")</f>
        <v>3</v>
      </c>
      <c r="F13" s="19" t="n">
        <v>68</v>
      </c>
      <c r="G13" s="67" t="n">
        <f aca="false">IF(AND(ISNUMBER(F13),ISNUMBER(D13)),F13-D13,"")</f>
        <v>-3</v>
      </c>
      <c r="H13" s="19"/>
      <c r="I13" s="67" t="str">
        <f aca="false">IF(AND(ISNUMBER(H13),ISNUMBER(F13)),H13-F13,"")</f>
        <v/>
      </c>
      <c r="J13" s="19"/>
      <c r="K13" s="67" t="str">
        <f aca="false">IF(AND(ISNUMBER(J13),ISNUMBER(H13)),J13-H13,"")</f>
        <v/>
      </c>
    </row>
    <row r="14" customFormat="false" ht="15" hidden="false" customHeight="false" outlineLevel="0" collapsed="false">
      <c r="A14" s="5" t="s">
        <v>1174</v>
      </c>
      <c r="B14" s="26" t="n">
        <f aca="false">IF(COUNT(B6:B13)=0,"",AVERAGE(B6:B13))</f>
        <v>76.25</v>
      </c>
      <c r="D14" s="26" t="n">
        <f aca="false">IF(COUNT(D6:D13)=0,"",AVERAGE(D6:D13))</f>
        <v>78.25</v>
      </c>
      <c r="F14" s="26" t="n">
        <f aca="false">IF(COUNT(F6:F13)=0,"",AVERAGE(F6:F13))</f>
        <v>78.875</v>
      </c>
      <c r="H14" s="26" t="str">
        <f aca="false">IF(COUNT(H6:H13)=0,"",AVERAGE(H6:H13))</f>
        <v/>
      </c>
      <c r="J14" s="26" t="str">
        <f aca="false">IF(COUNT(J6:J13)=0,"",AVERAGE(J6:J13))</f>
        <v/>
      </c>
    </row>
    <row r="15" customFormat="false" ht="15" hidden="false" customHeight="false" outlineLevel="0" collapsed="false">
      <c r="A15" s="20" t="s">
        <v>1175</v>
      </c>
      <c r="B15" s="57" t="n">
        <f aca="false">IF(ISNUMBER(B8),RANK(B8,B6:B13,0),"")</f>
        <v>4</v>
      </c>
      <c r="D15" s="57" t="n">
        <f aca="false">IF(ISNUMBER(D8),RANK(D8,D6:D13,0),"")</f>
        <v>3</v>
      </c>
      <c r="E15" s="67" t="n">
        <f aca="false">IF(AND(ISNUMBER(D15),ISNUMBER(B15)),D15-B15,"")</f>
        <v>-1</v>
      </c>
      <c r="F15" s="57" t="n">
        <f aca="false">IF(ISNUMBER(F8),RANK(F8,F6:F13,0),"")</f>
        <v>2</v>
      </c>
      <c r="G15" s="67" t="n">
        <f aca="false">IF(AND(ISNUMBER(F15),ISNUMBER(D15)),F15-D15,"")</f>
        <v>-1</v>
      </c>
      <c r="H15" s="57" t="str">
        <f aca="false">IF(ISNUMBER(H8),RANK(H8,H6:H13,0),"")</f>
        <v/>
      </c>
      <c r="I15" s="67" t="str">
        <f aca="false">IF(AND(ISNUMBER(H15),ISNUMBER(F15)),H15-F15,"")</f>
        <v/>
      </c>
      <c r="J15" s="57" t="str">
        <f aca="false">IF(ISNUMBER(J8),RANK(J8,J6:J13,0),"")</f>
        <v/>
      </c>
      <c r="K15" s="67" t="str">
        <f aca="false">IF(AND(ISNUMBER(J15),ISNUMBER(H15)),J15-H15,"")</f>
        <v/>
      </c>
    </row>
    <row r="17" customFormat="false" ht="30" hidden="false" customHeight="true" outlineLevel="0" collapsed="false">
      <c r="A17" s="12" t="s">
        <v>368</v>
      </c>
      <c r="B17" s="12" t="s">
        <v>95</v>
      </c>
      <c r="C17" s="12" t="s">
        <v>1096</v>
      </c>
      <c r="D17" s="12" t="s">
        <v>927</v>
      </c>
      <c r="E17" s="12" t="s">
        <v>1096</v>
      </c>
      <c r="F17" s="12" t="s">
        <v>928</v>
      </c>
      <c r="G17" s="12" t="s">
        <v>1096</v>
      </c>
      <c r="H17" s="12" t="s">
        <v>929</v>
      </c>
      <c r="I17" s="12" t="s">
        <v>1096</v>
      </c>
      <c r="J17" s="12" t="s">
        <v>930</v>
      </c>
      <c r="K17" s="12" t="s">
        <v>1096</v>
      </c>
    </row>
    <row r="18" customFormat="false" ht="15" hidden="false" customHeight="false" outlineLevel="0" collapsed="false">
      <c r="A18" s="74" t="s">
        <v>1166</v>
      </c>
      <c r="B18" s="19" t="n">
        <v>3</v>
      </c>
      <c r="D18" s="19" t="n">
        <v>4</v>
      </c>
      <c r="E18" s="67" t="n">
        <f aca="false">IF(AND(ISNUMBER(D18),ISNUMBER(B18)),D18-B18,"")</f>
        <v>1</v>
      </c>
      <c r="F18" s="19" t="n">
        <v>5</v>
      </c>
      <c r="G18" s="67" t="n">
        <f aca="false">IF(AND(ISNUMBER(F18),ISNUMBER(D18)),F18-D18,"")</f>
        <v>1</v>
      </c>
      <c r="H18" s="19"/>
      <c r="I18" s="67" t="str">
        <f aca="false">IF(AND(ISNUMBER(H18),ISNUMBER(F18)),H18-F18,"")</f>
        <v/>
      </c>
      <c r="J18" s="19"/>
      <c r="K18" s="67" t="str">
        <f aca="false">IF(AND(ISNUMBER(J18),ISNUMBER(H18)),J18-H18,"")</f>
        <v/>
      </c>
    </row>
    <row r="19" customFormat="false" ht="15" hidden="false" customHeight="false" outlineLevel="0" collapsed="false">
      <c r="A19" s="74" t="s">
        <v>1167</v>
      </c>
      <c r="B19" s="19" t="n">
        <v>6</v>
      </c>
      <c r="D19" s="19" t="n">
        <v>6</v>
      </c>
      <c r="E19" s="67" t="n">
        <f aca="false">IF(AND(ISNUMBER(D19),ISNUMBER(B19)),D19-B19,"")</f>
        <v>0</v>
      </c>
      <c r="F19" s="19" t="n">
        <v>6</v>
      </c>
      <c r="G19" s="67" t="n">
        <f aca="false">IF(AND(ISNUMBER(F19),ISNUMBER(D19)),F19-D19,"")</f>
        <v>0</v>
      </c>
      <c r="H19" s="19"/>
      <c r="I19" s="67" t="str">
        <f aca="false">IF(AND(ISNUMBER(H19),ISNUMBER(F19)),H19-F19,"")</f>
        <v/>
      </c>
      <c r="J19" s="19"/>
      <c r="K19" s="67" t="str">
        <f aca="false">IF(AND(ISNUMBER(J19),ISNUMBER(H19)),J19-H19,"")</f>
        <v/>
      </c>
    </row>
    <row r="20" customFormat="false" ht="15" hidden="false" customHeight="false" outlineLevel="0" collapsed="false">
      <c r="A20" s="4" t="s">
        <v>1168</v>
      </c>
      <c r="B20" s="75" t="n">
        <v>4</v>
      </c>
      <c r="D20" s="75" t="n">
        <v>3</v>
      </c>
      <c r="E20" s="67" t="n">
        <f aca="false">IF(AND(ISNUMBER(D20),ISNUMBER(B20)),D20-B20,"")</f>
        <v>-1</v>
      </c>
      <c r="F20" s="75" t="n">
        <v>2</v>
      </c>
      <c r="G20" s="67" t="n">
        <f aca="false">IF(AND(ISNUMBER(F20),ISNUMBER(D20)),F20-D20,"")</f>
        <v>-1</v>
      </c>
      <c r="H20" s="75"/>
      <c r="I20" s="67" t="str">
        <f aca="false">IF(AND(ISNUMBER(H20),ISNUMBER(F20)),H20-F20,"")</f>
        <v/>
      </c>
      <c r="J20" s="75"/>
      <c r="K20" s="67" t="str">
        <f aca="false">IF(AND(ISNUMBER(J20),ISNUMBER(H20)),J20-H20,"")</f>
        <v/>
      </c>
    </row>
    <row r="21" customFormat="false" ht="15" hidden="false" customHeight="false" outlineLevel="0" collapsed="false">
      <c r="A21" s="74" t="s">
        <v>1169</v>
      </c>
      <c r="B21" s="19" t="n">
        <v>1</v>
      </c>
      <c r="D21" s="19" t="n">
        <v>1</v>
      </c>
      <c r="E21" s="67" t="n">
        <f aca="false">IF(AND(ISNUMBER(D21),ISNUMBER(B21)),D21-B21,"")</f>
        <v>0</v>
      </c>
      <c r="F21" s="19" t="n">
        <v>3</v>
      </c>
      <c r="G21" s="67" t="n">
        <f aca="false">IF(AND(ISNUMBER(F21),ISNUMBER(D21)),F21-D21,"")</f>
        <v>2</v>
      </c>
      <c r="H21" s="19"/>
      <c r="I21" s="67" t="str">
        <f aca="false">IF(AND(ISNUMBER(H21),ISNUMBER(F21)),H21-F21,"")</f>
        <v/>
      </c>
      <c r="J21" s="19"/>
      <c r="K21" s="67" t="str">
        <f aca="false">IF(AND(ISNUMBER(J21),ISNUMBER(H21)),J21-H21,"")</f>
        <v/>
      </c>
    </row>
    <row r="22" customFormat="false" ht="15" hidden="false" customHeight="false" outlineLevel="0" collapsed="false">
      <c r="A22" s="74" t="s">
        <v>1170</v>
      </c>
      <c r="B22" s="19" t="n">
        <v>7</v>
      </c>
      <c r="D22" s="19" t="n">
        <v>7</v>
      </c>
      <c r="E22" s="67" t="n">
        <f aca="false">IF(AND(ISNUMBER(D22),ISNUMBER(B22)),D22-B22,"")</f>
        <v>0</v>
      </c>
      <c r="F22" s="19" t="n">
        <v>8</v>
      </c>
      <c r="G22" s="67" t="n">
        <f aca="false">IF(AND(ISNUMBER(F22),ISNUMBER(D22)),F22-D22,"")</f>
        <v>1</v>
      </c>
      <c r="H22" s="19"/>
      <c r="I22" s="67" t="str">
        <f aca="false">IF(AND(ISNUMBER(H22),ISNUMBER(F22)),H22-F22,"")</f>
        <v/>
      </c>
      <c r="J22" s="19"/>
      <c r="K22" s="67" t="str">
        <f aca="false">IF(AND(ISNUMBER(J22),ISNUMBER(H22)),J22-H22,"")</f>
        <v/>
      </c>
    </row>
    <row r="23" customFormat="false" ht="15" hidden="false" customHeight="false" outlineLevel="0" collapsed="false">
      <c r="A23" s="74" t="s">
        <v>1171</v>
      </c>
      <c r="B23" s="19" t="n">
        <v>5</v>
      </c>
      <c r="D23" s="19" t="n">
        <v>5</v>
      </c>
      <c r="E23" s="67" t="n">
        <f aca="false">IF(AND(ISNUMBER(D23),ISNUMBER(B23)),D23-B23,"")</f>
        <v>0</v>
      </c>
      <c r="F23" s="19" t="n">
        <v>4</v>
      </c>
      <c r="G23" s="67" t="n">
        <f aca="false">IF(AND(ISNUMBER(F23),ISNUMBER(D23)),F23-D23,"")</f>
        <v>-1</v>
      </c>
      <c r="H23" s="19"/>
      <c r="I23" s="67" t="str">
        <f aca="false">IF(AND(ISNUMBER(H23),ISNUMBER(F23)),H23-F23,"")</f>
        <v/>
      </c>
      <c r="J23" s="19"/>
      <c r="K23" s="67" t="str">
        <f aca="false">IF(AND(ISNUMBER(J23),ISNUMBER(H23)),J23-H23,"")</f>
        <v/>
      </c>
    </row>
    <row r="24" customFormat="false" ht="15" hidden="false" customHeight="false" outlineLevel="0" collapsed="false">
      <c r="A24" s="74" t="s">
        <v>1172</v>
      </c>
      <c r="B24" s="19" t="n">
        <v>2</v>
      </c>
      <c r="D24" s="19" t="n">
        <v>2</v>
      </c>
      <c r="E24" s="67" t="n">
        <f aca="false">IF(AND(ISNUMBER(D24),ISNUMBER(B24)),D24-B24,"")</f>
        <v>0</v>
      </c>
      <c r="F24" s="19" t="n">
        <v>1</v>
      </c>
      <c r="G24" s="67" t="n">
        <f aca="false">IF(AND(ISNUMBER(F24),ISNUMBER(D24)),F24-D24,"")</f>
        <v>-1</v>
      </c>
      <c r="H24" s="19"/>
      <c r="I24" s="67" t="str">
        <f aca="false">IF(AND(ISNUMBER(H24),ISNUMBER(F24)),H24-F24,"")</f>
        <v/>
      </c>
      <c r="J24" s="19"/>
      <c r="K24" s="67" t="str">
        <f aca="false">IF(AND(ISNUMBER(J24),ISNUMBER(H24)),J24-H24,"")</f>
        <v/>
      </c>
    </row>
    <row r="25" customFormat="false" ht="15" hidden="false" customHeight="false" outlineLevel="0" collapsed="false">
      <c r="A25" s="74" t="s">
        <v>1173</v>
      </c>
      <c r="B25" s="19" t="n">
        <v>8</v>
      </c>
      <c r="D25" s="19" t="n">
        <v>8</v>
      </c>
      <c r="E25" s="67" t="n">
        <f aca="false">IF(AND(ISNUMBER(D25),ISNUMBER(B25)),D25-B25,"")</f>
        <v>0</v>
      </c>
      <c r="F25" s="19" t="n">
        <v>7</v>
      </c>
      <c r="G25" s="67" t="n">
        <f aca="false">IF(AND(ISNUMBER(F25),ISNUMBER(D25)),F25-D25,"")</f>
        <v>-1</v>
      </c>
      <c r="H25" s="19"/>
      <c r="I25" s="67" t="str">
        <f aca="false">IF(AND(ISNUMBER(H25),ISNUMBER(F25)),H25-F25,"")</f>
        <v/>
      </c>
      <c r="J25" s="19"/>
      <c r="K25" s="67" t="str">
        <f aca="false">IF(AND(ISNUMBER(J25),ISNUMBER(H25)),J25-H25,"")</f>
        <v/>
      </c>
    </row>
    <row r="26" customFormat="false" ht="15" hidden="false" customHeight="false" outlineLevel="0" collapsed="false">
      <c r="A26" s="5" t="s">
        <v>1174</v>
      </c>
      <c r="B26" s="26" t="n">
        <f aca="false">IF(COUNT(B18:B25)=0,"",AVERAGE(B18:B25))</f>
        <v>4.5</v>
      </c>
      <c r="D26" s="26" t="n">
        <f aca="false">IF(COUNT(D18:D25)=0,"",AVERAGE(D18:D25))</f>
        <v>4.5</v>
      </c>
      <c r="F26" s="26" t="n">
        <f aca="false">IF(COUNT(F18:F25)=0,"",AVERAGE(F18:F25))</f>
        <v>4.5</v>
      </c>
      <c r="H26" s="26" t="str">
        <f aca="false">IF(COUNT(H18:H25)=0,"",AVERAGE(H18:H25))</f>
        <v/>
      </c>
      <c r="J26" s="26" t="str">
        <f aca="false">IF(COUNT(J18:J25)=0,"",AVERAGE(J18:J25))</f>
        <v/>
      </c>
    </row>
    <row r="28" customFormat="false" ht="30" hidden="false" customHeight="true" outlineLevel="0" collapsed="false">
      <c r="A28" s="12" t="s">
        <v>1176</v>
      </c>
      <c r="B28" s="12" t="s">
        <v>95</v>
      </c>
      <c r="C28" s="12" t="s">
        <v>1096</v>
      </c>
      <c r="D28" s="12" t="s">
        <v>927</v>
      </c>
      <c r="E28" s="12" t="s">
        <v>1096</v>
      </c>
      <c r="F28" s="12" t="s">
        <v>928</v>
      </c>
      <c r="G28" s="12" t="s">
        <v>1096</v>
      </c>
      <c r="H28" s="12" t="s">
        <v>929</v>
      </c>
      <c r="I28" s="12" t="s">
        <v>1096</v>
      </c>
      <c r="J28" s="12" t="s">
        <v>930</v>
      </c>
      <c r="K28" s="12" t="s">
        <v>1096</v>
      </c>
    </row>
    <row r="29" customFormat="false" ht="15" hidden="false" customHeight="false" outlineLevel="0" collapsed="false">
      <c r="A29" s="74" t="s">
        <v>1166</v>
      </c>
      <c r="B29" s="72" t="n">
        <v>2.14</v>
      </c>
      <c r="D29" s="72" t="n">
        <v>2.09</v>
      </c>
      <c r="E29" s="73" t="n">
        <f aca="false">IF(AND(ISNUMBER(D29),ISNUMBER(B29)),D29-B29,"")</f>
        <v>-0.0500000000000003</v>
      </c>
      <c r="F29" s="72" t="n">
        <v>1.88</v>
      </c>
      <c r="G29" s="73" t="n">
        <f aca="false">IF(AND(ISNUMBER(F29),ISNUMBER(D29)),F29-D29,"")</f>
        <v>-0.21</v>
      </c>
      <c r="H29" s="72"/>
      <c r="I29" s="73" t="str">
        <f aca="false">IF(AND(ISNUMBER(H29),ISNUMBER(F29)),H29-F29,"")</f>
        <v/>
      </c>
      <c r="J29" s="72"/>
      <c r="K29" s="73" t="str">
        <f aca="false">IF(AND(ISNUMBER(J29),ISNUMBER(H29)),J29-H29,"")</f>
        <v/>
      </c>
    </row>
    <row r="30" customFormat="false" ht="15" hidden="false" customHeight="false" outlineLevel="0" collapsed="false">
      <c r="A30" s="74" t="s">
        <v>1167</v>
      </c>
      <c r="B30" s="72" t="n">
        <v>2.06</v>
      </c>
      <c r="D30" s="72" t="n">
        <v>2</v>
      </c>
      <c r="E30" s="73" t="n">
        <f aca="false">IF(AND(ISNUMBER(D30),ISNUMBER(B30)),D30-B30,"")</f>
        <v>-0.0600000000000001</v>
      </c>
      <c r="F30" s="72" t="n">
        <v>2.08</v>
      </c>
      <c r="G30" s="73" t="n">
        <f aca="false">IF(AND(ISNUMBER(F30),ISNUMBER(D30)),F30-D30,"")</f>
        <v>0.0800000000000001</v>
      </c>
      <c r="H30" s="72"/>
      <c r="I30" s="73" t="str">
        <f aca="false">IF(AND(ISNUMBER(H30),ISNUMBER(F30)),H30-F30,"")</f>
        <v/>
      </c>
      <c r="J30" s="72"/>
      <c r="K30" s="73" t="str">
        <f aca="false">IF(AND(ISNUMBER(J30),ISNUMBER(H30)),J30-H30,"")</f>
        <v/>
      </c>
    </row>
    <row r="31" customFormat="false" ht="15" hidden="false" customHeight="false" outlineLevel="0" collapsed="false">
      <c r="A31" s="4" t="s">
        <v>1168</v>
      </c>
      <c r="B31" s="76" t="n">
        <v>2.1</v>
      </c>
      <c r="D31" s="76" t="n">
        <v>2.14</v>
      </c>
      <c r="E31" s="73" t="n">
        <f aca="false">IF(AND(ISNUMBER(D31),ISNUMBER(B31)),D31-B31,"")</f>
        <v>0.04</v>
      </c>
      <c r="F31" s="76" t="n">
        <v>1.9</v>
      </c>
      <c r="G31" s="73" t="n">
        <f aca="false">IF(AND(ISNUMBER(F31),ISNUMBER(D31)),F31-D31,"")</f>
        <v>-0.24</v>
      </c>
      <c r="H31" s="76"/>
      <c r="I31" s="73" t="str">
        <f aca="false">IF(AND(ISNUMBER(H31),ISNUMBER(F31)),H31-F31,"")</f>
        <v/>
      </c>
      <c r="J31" s="76"/>
      <c r="K31" s="73" t="str">
        <f aca="false">IF(AND(ISNUMBER(J31),ISNUMBER(H31)),J31-H31,"")</f>
        <v/>
      </c>
    </row>
    <row r="32" customFormat="false" ht="15" hidden="false" customHeight="false" outlineLevel="0" collapsed="false">
      <c r="A32" s="74" t="s">
        <v>1169</v>
      </c>
      <c r="B32" s="72" t="n">
        <v>2.04</v>
      </c>
      <c r="D32" s="72" t="n">
        <v>2.36</v>
      </c>
      <c r="E32" s="73" t="n">
        <f aca="false">IF(AND(ISNUMBER(D32),ISNUMBER(B32)),D32-B32,"")</f>
        <v>0.32</v>
      </c>
      <c r="F32" s="72" t="n">
        <v>2.34</v>
      </c>
      <c r="G32" s="73" t="n">
        <f aca="false">IF(AND(ISNUMBER(F32),ISNUMBER(D32)),F32-D32,"")</f>
        <v>-0.02</v>
      </c>
      <c r="H32" s="72"/>
      <c r="I32" s="73" t="str">
        <f aca="false">IF(AND(ISNUMBER(H32),ISNUMBER(F32)),H32-F32,"")</f>
        <v/>
      </c>
      <c r="J32" s="72"/>
      <c r="K32" s="73" t="str">
        <f aca="false">IF(AND(ISNUMBER(J32),ISNUMBER(H32)),J32-H32,"")</f>
        <v/>
      </c>
    </row>
    <row r="33" customFormat="false" ht="15" hidden="false" customHeight="false" outlineLevel="0" collapsed="false">
      <c r="A33" s="74" t="s">
        <v>1170</v>
      </c>
      <c r="B33" s="72" t="n">
        <v>2.07</v>
      </c>
      <c r="D33" s="72" t="n">
        <v>2.21</v>
      </c>
      <c r="E33" s="73" t="n">
        <f aca="false">IF(AND(ISNUMBER(D33),ISNUMBER(B33)),D33-B33,"")</f>
        <v>0.14</v>
      </c>
      <c r="F33" s="72" t="n">
        <v>2.13</v>
      </c>
      <c r="G33" s="73" t="n">
        <f aca="false">IF(AND(ISNUMBER(F33),ISNUMBER(D33)),F33-D33,"")</f>
        <v>-0.0800000000000001</v>
      </c>
      <c r="H33" s="72"/>
      <c r="I33" s="73" t="str">
        <f aca="false">IF(AND(ISNUMBER(H33),ISNUMBER(F33)),H33-F33,"")</f>
        <v/>
      </c>
      <c r="J33" s="72"/>
      <c r="K33" s="73" t="str">
        <f aca="false">IF(AND(ISNUMBER(J33),ISNUMBER(H33)),J33-H33,"")</f>
        <v/>
      </c>
    </row>
    <row r="34" customFormat="false" ht="15" hidden="false" customHeight="false" outlineLevel="0" collapsed="false">
      <c r="A34" s="74" t="s">
        <v>1171</v>
      </c>
      <c r="B34" s="72" t="n">
        <v>1.97</v>
      </c>
      <c r="D34" s="72" t="n">
        <v>2.1</v>
      </c>
      <c r="E34" s="73" t="n">
        <f aca="false">IF(AND(ISNUMBER(D34),ISNUMBER(B34)),D34-B34,"")</f>
        <v>0.13</v>
      </c>
      <c r="F34" s="72" t="n">
        <v>2.06</v>
      </c>
      <c r="G34" s="73" t="n">
        <f aca="false">IF(AND(ISNUMBER(F34),ISNUMBER(D34)),F34-D34,"")</f>
        <v>-0.04</v>
      </c>
      <c r="H34" s="72"/>
      <c r="I34" s="73" t="str">
        <f aca="false">IF(AND(ISNUMBER(H34),ISNUMBER(F34)),H34-F34,"")</f>
        <v/>
      </c>
      <c r="J34" s="72"/>
      <c r="K34" s="73" t="str">
        <f aca="false">IF(AND(ISNUMBER(J34),ISNUMBER(H34)),J34-H34,"")</f>
        <v/>
      </c>
    </row>
    <row r="35" customFormat="false" ht="15" hidden="false" customHeight="false" outlineLevel="0" collapsed="false">
      <c r="A35" s="74" t="s">
        <v>1172</v>
      </c>
      <c r="B35" s="72" t="n">
        <v>2.21</v>
      </c>
      <c r="D35" s="72" t="n">
        <v>2.3</v>
      </c>
      <c r="E35" s="73" t="n">
        <f aca="false">IF(AND(ISNUMBER(D35),ISNUMBER(B35)),D35-B35,"")</f>
        <v>0.0899999999999999</v>
      </c>
      <c r="F35" s="72" t="n">
        <v>2.06</v>
      </c>
      <c r="G35" s="73" t="n">
        <f aca="false">IF(AND(ISNUMBER(F35),ISNUMBER(D35)),F35-D35,"")</f>
        <v>-0.24</v>
      </c>
      <c r="H35" s="72"/>
      <c r="I35" s="73" t="str">
        <f aca="false">IF(AND(ISNUMBER(H35),ISNUMBER(F35)),H35-F35,"")</f>
        <v/>
      </c>
      <c r="J35" s="72"/>
      <c r="K35" s="73" t="str">
        <f aca="false">IF(AND(ISNUMBER(J35),ISNUMBER(H35)),J35-H35,"")</f>
        <v/>
      </c>
    </row>
    <row r="36" customFormat="false" ht="15" hidden="false" customHeight="false" outlineLevel="0" collapsed="false">
      <c r="A36" s="74" t="s">
        <v>1173</v>
      </c>
      <c r="B36" s="72" t="n">
        <v>2.17</v>
      </c>
      <c r="D36" s="72" t="n">
        <v>2.17</v>
      </c>
      <c r="E36" s="73" t="n">
        <f aca="false">IF(AND(ISNUMBER(D36),ISNUMBER(B36)),D36-B36,"")</f>
        <v>0</v>
      </c>
      <c r="F36" s="72" t="n">
        <v>2.15</v>
      </c>
      <c r="G36" s="73" t="n">
        <f aca="false">IF(AND(ISNUMBER(F36),ISNUMBER(D36)),F36-D36,"")</f>
        <v>-0.02</v>
      </c>
      <c r="H36" s="72"/>
      <c r="I36" s="73" t="str">
        <f aca="false">IF(AND(ISNUMBER(H36),ISNUMBER(F36)),H36-F36,"")</f>
        <v/>
      </c>
      <c r="J36" s="72"/>
      <c r="K36" s="73" t="str">
        <f aca="false">IF(AND(ISNUMBER(J36),ISNUMBER(H36)),J36-H36,"")</f>
        <v/>
      </c>
    </row>
    <row r="37" customFormat="false" ht="15" hidden="false" customHeight="false" outlineLevel="0" collapsed="false">
      <c r="A37" s="5" t="s">
        <v>1174</v>
      </c>
      <c r="B37" s="77" t="n">
        <f aca="false">IF(COUNT(B29:B36)=0,"",AVERAGE(B29:B36))</f>
        <v>2.095</v>
      </c>
      <c r="D37" s="77" t="n">
        <f aca="false">IF(COUNT(D29:D36)=0,"",AVERAGE(D29:D36))</f>
        <v>2.17125</v>
      </c>
      <c r="F37" s="77" t="n">
        <f aca="false">IF(COUNT(F29:F36)=0,"",AVERAGE(F29:F36))</f>
        <v>2.075</v>
      </c>
      <c r="H37" s="77" t="str">
        <f aca="false">IF(COUNT(H29:H36)=0,"",AVERAGE(H29:H36))</f>
        <v/>
      </c>
      <c r="J37" s="77" t="str">
        <f aca="false">IF(COUNT(J29:J36)=0,"",AVERAGE(J29:J36))</f>
        <v/>
      </c>
    </row>
    <row r="38" customFormat="false" ht="15" hidden="false" customHeight="false" outlineLevel="0" collapsed="false">
      <c r="A38" s="20" t="s">
        <v>1175</v>
      </c>
      <c r="B38" s="57" t="n">
        <f aca="false">IF(ISNUMBER(B31),RANK(B31,B29:B36,0),"")</f>
        <v>4</v>
      </c>
      <c r="D38" s="57" t="n">
        <f aca="false">IF(ISNUMBER(D31),RANK(D31,D29:D36,0),"")</f>
        <v>5</v>
      </c>
      <c r="E38" s="67" t="n">
        <f aca="false">IF(AND(ISNUMBER(D38),ISNUMBER(B38)),D38-B38,"")</f>
        <v>1</v>
      </c>
      <c r="F38" s="57" t="n">
        <f aca="false">IF(ISNUMBER(F31),RANK(F31,F29:F36,0),"")</f>
        <v>7</v>
      </c>
      <c r="G38" s="67" t="n">
        <f aca="false">IF(AND(ISNUMBER(F38),ISNUMBER(D38)),F38-D38,"")</f>
        <v>2</v>
      </c>
      <c r="H38" s="57" t="str">
        <f aca="false">IF(ISNUMBER(H31),RANK(H31,H29:H36,0),"")</f>
        <v/>
      </c>
      <c r="I38" s="67" t="str">
        <f aca="false">IF(AND(ISNUMBER(H38),ISNUMBER(F38)),H38-F38,"")</f>
        <v/>
      </c>
      <c r="J38" s="57" t="str">
        <f aca="false">IF(ISNUMBER(J31),RANK(J31,J29:J36,0),"")</f>
        <v/>
      </c>
      <c r="K38" s="67" t="str">
        <f aca="false">IF(AND(ISNUMBER(J38),ISNUMBER(H38)),J38-H38,"")</f>
        <v/>
      </c>
    </row>
    <row r="40" customFormat="false" ht="30" hidden="false" customHeight="true" outlineLevel="0" collapsed="false">
      <c r="A40" s="12" t="s">
        <v>1177</v>
      </c>
      <c r="B40" s="12" t="s">
        <v>95</v>
      </c>
      <c r="C40" s="12" t="s">
        <v>1096</v>
      </c>
      <c r="D40" s="12" t="s">
        <v>927</v>
      </c>
      <c r="E40" s="12" t="s">
        <v>1096</v>
      </c>
      <c r="F40" s="12" t="s">
        <v>928</v>
      </c>
      <c r="G40" s="12" t="s">
        <v>1096</v>
      </c>
      <c r="H40" s="12" t="s">
        <v>929</v>
      </c>
      <c r="I40" s="12" t="s">
        <v>1096</v>
      </c>
      <c r="J40" s="12" t="s">
        <v>930</v>
      </c>
      <c r="K40" s="12" t="s">
        <v>1096</v>
      </c>
    </row>
    <row r="41" customFormat="false" ht="15" hidden="false" customHeight="false" outlineLevel="0" collapsed="false">
      <c r="A41" s="74" t="s">
        <v>1166</v>
      </c>
      <c r="B41" s="38" t="n">
        <v>236</v>
      </c>
      <c r="D41" s="38" t="n">
        <v>238</v>
      </c>
      <c r="E41" s="71" t="n">
        <f aca="false">IF(AND(ISNUMBER(D41),ISNUMBER(B41)),D41-B41,"")</f>
        <v>2</v>
      </c>
      <c r="F41" s="38" t="n">
        <v>243</v>
      </c>
      <c r="G41" s="71" t="n">
        <f aca="false">IF(AND(ISNUMBER(F41),ISNUMBER(D41)),F41-D41,"")</f>
        <v>5</v>
      </c>
      <c r="H41" s="38"/>
      <c r="I41" s="71" t="str">
        <f aca="false">IF(AND(ISNUMBER(H41),ISNUMBER(F41)),H41-F41,"")</f>
        <v/>
      </c>
      <c r="J41" s="38"/>
      <c r="K41" s="71" t="str">
        <f aca="false">IF(AND(ISNUMBER(J41),ISNUMBER(H41)),J41-H41,"")</f>
        <v/>
      </c>
    </row>
    <row r="42" customFormat="false" ht="15" hidden="false" customHeight="false" outlineLevel="0" collapsed="false">
      <c r="A42" s="74" t="s">
        <v>1167</v>
      </c>
      <c r="B42" s="38" t="n">
        <v>250</v>
      </c>
      <c r="D42" s="38" t="n">
        <v>249</v>
      </c>
      <c r="E42" s="71" t="n">
        <f aca="false">IF(AND(ISNUMBER(D42),ISNUMBER(B42)),D42-B42,"")</f>
        <v>-1</v>
      </c>
      <c r="F42" s="38" t="n">
        <v>247</v>
      </c>
      <c r="G42" s="71" t="n">
        <f aca="false">IF(AND(ISNUMBER(F42),ISNUMBER(D42)),F42-D42,"")</f>
        <v>-2</v>
      </c>
      <c r="H42" s="38"/>
      <c r="I42" s="71" t="str">
        <f aca="false">IF(AND(ISNUMBER(H42),ISNUMBER(F42)),H42-F42,"")</f>
        <v/>
      </c>
      <c r="J42" s="38"/>
      <c r="K42" s="71" t="str">
        <f aca="false">IF(AND(ISNUMBER(J42),ISNUMBER(H42)),J42-H42,"")</f>
        <v/>
      </c>
    </row>
    <row r="43" customFormat="false" ht="15" hidden="false" customHeight="false" outlineLevel="0" collapsed="false">
      <c r="A43" s="4" t="s">
        <v>1168</v>
      </c>
      <c r="B43" s="78" t="n">
        <v>260</v>
      </c>
      <c r="D43" s="78" t="n">
        <v>257</v>
      </c>
      <c r="E43" s="71" t="n">
        <f aca="false">IF(AND(ISNUMBER(D43),ISNUMBER(B43)),D43-B43,"")</f>
        <v>-3</v>
      </c>
      <c r="F43" s="78" t="n">
        <v>253</v>
      </c>
      <c r="G43" s="71" t="n">
        <f aca="false">IF(AND(ISNUMBER(F43),ISNUMBER(D43)),F43-D43,"")</f>
        <v>-4</v>
      </c>
      <c r="H43" s="78"/>
      <c r="I43" s="71" t="str">
        <f aca="false">IF(AND(ISNUMBER(H43),ISNUMBER(F43)),H43-F43,"")</f>
        <v/>
      </c>
      <c r="J43" s="78"/>
      <c r="K43" s="71" t="str">
        <f aca="false">IF(AND(ISNUMBER(J43),ISNUMBER(H43)),J43-H43,"")</f>
        <v/>
      </c>
    </row>
    <row r="44" customFormat="false" ht="15" hidden="false" customHeight="false" outlineLevel="0" collapsed="false">
      <c r="A44" s="74" t="s">
        <v>1169</v>
      </c>
      <c r="B44" s="38" t="n">
        <v>263</v>
      </c>
      <c r="D44" s="38" t="n">
        <v>271</v>
      </c>
      <c r="E44" s="71" t="n">
        <f aca="false">IF(AND(ISNUMBER(D44),ISNUMBER(B44)),D44-B44,"")</f>
        <v>8</v>
      </c>
      <c r="F44" s="38" t="n">
        <v>265</v>
      </c>
      <c r="G44" s="71" t="n">
        <f aca="false">IF(AND(ISNUMBER(F44),ISNUMBER(D44)),F44-D44,"")</f>
        <v>-6</v>
      </c>
      <c r="H44" s="38"/>
      <c r="I44" s="71" t="str">
        <f aca="false">IF(AND(ISNUMBER(H44),ISNUMBER(F44)),H44-F44,"")</f>
        <v/>
      </c>
      <c r="J44" s="38"/>
      <c r="K44" s="71" t="str">
        <f aca="false">IF(AND(ISNUMBER(J44),ISNUMBER(H44)),J44-H44,"")</f>
        <v/>
      </c>
    </row>
    <row r="45" customFormat="false" ht="15" hidden="false" customHeight="false" outlineLevel="0" collapsed="false">
      <c r="A45" s="74" t="s">
        <v>1170</v>
      </c>
      <c r="B45" s="38" t="n">
        <v>271</v>
      </c>
      <c r="D45" s="38" t="n">
        <v>279</v>
      </c>
      <c r="E45" s="71" t="n">
        <f aca="false">IF(AND(ISNUMBER(D45),ISNUMBER(B45)),D45-B45,"")</f>
        <v>8</v>
      </c>
      <c r="F45" s="38" t="n">
        <v>275</v>
      </c>
      <c r="G45" s="71" t="n">
        <f aca="false">IF(AND(ISNUMBER(F45),ISNUMBER(D45)),F45-D45,"")</f>
        <v>-4</v>
      </c>
      <c r="H45" s="38"/>
      <c r="I45" s="71" t="str">
        <f aca="false">IF(AND(ISNUMBER(H45),ISNUMBER(F45)),H45-F45,"")</f>
        <v/>
      </c>
      <c r="J45" s="38"/>
      <c r="K45" s="71" t="str">
        <f aca="false">IF(AND(ISNUMBER(J45),ISNUMBER(H45)),J45-H45,"")</f>
        <v/>
      </c>
    </row>
    <row r="46" customFormat="false" ht="15" hidden="false" customHeight="false" outlineLevel="0" collapsed="false">
      <c r="A46" s="74" t="s">
        <v>1171</v>
      </c>
      <c r="B46" s="38" t="n">
        <v>279</v>
      </c>
      <c r="D46" s="38" t="n">
        <v>288</v>
      </c>
      <c r="E46" s="71" t="n">
        <f aca="false">IF(AND(ISNUMBER(D46),ISNUMBER(B46)),D46-B46,"")</f>
        <v>9</v>
      </c>
      <c r="F46" s="38" t="n">
        <v>287</v>
      </c>
      <c r="G46" s="71" t="n">
        <f aca="false">IF(AND(ISNUMBER(F46),ISNUMBER(D46)),F46-D46,"")</f>
        <v>-1</v>
      </c>
      <c r="H46" s="38"/>
      <c r="I46" s="71" t="str">
        <f aca="false">IF(AND(ISNUMBER(H46),ISNUMBER(F46)),H46-F46,"")</f>
        <v/>
      </c>
      <c r="J46" s="38"/>
      <c r="K46" s="71" t="str">
        <f aca="false">IF(AND(ISNUMBER(J46),ISNUMBER(H46)),J46-H46,"")</f>
        <v/>
      </c>
    </row>
    <row r="47" customFormat="false" ht="15" hidden="false" customHeight="false" outlineLevel="0" collapsed="false">
      <c r="A47" s="74" t="s">
        <v>1172</v>
      </c>
      <c r="B47" s="38" t="n">
        <v>294</v>
      </c>
      <c r="D47" s="38" t="n">
        <v>295</v>
      </c>
      <c r="E47" s="71" t="n">
        <f aca="false">IF(AND(ISNUMBER(D47),ISNUMBER(B47)),D47-B47,"")</f>
        <v>1</v>
      </c>
      <c r="F47" s="38" t="n">
        <v>300</v>
      </c>
      <c r="G47" s="71" t="n">
        <f aca="false">IF(AND(ISNUMBER(F47),ISNUMBER(D47)),F47-D47,"")</f>
        <v>5</v>
      </c>
      <c r="H47" s="38"/>
      <c r="I47" s="71" t="str">
        <f aca="false">IF(AND(ISNUMBER(H47),ISNUMBER(F47)),H47-F47,"")</f>
        <v/>
      </c>
      <c r="J47" s="38"/>
      <c r="K47" s="71" t="str">
        <f aca="false">IF(AND(ISNUMBER(J47),ISNUMBER(H47)),J47-H47,"")</f>
        <v/>
      </c>
    </row>
    <row r="48" customFormat="false" ht="15" hidden="false" customHeight="false" outlineLevel="0" collapsed="false">
      <c r="A48" s="74" t="s">
        <v>1173</v>
      </c>
      <c r="B48" s="38" t="n">
        <v>299</v>
      </c>
      <c r="D48" s="38" t="n">
        <v>297</v>
      </c>
      <c r="E48" s="71" t="n">
        <f aca="false">IF(AND(ISNUMBER(D48),ISNUMBER(B48)),D48-B48,"")</f>
        <v>-2</v>
      </c>
      <c r="F48" s="38" t="n">
        <v>303</v>
      </c>
      <c r="G48" s="71" t="n">
        <f aca="false">IF(AND(ISNUMBER(F48),ISNUMBER(D48)),F48-D48,"")</f>
        <v>6</v>
      </c>
      <c r="H48" s="38"/>
      <c r="I48" s="71" t="str">
        <f aca="false">IF(AND(ISNUMBER(H48),ISNUMBER(F48)),H48-F48,"")</f>
        <v/>
      </c>
      <c r="J48" s="38"/>
      <c r="K48" s="71" t="str">
        <f aca="false">IF(AND(ISNUMBER(J48),ISNUMBER(H48)),J48-H48,"")</f>
        <v/>
      </c>
    </row>
    <row r="49" customFormat="false" ht="15" hidden="false" customHeight="false" outlineLevel="0" collapsed="false">
      <c r="A49" s="5" t="s">
        <v>1174</v>
      </c>
      <c r="B49" s="35" t="n">
        <f aca="false">IF(COUNT(B41:B48)=0,"",AVERAGE(B41:B48))</f>
        <v>269</v>
      </c>
      <c r="D49" s="35" t="n">
        <f aca="false">IF(COUNT(D41:D48)=0,"",AVERAGE(D41:D48))</f>
        <v>271.75</v>
      </c>
      <c r="F49" s="35" t="n">
        <f aca="false">IF(COUNT(F41:F48)=0,"",AVERAGE(F41:F48))</f>
        <v>271.625</v>
      </c>
      <c r="H49" s="35" t="str">
        <f aca="false">IF(COUNT(H41:H48)=0,"",AVERAGE(H41:H48))</f>
        <v/>
      </c>
      <c r="J49" s="35" t="str">
        <f aca="false">IF(COUNT(J41:J48)=0,"",AVERAGE(J41:J48))</f>
        <v/>
      </c>
    </row>
    <row r="51" customFormat="false" ht="30" hidden="false" customHeight="true" outlineLevel="0" collapsed="false">
      <c r="A51" s="12" t="s">
        <v>1178</v>
      </c>
      <c r="B51" s="12" t="s">
        <v>95</v>
      </c>
      <c r="C51" s="12" t="s">
        <v>1096</v>
      </c>
      <c r="D51" s="12" t="s">
        <v>927</v>
      </c>
      <c r="E51" s="12" t="s">
        <v>1096</v>
      </c>
      <c r="F51" s="12" t="s">
        <v>928</v>
      </c>
      <c r="G51" s="12" t="s">
        <v>1096</v>
      </c>
      <c r="H51" s="12" t="s">
        <v>929</v>
      </c>
      <c r="I51" s="12" t="s">
        <v>1096</v>
      </c>
      <c r="J51" s="12" t="s">
        <v>930</v>
      </c>
      <c r="K51" s="12" t="s">
        <v>1096</v>
      </c>
    </row>
    <row r="52" customFormat="false" ht="15" hidden="false" customHeight="false" outlineLevel="0" collapsed="false">
      <c r="A52" s="74" t="s">
        <v>1166</v>
      </c>
      <c r="B52" s="28" t="n">
        <v>3.5</v>
      </c>
      <c r="D52" s="28" t="n">
        <v>3.6</v>
      </c>
      <c r="E52" s="66" t="n">
        <f aca="false">IF(AND(ISNUMBER(D52),ISNUMBER(B52)),D52-B52,"")</f>
        <v>0.1</v>
      </c>
      <c r="F52" s="28" t="n">
        <v>3.6</v>
      </c>
      <c r="G52" s="66" t="n">
        <f aca="false">IF(AND(ISNUMBER(F52),ISNUMBER(D52)),F52-D52,"")</f>
        <v>0</v>
      </c>
      <c r="H52" s="28"/>
      <c r="I52" s="66" t="str">
        <f aca="false">IF(AND(ISNUMBER(H52),ISNUMBER(F52)),H52-F52,"")</f>
        <v/>
      </c>
      <c r="J52" s="28"/>
      <c r="K52" s="66" t="str">
        <f aca="false">IF(AND(ISNUMBER(J52),ISNUMBER(H52)),J52-H52,"")</f>
        <v/>
      </c>
    </row>
    <row r="53" customFormat="false" ht="15" hidden="false" customHeight="false" outlineLevel="0" collapsed="false">
      <c r="A53" s="74" t="s">
        <v>1167</v>
      </c>
      <c r="B53" s="28" t="n">
        <v>3.6</v>
      </c>
      <c r="D53" s="28" t="n">
        <v>3.7</v>
      </c>
      <c r="E53" s="66" t="n">
        <f aca="false">IF(AND(ISNUMBER(D53),ISNUMBER(B53)),D53-B53,"")</f>
        <v>0.1</v>
      </c>
      <c r="F53" s="28" t="n">
        <v>3.7</v>
      </c>
      <c r="G53" s="66" t="n">
        <f aca="false">IF(AND(ISNUMBER(F53),ISNUMBER(D53)),F53-D53,"")</f>
        <v>0</v>
      </c>
      <c r="H53" s="28"/>
      <c r="I53" s="66" t="str">
        <f aca="false">IF(AND(ISNUMBER(H53),ISNUMBER(F53)),H53-F53,"")</f>
        <v/>
      </c>
      <c r="J53" s="28"/>
      <c r="K53" s="66" t="str">
        <f aca="false">IF(AND(ISNUMBER(J53),ISNUMBER(H53)),J53-H53,"")</f>
        <v/>
      </c>
    </row>
    <row r="54" customFormat="false" ht="15" hidden="false" customHeight="false" outlineLevel="0" collapsed="false">
      <c r="A54" s="4" t="s">
        <v>1168</v>
      </c>
      <c r="B54" s="79" t="n">
        <v>3.8</v>
      </c>
      <c r="D54" s="79" t="n">
        <v>3.8</v>
      </c>
      <c r="E54" s="66" t="n">
        <f aca="false">IF(AND(ISNUMBER(D54),ISNUMBER(B54)),D54-B54,"")</f>
        <v>0</v>
      </c>
      <c r="F54" s="79" t="n">
        <v>3.8</v>
      </c>
      <c r="G54" s="66" t="n">
        <f aca="false">IF(AND(ISNUMBER(F54),ISNUMBER(D54)),F54-D54,"")</f>
        <v>0</v>
      </c>
      <c r="H54" s="79"/>
      <c r="I54" s="66" t="str">
        <f aca="false">IF(AND(ISNUMBER(H54),ISNUMBER(F54)),H54-F54,"")</f>
        <v/>
      </c>
      <c r="J54" s="79"/>
      <c r="K54" s="66" t="str">
        <f aca="false">IF(AND(ISNUMBER(J54),ISNUMBER(H54)),J54-H54,"")</f>
        <v/>
      </c>
    </row>
    <row r="55" customFormat="false" ht="15" hidden="false" customHeight="false" outlineLevel="0" collapsed="false">
      <c r="A55" s="74" t="s">
        <v>1169</v>
      </c>
      <c r="B55" s="28" t="n">
        <v>4</v>
      </c>
      <c r="D55" s="28" t="n">
        <v>4</v>
      </c>
      <c r="E55" s="66" t="n">
        <f aca="false">IF(AND(ISNUMBER(D55),ISNUMBER(B55)),D55-B55,"")</f>
        <v>0</v>
      </c>
      <c r="F55" s="28" t="n">
        <v>4</v>
      </c>
      <c r="G55" s="66" t="n">
        <f aca="false">IF(AND(ISNUMBER(F55),ISNUMBER(D55)),F55-D55,"")</f>
        <v>0</v>
      </c>
      <c r="H55" s="28"/>
      <c r="I55" s="66" t="str">
        <f aca="false">IF(AND(ISNUMBER(H55),ISNUMBER(F55)),H55-F55,"")</f>
        <v/>
      </c>
      <c r="J55" s="28"/>
      <c r="K55" s="66" t="str">
        <f aca="false">IF(AND(ISNUMBER(J55),ISNUMBER(H55)),J55-H55,"")</f>
        <v/>
      </c>
    </row>
    <row r="56" customFormat="false" ht="15" hidden="false" customHeight="false" outlineLevel="0" collapsed="false">
      <c r="A56" s="74" t="s">
        <v>1170</v>
      </c>
      <c r="B56" s="28" t="n">
        <v>4</v>
      </c>
      <c r="D56" s="28" t="n">
        <v>4.1</v>
      </c>
      <c r="E56" s="66" t="n">
        <f aca="false">IF(AND(ISNUMBER(D56),ISNUMBER(B56)),D56-B56,"")</f>
        <v>0.0999999999999996</v>
      </c>
      <c r="F56" s="28" t="n">
        <v>4.1</v>
      </c>
      <c r="G56" s="66" t="n">
        <f aca="false">IF(AND(ISNUMBER(F56),ISNUMBER(D56)),F56-D56,"")</f>
        <v>0</v>
      </c>
      <c r="H56" s="28"/>
      <c r="I56" s="66" t="str">
        <f aca="false">IF(AND(ISNUMBER(H56),ISNUMBER(F56)),H56-F56,"")</f>
        <v/>
      </c>
      <c r="J56" s="28"/>
      <c r="K56" s="66" t="str">
        <f aca="false">IF(AND(ISNUMBER(J56),ISNUMBER(H56)),J56-H56,"")</f>
        <v/>
      </c>
    </row>
    <row r="57" customFormat="false" ht="15" hidden="false" customHeight="false" outlineLevel="0" collapsed="false">
      <c r="A57" s="74" t="s">
        <v>1171</v>
      </c>
      <c r="B57" s="28" t="n">
        <v>4.3</v>
      </c>
      <c r="D57" s="28" t="n">
        <v>4.2</v>
      </c>
      <c r="E57" s="66" t="n">
        <f aca="false">IF(AND(ISNUMBER(D57),ISNUMBER(B57)),D57-B57,"")</f>
        <v>-0.0999999999999996</v>
      </c>
      <c r="F57" s="28" t="n">
        <v>4.2</v>
      </c>
      <c r="G57" s="66" t="n">
        <f aca="false">IF(AND(ISNUMBER(F57),ISNUMBER(D57)),F57-D57,"")</f>
        <v>0</v>
      </c>
      <c r="H57" s="28"/>
      <c r="I57" s="66" t="str">
        <f aca="false">IF(AND(ISNUMBER(H57),ISNUMBER(F57)),H57-F57,"")</f>
        <v/>
      </c>
      <c r="J57" s="28"/>
      <c r="K57" s="66" t="str">
        <f aca="false">IF(AND(ISNUMBER(J57),ISNUMBER(H57)),J57-H57,"")</f>
        <v/>
      </c>
    </row>
    <row r="58" customFormat="false" ht="15" hidden="false" customHeight="false" outlineLevel="0" collapsed="false">
      <c r="A58" s="74" t="s">
        <v>1172</v>
      </c>
      <c r="B58" s="28" t="n">
        <v>4.4</v>
      </c>
      <c r="D58" s="28" t="n">
        <v>4.3</v>
      </c>
      <c r="E58" s="66" t="n">
        <f aca="false">IF(AND(ISNUMBER(D58),ISNUMBER(B58)),D58-B58,"")</f>
        <v>-0.100000000000001</v>
      </c>
      <c r="F58" s="28" t="n">
        <v>4.4</v>
      </c>
      <c r="G58" s="66" t="n">
        <f aca="false">IF(AND(ISNUMBER(F58),ISNUMBER(D58)),F58-D58,"")</f>
        <v>0.100000000000001</v>
      </c>
      <c r="H58" s="28"/>
      <c r="I58" s="66" t="str">
        <f aca="false">IF(AND(ISNUMBER(H58),ISNUMBER(F58)),H58-F58,"")</f>
        <v/>
      </c>
      <c r="J58" s="28"/>
      <c r="K58" s="66" t="str">
        <f aca="false">IF(AND(ISNUMBER(J58),ISNUMBER(H58)),J58-H58,"")</f>
        <v/>
      </c>
    </row>
    <row r="59" customFormat="false" ht="15" hidden="false" customHeight="false" outlineLevel="0" collapsed="false">
      <c r="A59" s="74" t="s">
        <v>1173</v>
      </c>
      <c r="B59" s="28" t="n">
        <v>4.6</v>
      </c>
      <c r="D59" s="28" t="n">
        <v>4.5</v>
      </c>
      <c r="E59" s="66" t="n">
        <f aca="false">IF(AND(ISNUMBER(D59),ISNUMBER(B59)),D59-B59,"")</f>
        <v>-0.0999999999999996</v>
      </c>
      <c r="F59" s="28" t="n">
        <v>4.6</v>
      </c>
      <c r="G59" s="66" t="n">
        <f aca="false">IF(AND(ISNUMBER(F59),ISNUMBER(D59)),F59-D59,"")</f>
        <v>0.0999999999999996</v>
      </c>
      <c r="H59" s="28"/>
      <c r="I59" s="66" t="str">
        <f aca="false">IF(AND(ISNUMBER(H59),ISNUMBER(F59)),H59-F59,"")</f>
        <v/>
      </c>
      <c r="J59" s="28"/>
      <c r="K59" s="66" t="str">
        <f aca="false">IF(AND(ISNUMBER(J59),ISNUMBER(H59)),J59-H59,"")</f>
        <v/>
      </c>
    </row>
    <row r="60" customFormat="false" ht="15" hidden="false" customHeight="false" outlineLevel="0" collapsed="false">
      <c r="A60" s="5" t="s">
        <v>1174</v>
      </c>
      <c r="B60" s="27" t="n">
        <f aca="false">IF(COUNT(B52:B59)=0,"",AVERAGE(B52:B59))</f>
        <v>4.025</v>
      </c>
      <c r="D60" s="27" t="n">
        <f aca="false">IF(COUNT(D52:D59)=0,"",AVERAGE(D52:D59))</f>
        <v>4.025</v>
      </c>
      <c r="F60" s="27" t="n">
        <f aca="false">IF(COUNT(F52:F59)=0,"",AVERAGE(F52:F59))</f>
        <v>4.05</v>
      </c>
      <c r="H60" s="27" t="str">
        <f aca="false">IF(COUNT(H52:H59)=0,"",AVERAGE(H52:H59))</f>
        <v/>
      </c>
      <c r="J60" s="27" t="str">
        <f aca="false">IF(COUNT(J52:J59)=0,"",AVERAGE(J52:J59))</f>
        <v/>
      </c>
    </row>
    <row r="61" customFormat="false" ht="15" hidden="false" customHeight="false" outlineLevel="0" collapsed="false">
      <c r="A61" s="20" t="s">
        <v>1175</v>
      </c>
      <c r="B61" s="57" t="n">
        <f aca="false">IF(ISNUMBER(B54),RANK(B54,B52:B59,0),"")</f>
        <v>6</v>
      </c>
      <c r="D61" s="57" t="n">
        <f aca="false">IF(ISNUMBER(D54),RANK(D54,D52:D59,0),"")</f>
        <v>6</v>
      </c>
      <c r="E61" s="67" t="n">
        <f aca="false">IF(AND(ISNUMBER(D61),ISNUMBER(B61)),D61-B61,"")</f>
        <v>0</v>
      </c>
      <c r="F61" s="57" t="n">
        <f aca="false">IF(ISNUMBER(F54),RANK(F54,F52:F59,0),"")</f>
        <v>6</v>
      </c>
      <c r="G61" s="67" t="n">
        <f aca="false">IF(AND(ISNUMBER(F61),ISNUMBER(D61)),F61-D61,"")</f>
        <v>0</v>
      </c>
      <c r="H61" s="57" t="str">
        <f aca="false">IF(ISNUMBER(H54),RANK(H54,H52:H59,0),"")</f>
        <v/>
      </c>
      <c r="I61" s="67" t="str">
        <f aca="false">IF(AND(ISNUMBER(H61),ISNUMBER(F61)),H61-F61,"")</f>
        <v/>
      </c>
      <c r="J61" s="57" t="str">
        <f aca="false">IF(ISNUMBER(J54),RANK(J54,J52:J59,0),"")</f>
        <v/>
      </c>
      <c r="K61" s="67" t="str">
        <f aca="false">IF(AND(ISNUMBER(J61),ISNUMBER(H61)),J61-H61,"")</f>
        <v/>
      </c>
    </row>
    <row r="63" customFormat="false" ht="30" hidden="false" customHeight="true" outlineLevel="0" collapsed="false">
      <c r="A63" s="12" t="s">
        <v>1179</v>
      </c>
      <c r="B63" s="12" t="s">
        <v>95</v>
      </c>
      <c r="C63" s="12" t="s">
        <v>1096</v>
      </c>
      <c r="D63" s="12" t="s">
        <v>927</v>
      </c>
      <c r="E63" s="12" t="s">
        <v>1096</v>
      </c>
      <c r="F63" s="12" t="s">
        <v>928</v>
      </c>
      <c r="G63" s="12" t="s">
        <v>1096</v>
      </c>
      <c r="H63" s="12" t="s">
        <v>929</v>
      </c>
      <c r="I63" s="12" t="s">
        <v>1096</v>
      </c>
      <c r="J63" s="12" t="s">
        <v>930</v>
      </c>
      <c r="K63" s="12" t="s">
        <v>1096</v>
      </c>
    </row>
    <row r="64" customFormat="false" ht="15" hidden="false" customHeight="false" outlineLevel="0" collapsed="false">
      <c r="A64" s="74" t="s">
        <v>1166</v>
      </c>
      <c r="B64" s="28" t="n">
        <v>13.1</v>
      </c>
      <c r="D64" s="28" t="n">
        <v>12.1</v>
      </c>
      <c r="E64" s="66" t="n">
        <f aca="false">IF(AND(ISNUMBER(D64),ISNUMBER(B64)),D64-B64,"")</f>
        <v>-1</v>
      </c>
      <c r="F64" s="28" t="n">
        <v>11.8</v>
      </c>
      <c r="G64" s="66" t="n">
        <f aca="false">IF(AND(ISNUMBER(F64),ISNUMBER(D64)),F64-D64,"")</f>
        <v>-0.299999999999999</v>
      </c>
      <c r="H64" s="28"/>
      <c r="I64" s="66" t="str">
        <f aca="false">IF(AND(ISNUMBER(H64),ISNUMBER(F64)),H64-F64,"")</f>
        <v/>
      </c>
      <c r="J64" s="28"/>
      <c r="K64" s="66" t="str">
        <f aca="false">IF(AND(ISNUMBER(J64),ISNUMBER(H64)),J64-H64,"")</f>
        <v/>
      </c>
    </row>
    <row r="65" customFormat="false" ht="15" hidden="false" customHeight="false" outlineLevel="0" collapsed="false">
      <c r="A65" s="74" t="s">
        <v>1167</v>
      </c>
      <c r="B65" s="28" t="n">
        <v>10.9</v>
      </c>
      <c r="D65" s="28" t="n">
        <v>12.7</v>
      </c>
      <c r="E65" s="66" t="n">
        <f aca="false">IF(AND(ISNUMBER(D65),ISNUMBER(B65)),D65-B65,"")</f>
        <v>1.8</v>
      </c>
      <c r="F65" s="28" t="n">
        <v>15.5</v>
      </c>
      <c r="G65" s="66" t="n">
        <f aca="false">IF(AND(ISNUMBER(F65),ISNUMBER(D65)),F65-D65,"")</f>
        <v>2.8</v>
      </c>
      <c r="H65" s="28"/>
      <c r="I65" s="66" t="str">
        <f aca="false">IF(AND(ISNUMBER(H65),ISNUMBER(F65)),H65-F65,"")</f>
        <v/>
      </c>
      <c r="J65" s="28"/>
      <c r="K65" s="66" t="str">
        <f aca="false">IF(AND(ISNUMBER(J65),ISNUMBER(H65)),J65-H65,"")</f>
        <v/>
      </c>
    </row>
    <row r="66" customFormat="false" ht="15" hidden="false" customHeight="false" outlineLevel="0" collapsed="false">
      <c r="A66" s="4" t="s">
        <v>1168</v>
      </c>
      <c r="B66" s="79" t="n">
        <v>13.3</v>
      </c>
      <c r="D66" s="79" t="n">
        <v>15.1</v>
      </c>
      <c r="E66" s="66" t="n">
        <f aca="false">IF(AND(ISNUMBER(D66),ISNUMBER(B66)),D66-B66,"")</f>
        <v>1.8</v>
      </c>
      <c r="F66" s="79" t="n">
        <v>9.7</v>
      </c>
      <c r="G66" s="66" t="n">
        <f aca="false">IF(AND(ISNUMBER(F66),ISNUMBER(D66)),F66-D66,"")</f>
        <v>-5.4</v>
      </c>
      <c r="H66" s="79"/>
      <c r="I66" s="66" t="str">
        <f aca="false">IF(AND(ISNUMBER(H66),ISNUMBER(F66)),H66-F66,"")</f>
        <v/>
      </c>
      <c r="J66" s="79"/>
      <c r="K66" s="66" t="str">
        <f aca="false">IF(AND(ISNUMBER(J66),ISNUMBER(H66)),J66-H66,"")</f>
        <v/>
      </c>
    </row>
    <row r="67" customFormat="false" ht="15" hidden="false" customHeight="false" outlineLevel="0" collapsed="false">
      <c r="A67" s="74" t="s">
        <v>1169</v>
      </c>
      <c r="B67" s="28" t="n">
        <v>12.6</v>
      </c>
      <c r="D67" s="28" t="n">
        <v>13.7</v>
      </c>
      <c r="E67" s="66" t="n">
        <f aca="false">IF(AND(ISNUMBER(D67),ISNUMBER(B67)),D67-B67,"")</f>
        <v>1.1</v>
      </c>
      <c r="F67" s="28" t="n">
        <v>10.4</v>
      </c>
      <c r="G67" s="66" t="n">
        <f aca="false">IF(AND(ISNUMBER(F67),ISNUMBER(D67)),F67-D67,"")</f>
        <v>-3.3</v>
      </c>
      <c r="H67" s="28"/>
      <c r="I67" s="66" t="str">
        <f aca="false">IF(AND(ISNUMBER(H67),ISNUMBER(F67)),H67-F67,"")</f>
        <v/>
      </c>
      <c r="J67" s="28"/>
      <c r="K67" s="66" t="str">
        <f aca="false">IF(AND(ISNUMBER(J67),ISNUMBER(H67)),J67-H67,"")</f>
        <v/>
      </c>
    </row>
    <row r="68" customFormat="false" ht="15" hidden="false" customHeight="false" outlineLevel="0" collapsed="false">
      <c r="A68" s="74" t="s">
        <v>1170</v>
      </c>
      <c r="B68" s="28" t="n">
        <v>15.2</v>
      </c>
      <c r="D68" s="28" t="n">
        <v>13.8</v>
      </c>
      <c r="E68" s="66" t="n">
        <f aca="false">IF(AND(ISNUMBER(D68),ISNUMBER(B68)),D68-B68,"")</f>
        <v>-1.4</v>
      </c>
      <c r="F68" s="28" t="n">
        <v>15.3</v>
      </c>
      <c r="G68" s="66" t="n">
        <f aca="false">IF(AND(ISNUMBER(F68),ISNUMBER(D68)),F68-D68,"")</f>
        <v>1.5</v>
      </c>
      <c r="H68" s="28"/>
      <c r="I68" s="66" t="str">
        <f aca="false">IF(AND(ISNUMBER(H68),ISNUMBER(F68)),H68-F68,"")</f>
        <v/>
      </c>
      <c r="J68" s="28"/>
      <c r="K68" s="66" t="str">
        <f aca="false">IF(AND(ISNUMBER(J68),ISNUMBER(H68)),J68-H68,"")</f>
        <v/>
      </c>
    </row>
    <row r="69" customFormat="false" ht="15" hidden="false" customHeight="false" outlineLevel="0" collapsed="false">
      <c r="A69" s="74" t="s">
        <v>1171</v>
      </c>
      <c r="B69" s="28" t="n">
        <v>11.1</v>
      </c>
      <c r="D69" s="28" t="n">
        <v>10.2</v>
      </c>
      <c r="E69" s="66" t="n">
        <f aca="false">IF(AND(ISNUMBER(D69),ISNUMBER(B69)),D69-B69,"")</f>
        <v>-0.9</v>
      </c>
      <c r="F69" s="28" t="n">
        <v>14.7</v>
      </c>
      <c r="G69" s="66" t="n">
        <f aca="false">IF(AND(ISNUMBER(F69),ISNUMBER(D69)),F69-D69,"")</f>
        <v>4.5</v>
      </c>
      <c r="H69" s="28"/>
      <c r="I69" s="66" t="str">
        <f aca="false">IF(AND(ISNUMBER(H69),ISNUMBER(F69)),H69-F69,"")</f>
        <v/>
      </c>
      <c r="J69" s="28"/>
      <c r="K69" s="66" t="str">
        <f aca="false">IF(AND(ISNUMBER(J69),ISNUMBER(H69)),J69-H69,"")</f>
        <v/>
      </c>
    </row>
    <row r="70" customFormat="false" ht="15" hidden="false" customHeight="false" outlineLevel="0" collapsed="false">
      <c r="A70" s="74" t="s">
        <v>1172</v>
      </c>
      <c r="B70" s="28" t="n">
        <v>14.3</v>
      </c>
      <c r="D70" s="28" t="n">
        <v>14.3</v>
      </c>
      <c r="E70" s="66" t="n">
        <f aca="false">IF(AND(ISNUMBER(D70),ISNUMBER(B70)),D70-B70,"")</f>
        <v>0</v>
      </c>
      <c r="F70" s="28" t="n">
        <v>12.1</v>
      </c>
      <c r="G70" s="66" t="n">
        <f aca="false">IF(AND(ISNUMBER(F70),ISNUMBER(D70)),F70-D70,"")</f>
        <v>-2.2</v>
      </c>
      <c r="H70" s="28"/>
      <c r="I70" s="66" t="str">
        <f aca="false">IF(AND(ISNUMBER(H70),ISNUMBER(F70)),H70-F70,"")</f>
        <v/>
      </c>
      <c r="J70" s="28"/>
      <c r="K70" s="66" t="str">
        <f aca="false">IF(AND(ISNUMBER(J70),ISNUMBER(H70)),J70-H70,"")</f>
        <v/>
      </c>
    </row>
    <row r="71" customFormat="false" ht="15" hidden="false" customHeight="false" outlineLevel="0" collapsed="false">
      <c r="A71" s="74" t="s">
        <v>1173</v>
      </c>
      <c r="B71" s="28" t="n">
        <v>10.1</v>
      </c>
      <c r="D71" s="28" t="n">
        <v>14.1</v>
      </c>
      <c r="E71" s="66" t="n">
        <f aca="false">IF(AND(ISNUMBER(D71),ISNUMBER(B71)),D71-B71,"")</f>
        <v>4</v>
      </c>
      <c r="F71" s="28" t="n">
        <v>12.6</v>
      </c>
      <c r="G71" s="66" t="n">
        <f aca="false">IF(AND(ISNUMBER(F71),ISNUMBER(D71)),F71-D71,"")</f>
        <v>-1.5</v>
      </c>
      <c r="H71" s="28"/>
      <c r="I71" s="66" t="str">
        <f aca="false">IF(AND(ISNUMBER(H71),ISNUMBER(F71)),H71-F71,"")</f>
        <v/>
      </c>
      <c r="J71" s="28"/>
      <c r="K71" s="66" t="str">
        <f aca="false">IF(AND(ISNUMBER(J71),ISNUMBER(H71)),J71-H71,"")</f>
        <v/>
      </c>
    </row>
    <row r="72" customFormat="false" ht="15" hidden="false" customHeight="false" outlineLevel="0" collapsed="false">
      <c r="A72" s="5" t="s">
        <v>1174</v>
      </c>
      <c r="B72" s="27" t="n">
        <f aca="false">IF(COUNT(B64:B71)=0,"",AVERAGE(B64:B71))</f>
        <v>12.575</v>
      </c>
      <c r="D72" s="27" t="n">
        <f aca="false">IF(COUNT(D64:D71)=0,"",AVERAGE(D64:D71))</f>
        <v>13.25</v>
      </c>
      <c r="F72" s="27" t="n">
        <f aca="false">IF(COUNT(F64:F71)=0,"",AVERAGE(F64:F71))</f>
        <v>12.7625</v>
      </c>
      <c r="H72" s="27" t="str">
        <f aca="false">IF(COUNT(H64:H71)=0,"",AVERAGE(H64:H71))</f>
        <v/>
      </c>
      <c r="J72" s="27" t="str">
        <f aca="false">IF(COUNT(J64:J71)=0,"",AVERAGE(J64:J71))</f>
        <v/>
      </c>
    </row>
    <row r="73" customFormat="false" ht="15" hidden="false" customHeight="false" outlineLevel="0" collapsed="false">
      <c r="A73" s="20" t="s">
        <v>1175</v>
      </c>
      <c r="B73" s="57" t="n">
        <f aca="false">IF(ISNUMBER(B66),RANK(B66,B64:B71,0),"")</f>
        <v>3</v>
      </c>
      <c r="D73" s="57" t="n">
        <f aca="false">IF(ISNUMBER(D66),RANK(D66,D64:D71,0),"")</f>
        <v>1</v>
      </c>
      <c r="E73" s="67" t="n">
        <f aca="false">IF(AND(ISNUMBER(D73),ISNUMBER(B73)),D73-B73,"")</f>
        <v>-2</v>
      </c>
      <c r="F73" s="57" t="n">
        <f aca="false">IF(ISNUMBER(F66),RANK(F66,F64:F71,0),"")</f>
        <v>8</v>
      </c>
      <c r="G73" s="67" t="n">
        <f aca="false">IF(AND(ISNUMBER(F73),ISNUMBER(D73)),F73-D73,"")</f>
        <v>7</v>
      </c>
      <c r="H73" s="57" t="str">
        <f aca="false">IF(ISNUMBER(H66),RANK(H66,H64:H71,0),"")</f>
        <v/>
      </c>
      <c r="I73" s="67" t="str">
        <f aca="false">IF(AND(ISNUMBER(H73),ISNUMBER(F73)),H73-F73,"")</f>
        <v/>
      </c>
      <c r="J73" s="57" t="str">
        <f aca="false">IF(ISNUMBER(J66),RANK(J66,J64:J71,0),"")</f>
        <v/>
      </c>
      <c r="K73" s="67" t="str">
        <f aca="false">IF(AND(ISNUMBER(J73),ISNUMBER(H73)),J73-H73,"")</f>
        <v/>
      </c>
    </row>
  </sheetData>
  <conditionalFormatting sqref="E6 G6 I6 K6">
    <cfRule type="expression" priority="2" aboveAverage="0" equalAverage="0" bottom="0" percent="0" rank="0" text="" dxfId="0">
      <formula>AND(ISNUMBER(E6),E6&gt;0)</formula>
    </cfRule>
    <cfRule type="expression" priority="3" aboveAverage="0" equalAverage="0" bottom="0" percent="0" rank="0" text="" dxfId="2">
      <formula>AND(ISNUMBER(E6),E6&lt;0)</formula>
    </cfRule>
  </conditionalFormatting>
  <conditionalFormatting sqref="E7 G7 I7 K7">
    <cfRule type="expression" priority="4" aboveAverage="0" equalAverage="0" bottom="0" percent="0" rank="0" text="" dxfId="0">
      <formula>AND(ISNUMBER(E7),E7&gt;0)</formula>
    </cfRule>
    <cfRule type="expression" priority="5" aboveAverage="0" equalAverage="0" bottom="0" percent="0" rank="0" text="" dxfId="2">
      <formula>AND(ISNUMBER(E7),E7&lt;0)</formula>
    </cfRule>
  </conditionalFormatting>
  <conditionalFormatting sqref="E8 G8 I8 K8">
    <cfRule type="expression" priority="6" aboveAverage="0" equalAverage="0" bottom="0" percent="0" rank="0" text="" dxfId="0">
      <formula>AND(ISNUMBER(E8),E8&gt;0)</formula>
    </cfRule>
    <cfRule type="expression" priority="7" aboveAverage="0" equalAverage="0" bottom="0" percent="0" rank="0" text="" dxfId="2">
      <formula>AND(ISNUMBER(E8),E8&lt;0)</formula>
    </cfRule>
  </conditionalFormatting>
  <conditionalFormatting sqref="E9 G9 I9 K9">
    <cfRule type="expression" priority="8" aboveAverage="0" equalAverage="0" bottom="0" percent="0" rank="0" text="" dxfId="0">
      <formula>AND(ISNUMBER(E9),E9&gt;0)</formula>
    </cfRule>
    <cfRule type="expression" priority="9" aboveAverage="0" equalAverage="0" bottom="0" percent="0" rank="0" text="" dxfId="2">
      <formula>AND(ISNUMBER(E9),E9&lt;0)</formula>
    </cfRule>
  </conditionalFormatting>
  <conditionalFormatting sqref="E10 G10 I10 K10">
    <cfRule type="expression" priority="10" aboveAverage="0" equalAverage="0" bottom="0" percent="0" rank="0" text="" dxfId="0">
      <formula>AND(ISNUMBER(E10),E10&gt;0)</formula>
    </cfRule>
    <cfRule type="expression" priority="11" aboveAverage="0" equalAverage="0" bottom="0" percent="0" rank="0" text="" dxfId="2">
      <formula>AND(ISNUMBER(E10),E10&lt;0)</formula>
    </cfRule>
  </conditionalFormatting>
  <conditionalFormatting sqref="E11 G11 I11 K11">
    <cfRule type="expression" priority="12" aboveAverage="0" equalAverage="0" bottom="0" percent="0" rank="0" text="" dxfId="0">
      <formula>AND(ISNUMBER(E11),E11&gt;0)</formula>
    </cfRule>
    <cfRule type="expression" priority="13" aboveAverage="0" equalAverage="0" bottom="0" percent="0" rank="0" text="" dxfId="2">
      <formula>AND(ISNUMBER(E11),E11&lt;0)</formula>
    </cfRule>
  </conditionalFormatting>
  <conditionalFormatting sqref="E12 G12 I12 K12">
    <cfRule type="expression" priority="14" aboveAverage="0" equalAverage="0" bottom="0" percent="0" rank="0" text="" dxfId="0">
      <formula>AND(ISNUMBER(E12),E12&gt;0)</formula>
    </cfRule>
    <cfRule type="expression" priority="15" aboveAverage="0" equalAverage="0" bottom="0" percent="0" rank="0" text="" dxfId="2">
      <formula>AND(ISNUMBER(E12),E12&lt;0)</formula>
    </cfRule>
  </conditionalFormatting>
  <conditionalFormatting sqref="E13 G13 I13 K13">
    <cfRule type="expression" priority="16" aboveAverage="0" equalAverage="0" bottom="0" percent="0" rank="0" text="" dxfId="0">
      <formula>AND(ISNUMBER(E13),E13&gt;0)</formula>
    </cfRule>
    <cfRule type="expression" priority="17" aboveAverage="0" equalAverage="0" bottom="0" percent="0" rank="0" text="" dxfId="2">
      <formula>AND(ISNUMBER(E13),E13&lt;0)</formula>
    </cfRule>
  </conditionalFormatting>
  <conditionalFormatting sqref="E15 G15 I15 K15">
    <cfRule type="expression" priority="18" aboveAverage="0" equalAverage="0" bottom="0" percent="0" rank="0" text="" dxfId="0">
      <formula>AND(ISNUMBER(E15),E15&lt;0)</formula>
    </cfRule>
    <cfRule type="expression" priority="19" aboveAverage="0" equalAverage="0" bottom="0" percent="0" rank="0" text="" dxfId="2">
      <formula>AND(ISNUMBER(E15),E15&gt;0)</formula>
    </cfRule>
  </conditionalFormatting>
  <conditionalFormatting sqref="E18 G18 I18 K18">
    <cfRule type="expression" priority="20" aboveAverage="0" equalAverage="0" bottom="0" percent="0" rank="0" text="" dxfId="0">
      <formula>AND(ISNUMBER(E18),E18&lt;0)</formula>
    </cfRule>
    <cfRule type="expression" priority="21" aboveAverage="0" equalAverage="0" bottom="0" percent="0" rank="0" text="" dxfId="2">
      <formula>AND(ISNUMBER(E18),E18&gt;0)</formula>
    </cfRule>
  </conditionalFormatting>
  <conditionalFormatting sqref="E19 G19 I19 K19">
    <cfRule type="expression" priority="22" aboveAverage="0" equalAverage="0" bottom="0" percent="0" rank="0" text="" dxfId="0">
      <formula>AND(ISNUMBER(E19),E19&lt;0)</formula>
    </cfRule>
    <cfRule type="expression" priority="23" aboveAverage="0" equalAverage="0" bottom="0" percent="0" rank="0" text="" dxfId="2">
      <formula>AND(ISNUMBER(E19),E19&gt;0)</formula>
    </cfRule>
  </conditionalFormatting>
  <conditionalFormatting sqref="E20 G20 I20 K20">
    <cfRule type="expression" priority="24" aboveAverage="0" equalAverage="0" bottom="0" percent="0" rank="0" text="" dxfId="0">
      <formula>AND(ISNUMBER(E20),E20&lt;0)</formula>
    </cfRule>
    <cfRule type="expression" priority="25" aboveAverage="0" equalAverage="0" bottom="0" percent="0" rank="0" text="" dxfId="2">
      <formula>AND(ISNUMBER(E20),E20&gt;0)</formula>
    </cfRule>
  </conditionalFormatting>
  <conditionalFormatting sqref="E21 G21 I21 K21">
    <cfRule type="expression" priority="26" aboveAverage="0" equalAverage="0" bottom="0" percent="0" rank="0" text="" dxfId="0">
      <formula>AND(ISNUMBER(E21),E21&lt;0)</formula>
    </cfRule>
    <cfRule type="expression" priority="27" aboveAverage="0" equalAverage="0" bottom="0" percent="0" rank="0" text="" dxfId="2">
      <formula>AND(ISNUMBER(E21),E21&gt;0)</formula>
    </cfRule>
  </conditionalFormatting>
  <conditionalFormatting sqref="E22 G22 I22 K22">
    <cfRule type="expression" priority="28" aboveAverage="0" equalAverage="0" bottom="0" percent="0" rank="0" text="" dxfId="0">
      <formula>AND(ISNUMBER(E22),E22&lt;0)</formula>
    </cfRule>
    <cfRule type="expression" priority="29" aboveAverage="0" equalAverage="0" bottom="0" percent="0" rank="0" text="" dxfId="2">
      <formula>AND(ISNUMBER(E22),E22&gt;0)</formula>
    </cfRule>
  </conditionalFormatting>
  <conditionalFormatting sqref="E23 G23 I23 K23">
    <cfRule type="expression" priority="30" aboveAverage="0" equalAverage="0" bottom="0" percent="0" rank="0" text="" dxfId="0">
      <formula>AND(ISNUMBER(E23),E23&lt;0)</formula>
    </cfRule>
    <cfRule type="expression" priority="31" aboveAverage="0" equalAverage="0" bottom="0" percent="0" rank="0" text="" dxfId="2">
      <formula>AND(ISNUMBER(E23),E23&gt;0)</formula>
    </cfRule>
  </conditionalFormatting>
  <conditionalFormatting sqref="E24 G24 I24 K24">
    <cfRule type="expression" priority="32" aboveAverage="0" equalAverage="0" bottom="0" percent="0" rank="0" text="" dxfId="0">
      <formula>AND(ISNUMBER(E24),E24&lt;0)</formula>
    </cfRule>
    <cfRule type="expression" priority="33" aboveAverage="0" equalAverage="0" bottom="0" percent="0" rank="0" text="" dxfId="2">
      <formula>AND(ISNUMBER(E24),E24&gt;0)</formula>
    </cfRule>
  </conditionalFormatting>
  <conditionalFormatting sqref="E25 G25 I25 K25">
    <cfRule type="expression" priority="34" aboveAverage="0" equalAverage="0" bottom="0" percent="0" rank="0" text="" dxfId="0">
      <formula>AND(ISNUMBER(E25),E25&lt;0)</formula>
    </cfRule>
    <cfRule type="expression" priority="35" aboveAverage="0" equalAverage="0" bottom="0" percent="0" rank="0" text="" dxfId="2">
      <formula>AND(ISNUMBER(E25),E25&gt;0)</formula>
    </cfRule>
  </conditionalFormatting>
  <conditionalFormatting sqref="E29 G29 I29 K29">
    <cfRule type="expression" priority="36" aboveAverage="0" equalAverage="0" bottom="0" percent="0" rank="0" text="" dxfId="0">
      <formula>AND(ISNUMBER(E29),E29&gt;0)</formula>
    </cfRule>
    <cfRule type="expression" priority="37" aboveAverage="0" equalAverage="0" bottom="0" percent="0" rank="0" text="" dxfId="2">
      <formula>AND(ISNUMBER(E29),E29&lt;0)</formula>
    </cfRule>
  </conditionalFormatting>
  <conditionalFormatting sqref="E30 G30 I30 K30">
    <cfRule type="expression" priority="38" aboveAverage="0" equalAverage="0" bottom="0" percent="0" rank="0" text="" dxfId="0">
      <formula>AND(ISNUMBER(E30),E30&gt;0)</formula>
    </cfRule>
    <cfRule type="expression" priority="39" aboveAverage="0" equalAverage="0" bottom="0" percent="0" rank="0" text="" dxfId="2">
      <formula>AND(ISNUMBER(E30),E30&lt;0)</formula>
    </cfRule>
  </conditionalFormatting>
  <conditionalFormatting sqref="E31 G31 I31 K31">
    <cfRule type="expression" priority="40" aboveAverage="0" equalAverage="0" bottom="0" percent="0" rank="0" text="" dxfId="0">
      <formula>AND(ISNUMBER(E31),E31&gt;0)</formula>
    </cfRule>
    <cfRule type="expression" priority="41" aboveAverage="0" equalAverage="0" bottom="0" percent="0" rank="0" text="" dxfId="2">
      <formula>AND(ISNUMBER(E31),E31&lt;0)</formula>
    </cfRule>
  </conditionalFormatting>
  <conditionalFormatting sqref="E32 G32 I32 K32">
    <cfRule type="expression" priority="42" aboveAverage="0" equalAverage="0" bottom="0" percent="0" rank="0" text="" dxfId="0">
      <formula>AND(ISNUMBER(E32),E32&gt;0)</formula>
    </cfRule>
    <cfRule type="expression" priority="43" aboveAverage="0" equalAverage="0" bottom="0" percent="0" rank="0" text="" dxfId="2">
      <formula>AND(ISNUMBER(E32),E32&lt;0)</formula>
    </cfRule>
  </conditionalFormatting>
  <conditionalFormatting sqref="E33 G33 I33 K33">
    <cfRule type="expression" priority="44" aboveAverage="0" equalAverage="0" bottom="0" percent="0" rank="0" text="" dxfId="0">
      <formula>AND(ISNUMBER(E33),E33&gt;0)</formula>
    </cfRule>
    <cfRule type="expression" priority="45" aboveAverage="0" equalAverage="0" bottom="0" percent="0" rank="0" text="" dxfId="2">
      <formula>AND(ISNUMBER(E33),E33&lt;0)</formula>
    </cfRule>
  </conditionalFormatting>
  <conditionalFormatting sqref="E34 G34 I34 K34">
    <cfRule type="expression" priority="46" aboveAverage="0" equalAverage="0" bottom="0" percent="0" rank="0" text="" dxfId="0">
      <formula>AND(ISNUMBER(E34),E34&gt;0)</formula>
    </cfRule>
    <cfRule type="expression" priority="47" aboveAverage="0" equalAverage="0" bottom="0" percent="0" rank="0" text="" dxfId="2">
      <formula>AND(ISNUMBER(E34),E34&lt;0)</formula>
    </cfRule>
  </conditionalFormatting>
  <conditionalFormatting sqref="E35 G35 I35 K35">
    <cfRule type="expression" priority="48" aboveAverage="0" equalAverage="0" bottom="0" percent="0" rank="0" text="" dxfId="0">
      <formula>AND(ISNUMBER(E35),E35&gt;0)</formula>
    </cfRule>
    <cfRule type="expression" priority="49" aboveAverage="0" equalAverage="0" bottom="0" percent="0" rank="0" text="" dxfId="2">
      <formula>AND(ISNUMBER(E35),E35&lt;0)</formula>
    </cfRule>
  </conditionalFormatting>
  <conditionalFormatting sqref="E36 G36 I36 K36">
    <cfRule type="expression" priority="50" aboveAverage="0" equalAverage="0" bottom="0" percent="0" rank="0" text="" dxfId="0">
      <formula>AND(ISNUMBER(E36),E36&gt;0)</formula>
    </cfRule>
    <cfRule type="expression" priority="51" aboveAverage="0" equalAverage="0" bottom="0" percent="0" rank="0" text="" dxfId="2">
      <formula>AND(ISNUMBER(E36),E36&lt;0)</formula>
    </cfRule>
  </conditionalFormatting>
  <conditionalFormatting sqref="E38 G38 I38 K38">
    <cfRule type="expression" priority="52" aboveAverage="0" equalAverage="0" bottom="0" percent="0" rank="0" text="" dxfId="0">
      <formula>AND(ISNUMBER(E38),E38&lt;0)</formula>
    </cfRule>
    <cfRule type="expression" priority="53" aboveAverage="0" equalAverage="0" bottom="0" percent="0" rank="0" text="" dxfId="2">
      <formula>AND(ISNUMBER(E38),E38&gt;0)</formula>
    </cfRule>
  </conditionalFormatting>
  <conditionalFormatting sqref="E52 G52 I52 K52">
    <cfRule type="expression" priority="54" aboveAverage="0" equalAverage="0" bottom="0" percent="0" rank="0" text="" dxfId="0">
      <formula>AND(ISNUMBER(E52),E52&gt;0)</formula>
    </cfRule>
    <cfRule type="expression" priority="55" aboveAverage="0" equalAverage="0" bottom="0" percent="0" rank="0" text="" dxfId="2">
      <formula>AND(ISNUMBER(E52),E52&lt;0)</formula>
    </cfRule>
  </conditionalFormatting>
  <conditionalFormatting sqref="E53 G53 I53 K53">
    <cfRule type="expression" priority="56" aboveAverage="0" equalAverage="0" bottom="0" percent="0" rank="0" text="" dxfId="0">
      <formula>AND(ISNUMBER(E53),E53&gt;0)</formula>
    </cfRule>
    <cfRule type="expression" priority="57" aboveAverage="0" equalAverage="0" bottom="0" percent="0" rank="0" text="" dxfId="2">
      <formula>AND(ISNUMBER(E53),E53&lt;0)</formula>
    </cfRule>
  </conditionalFormatting>
  <conditionalFormatting sqref="E54 G54 I54 K54">
    <cfRule type="expression" priority="58" aboveAverage="0" equalAverage="0" bottom="0" percent="0" rank="0" text="" dxfId="0">
      <formula>AND(ISNUMBER(E54),E54&gt;0)</formula>
    </cfRule>
    <cfRule type="expression" priority="59" aboveAverage="0" equalAverage="0" bottom="0" percent="0" rank="0" text="" dxfId="2">
      <formula>AND(ISNUMBER(E54),E54&lt;0)</formula>
    </cfRule>
  </conditionalFormatting>
  <conditionalFormatting sqref="E55 G55 I55 K55">
    <cfRule type="expression" priority="60" aboveAverage="0" equalAverage="0" bottom="0" percent="0" rank="0" text="" dxfId="0">
      <formula>AND(ISNUMBER(E55),E55&gt;0)</formula>
    </cfRule>
    <cfRule type="expression" priority="61" aboveAverage="0" equalAverage="0" bottom="0" percent="0" rank="0" text="" dxfId="2">
      <formula>AND(ISNUMBER(E55),E55&lt;0)</formula>
    </cfRule>
  </conditionalFormatting>
  <conditionalFormatting sqref="E56 G56 I56 K56">
    <cfRule type="expression" priority="62" aboveAverage="0" equalAverage="0" bottom="0" percent="0" rank="0" text="" dxfId="0">
      <formula>AND(ISNUMBER(E56),E56&gt;0)</formula>
    </cfRule>
    <cfRule type="expression" priority="63" aboveAverage="0" equalAverage="0" bottom="0" percent="0" rank="0" text="" dxfId="2">
      <formula>AND(ISNUMBER(E56),E56&lt;0)</formula>
    </cfRule>
  </conditionalFormatting>
  <conditionalFormatting sqref="E57 G57 I57 K57">
    <cfRule type="expression" priority="64" aboveAverage="0" equalAverage="0" bottom="0" percent="0" rank="0" text="" dxfId="0">
      <formula>AND(ISNUMBER(E57),E57&gt;0)</formula>
    </cfRule>
    <cfRule type="expression" priority="65" aboveAverage="0" equalAverage="0" bottom="0" percent="0" rank="0" text="" dxfId="2">
      <formula>AND(ISNUMBER(E57),E57&lt;0)</formula>
    </cfRule>
  </conditionalFormatting>
  <conditionalFormatting sqref="E58 G58 I58 K58">
    <cfRule type="expression" priority="66" aboveAverage="0" equalAverage="0" bottom="0" percent="0" rank="0" text="" dxfId="0">
      <formula>AND(ISNUMBER(E58),E58&gt;0)</formula>
    </cfRule>
    <cfRule type="expression" priority="67" aboveAverage="0" equalAverage="0" bottom="0" percent="0" rank="0" text="" dxfId="2">
      <formula>AND(ISNUMBER(E58),E58&lt;0)</formula>
    </cfRule>
  </conditionalFormatting>
  <conditionalFormatting sqref="E59 G59 I59 K59">
    <cfRule type="expression" priority="68" aboveAverage="0" equalAverage="0" bottom="0" percent="0" rank="0" text="" dxfId="0">
      <formula>AND(ISNUMBER(E59),E59&gt;0)</formula>
    </cfRule>
    <cfRule type="expression" priority="69" aboveAverage="0" equalAverage="0" bottom="0" percent="0" rank="0" text="" dxfId="2">
      <formula>AND(ISNUMBER(E59),E59&lt;0)</formula>
    </cfRule>
  </conditionalFormatting>
  <conditionalFormatting sqref="E61 G61 I61 K61">
    <cfRule type="expression" priority="70" aboveAverage="0" equalAverage="0" bottom="0" percent="0" rank="0" text="" dxfId="0">
      <formula>AND(ISNUMBER(E61),E61&lt;0)</formula>
    </cfRule>
    <cfRule type="expression" priority="71" aboveAverage="0" equalAverage="0" bottom="0" percent="0" rank="0" text="" dxfId="2">
      <formula>AND(ISNUMBER(E61),E61&gt;0)</formula>
    </cfRule>
  </conditionalFormatting>
  <conditionalFormatting sqref="E64 G64 I64 K64">
    <cfRule type="expression" priority="72" aboveAverage="0" equalAverage="0" bottom="0" percent="0" rank="0" text="" dxfId="0">
      <formula>AND(ISNUMBER(E64),E64&gt;0)</formula>
    </cfRule>
    <cfRule type="expression" priority="73" aboveAverage="0" equalAverage="0" bottom="0" percent="0" rank="0" text="" dxfId="2">
      <formula>AND(ISNUMBER(E64),E64&lt;0)</formula>
    </cfRule>
  </conditionalFormatting>
  <conditionalFormatting sqref="E65 G65 I65 K65">
    <cfRule type="expression" priority="74" aboveAverage="0" equalAverage="0" bottom="0" percent="0" rank="0" text="" dxfId="0">
      <formula>AND(ISNUMBER(E65),E65&gt;0)</formula>
    </cfRule>
    <cfRule type="expression" priority="75" aboveAverage="0" equalAverage="0" bottom="0" percent="0" rank="0" text="" dxfId="2">
      <formula>AND(ISNUMBER(E65),E65&lt;0)</formula>
    </cfRule>
  </conditionalFormatting>
  <conditionalFormatting sqref="E66 G66 I66 K66">
    <cfRule type="expression" priority="76" aboveAverage="0" equalAverage="0" bottom="0" percent="0" rank="0" text="" dxfId="0">
      <formula>AND(ISNUMBER(E66),E66&gt;0)</formula>
    </cfRule>
    <cfRule type="expression" priority="77" aboveAverage="0" equalAverage="0" bottom="0" percent="0" rank="0" text="" dxfId="2">
      <formula>AND(ISNUMBER(E66),E66&lt;0)</formula>
    </cfRule>
  </conditionalFormatting>
  <conditionalFormatting sqref="E67 G67 I67 K67">
    <cfRule type="expression" priority="78" aboveAverage="0" equalAverage="0" bottom="0" percent="0" rank="0" text="" dxfId="0">
      <formula>AND(ISNUMBER(E67),E67&gt;0)</formula>
    </cfRule>
    <cfRule type="expression" priority="79" aboveAverage="0" equalAverage="0" bottom="0" percent="0" rank="0" text="" dxfId="2">
      <formula>AND(ISNUMBER(E67),E67&lt;0)</formula>
    </cfRule>
  </conditionalFormatting>
  <conditionalFormatting sqref="E68 G68 I68 K68">
    <cfRule type="expression" priority="80" aboveAverage="0" equalAverage="0" bottom="0" percent="0" rank="0" text="" dxfId="0">
      <formula>AND(ISNUMBER(E68),E68&gt;0)</formula>
    </cfRule>
    <cfRule type="expression" priority="81" aboveAverage="0" equalAverage="0" bottom="0" percent="0" rank="0" text="" dxfId="2">
      <formula>AND(ISNUMBER(E68),E68&lt;0)</formula>
    </cfRule>
  </conditionalFormatting>
  <conditionalFormatting sqref="E69 G69 I69 K69">
    <cfRule type="expression" priority="82" aboveAverage="0" equalAverage="0" bottom="0" percent="0" rank="0" text="" dxfId="0">
      <formula>AND(ISNUMBER(E69),E69&gt;0)</formula>
    </cfRule>
    <cfRule type="expression" priority="83" aboveAverage="0" equalAverage="0" bottom="0" percent="0" rank="0" text="" dxfId="2">
      <formula>AND(ISNUMBER(E69),E69&lt;0)</formula>
    </cfRule>
  </conditionalFormatting>
  <conditionalFormatting sqref="E70 G70 I70 K70">
    <cfRule type="expression" priority="84" aboveAverage="0" equalAverage="0" bottom="0" percent="0" rank="0" text="" dxfId="0">
      <formula>AND(ISNUMBER(E70),E70&gt;0)</formula>
    </cfRule>
    <cfRule type="expression" priority="85" aboveAverage="0" equalAverage="0" bottom="0" percent="0" rank="0" text="" dxfId="2">
      <formula>AND(ISNUMBER(E70),E70&lt;0)</formula>
    </cfRule>
  </conditionalFormatting>
  <conditionalFormatting sqref="E71 G71 I71 K71">
    <cfRule type="expression" priority="86" aboveAverage="0" equalAverage="0" bottom="0" percent="0" rank="0" text="" dxfId="0">
      <formula>AND(ISNUMBER(E71),E71&gt;0)</formula>
    </cfRule>
    <cfRule type="expression" priority="87" aboveAverage="0" equalAverage="0" bottom="0" percent="0" rank="0" text="" dxfId="2">
      <formula>AND(ISNUMBER(E71),E71&lt;0)</formula>
    </cfRule>
  </conditionalFormatting>
  <conditionalFormatting sqref="E73 G73 I73 K73">
    <cfRule type="expression" priority="88" aboveAverage="0" equalAverage="0" bottom="0" percent="0" rank="0" text="" dxfId="0">
      <formula>AND(ISNUMBER(E73),E73&lt;0)</formula>
    </cfRule>
    <cfRule type="expression" priority="89" aboveAverage="0" equalAverage="0" bottom="0" percent="0" rank="0" text="" dxfId="2">
      <formula>AND(ISNUMBER(E73),E73&gt;0)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D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</cols>
  <sheetData>
    <row r="1" customFormat="false" ht="19.7" hidden="false" customHeight="false" outlineLevel="0" collapsed="false">
      <c r="A1" s="7" t="s">
        <v>1180</v>
      </c>
    </row>
    <row r="2" customFormat="false" ht="15" hidden="false" customHeight="false" outlineLevel="0" collapsed="false">
      <c r="A2" s="3" t="s">
        <v>1181</v>
      </c>
    </row>
    <row r="3" customFormat="false" ht="15" hidden="false" customHeight="false" outlineLevel="0" collapsed="false">
      <c r="A3" s="8" t="s">
        <v>85</v>
      </c>
    </row>
    <row r="58" customFormat="false" ht="15" hidden="false" customHeight="false" outlineLevel="0" collapsed="false">
      <c r="A58" s="20" t="s">
        <v>1182</v>
      </c>
    </row>
    <row r="59" customFormat="false" ht="30" hidden="false" customHeight="true" outlineLevel="0" collapsed="false">
      <c r="A59" s="12" t="s">
        <v>1183</v>
      </c>
      <c r="B59" s="12" t="s">
        <v>1184</v>
      </c>
      <c r="C59" s="12" t="s">
        <v>1185</v>
      </c>
      <c r="D59" s="12" t="s">
        <v>1186</v>
      </c>
    </row>
    <row r="60" customFormat="false" ht="15" hidden="false" customHeight="false" outlineLevel="0" collapsed="false">
      <c r="A60" s="5" t="s">
        <v>105</v>
      </c>
      <c r="B60" s="77" t="n">
        <f aca="false">IF(ISNUMBER('Season by Year'!D65),'Season by Year'!D65,"")</f>
        <v>1.85</v>
      </c>
      <c r="C60" s="77" t="n">
        <f aca="false">IF(ISNUMBER('Season by Year'!F65),'Season by Year'!F65,"")</f>
        <v>2.1</v>
      </c>
      <c r="D60" s="77" t="n">
        <f aca="false">IF(ISNUMBER('Season by Year'!H65),'Season by Year'!H65,"")</f>
        <v>2.32</v>
      </c>
    </row>
    <row r="61" customFormat="false" ht="15" hidden="false" customHeight="false" outlineLevel="0" collapsed="false">
      <c r="A61" s="5" t="s">
        <v>1187</v>
      </c>
      <c r="B61" s="77" t="n">
        <f aca="false">IF(ISNUMBER('Season by Year'!D66),'Season by Year'!D66,"")</f>
        <v>2</v>
      </c>
      <c r="C61" s="77" t="n">
        <f aca="false">IF(ISNUMBER('Season by Year'!F66),'Season by Year'!F66,"")</f>
        <v>2.15</v>
      </c>
      <c r="D61" s="77" t="n">
        <f aca="false">IF(ISNUMBER('Season by Year'!H66),'Season by Year'!H66,"")</f>
        <v>2.3</v>
      </c>
    </row>
    <row r="62" customFormat="false" ht="15" hidden="false" customHeight="false" outlineLevel="0" collapsed="false">
      <c r="A62" s="5" t="s">
        <v>1119</v>
      </c>
      <c r="B62" s="39" t="n">
        <f aca="false">IF(ISNUMBER('Season by Year'!D67),'Season by Year'!D67,"")</f>
        <v>0.142</v>
      </c>
      <c r="C62" s="39" t="n">
        <f aca="false">IF(ISNUMBER('Season by Year'!F67),'Season by Year'!F67,"")</f>
        <v>0.155</v>
      </c>
      <c r="D62" s="39" t="n">
        <f aca="false">IF(ISNUMBER('Season by Year'!H67),'Season by Year'!H67,"")</f>
        <v>0.168</v>
      </c>
    </row>
    <row r="63" customFormat="false" ht="15" hidden="false" customHeight="false" outlineLevel="0" collapsed="false">
      <c r="A63" s="5" t="s">
        <v>1188</v>
      </c>
      <c r="B63" s="39" t="n">
        <f aca="false">IF(ISNUMBER('Season by Year'!D68),'Season by Year'!D68,"")</f>
        <v>0.15</v>
      </c>
      <c r="C63" s="39" t="n">
        <f aca="false">IF(ISNUMBER('Season by Year'!F68),'Season by Year'!F68,"")</f>
        <v>0.155</v>
      </c>
      <c r="D63" s="39" t="n">
        <f aca="false">IF(ISNUMBER('Season by Year'!H68),'Season by Year'!H68,"")</f>
        <v>0.16</v>
      </c>
    </row>
    <row r="64" customFormat="false" ht="15" hidden="false" customHeight="false" outlineLevel="0" collapsed="false">
      <c r="A64" s="5" t="s">
        <v>1121</v>
      </c>
      <c r="B64" s="77" t="n">
        <f aca="false">IF(ISNUMBER('Season by Year'!D69),'Season by Year'!D69,"")</f>
        <v>22.4</v>
      </c>
      <c r="C64" s="77" t="n">
        <f aca="false">IF(ISNUMBER('Season by Year'!F69),'Season by Year'!F69,"")</f>
        <v>26.1</v>
      </c>
      <c r="D64" s="77" t="n">
        <f aca="false">IF(ISNUMBER('Season by Year'!H69),'Season by Year'!H69,"")</f>
        <v>29.5</v>
      </c>
    </row>
    <row r="65" customFormat="false" ht="15" hidden="false" customHeight="false" outlineLevel="0" collapsed="false">
      <c r="A65" s="5" t="s">
        <v>1189</v>
      </c>
      <c r="B65" s="77" t="n">
        <f aca="false">IF(ISNUMBER('Season by Year'!D70),'Season by Year'!D70,"")</f>
        <v>25</v>
      </c>
      <c r="C65" s="77" t="n">
        <f aca="false">IF(ISNUMBER('Season by Year'!F70),'Season by Year'!F70,"")</f>
        <v>27</v>
      </c>
      <c r="D65" s="77" t="n">
        <f aca="false">IF(ISNUMBER('Season by Year'!H70),'Season by Year'!H70,"")</f>
        <v>29</v>
      </c>
    </row>
    <row r="66" customFormat="false" ht="15" hidden="false" customHeight="false" outlineLevel="0" collapsed="false">
      <c r="A66" s="5" t="s">
        <v>1125</v>
      </c>
      <c r="B66" s="26" t="n">
        <f aca="false">IF(ISNUMBER('Season by Year'!D74),'Season by Year'!D74,"")</f>
        <v>68</v>
      </c>
      <c r="C66" s="26" t="n">
        <f aca="false">IF(ISNUMBER('Season by Year'!F74),'Season by Year'!F74,"")</f>
        <v>71</v>
      </c>
      <c r="D66" s="26" t="n">
        <f aca="false">IF(ISNUMBER('Season by Year'!H74),'Season by Year'!H74,"")</f>
        <v>74</v>
      </c>
    </row>
    <row r="67" customFormat="false" ht="15" hidden="false" customHeight="false" outlineLevel="0" collapsed="false">
      <c r="A67" s="5" t="s">
        <v>1190</v>
      </c>
      <c r="B67" s="26" t="n">
        <f aca="false">IF(ISNUMBER('Season by Year'!D75),'Season by Year'!D75,"")</f>
        <v>70</v>
      </c>
      <c r="C67" s="26" t="n">
        <f aca="false">IF(ISNUMBER('Season by Year'!F75),'Season by Year'!F75,"")</f>
        <v>72</v>
      </c>
      <c r="D67" s="26" t="n">
        <f aca="false">IF(ISNUMBER('Season by Year'!H75),'Season by Year'!H75,"")</f>
        <v>74</v>
      </c>
    </row>
    <row r="68" customFormat="false" ht="15" hidden="false" customHeight="false" outlineLevel="0" collapsed="false">
      <c r="A68" s="5" t="s">
        <v>1124</v>
      </c>
      <c r="B68" s="26" t="n">
        <f aca="false">IF(ISNUMBER('Season by Year'!D73),'Season by Year'!D73,"")</f>
        <v>8</v>
      </c>
      <c r="C68" s="26" t="n">
        <f aca="false">IF(ISNUMBER('Season by Year'!F73),'Season by Year'!F73,"")</f>
        <v>9</v>
      </c>
      <c r="D68" s="26" t="n">
        <f aca="false">IF(ISNUMBER('Season by Year'!H73),'Season by Year'!H73,"")</f>
        <v>10</v>
      </c>
    </row>
    <row r="69" customFormat="false" ht="15" hidden="false" customHeight="false" outlineLevel="0" collapsed="false">
      <c r="A69" s="5" t="s">
        <v>1127</v>
      </c>
      <c r="B69" s="26" t="n">
        <f aca="false">IF(ISNUMBER('Season by Year'!D76),'Season by Year'!D76,"")</f>
        <v>78</v>
      </c>
      <c r="C69" s="26" t="n">
        <f aca="false">IF(ISNUMBER('Season by Year'!F76),'Season by Year'!F76,"")</f>
        <v>84</v>
      </c>
      <c r="D69" s="26" t="n">
        <f aca="false">IF(ISNUMBER('Season by Year'!H76),'Season by Year'!H76,"")</f>
        <v>89</v>
      </c>
    </row>
    <row r="70" customFormat="false" ht="15" hidden="false" customHeight="false" outlineLevel="0" collapsed="false">
      <c r="A70" s="5" t="s">
        <v>368</v>
      </c>
      <c r="B70" s="26" t="n">
        <f aca="false">IF(ISNUMBER('Season by Year'!D77),'Season by Year'!D77,"")</f>
        <v>3</v>
      </c>
      <c r="C70" s="26" t="n">
        <f aca="false">IF(ISNUMBER('Season by Year'!F77),'Season by Year'!F77,"")</f>
        <v>2</v>
      </c>
      <c r="D70" s="26" t="n">
        <f aca="false">IF(ISNUMBER('Season by Year'!H77),'Season by Year'!H77,"")</f>
        <v>1</v>
      </c>
    </row>
    <row r="71" customFormat="false" ht="15" hidden="false" customHeight="false" outlineLevel="0" collapsed="false">
      <c r="A71" s="5" t="s">
        <v>1129</v>
      </c>
      <c r="B71" s="42" t="n">
        <f aca="false">IF(ISNUMBER('Season by Year'!D78),'Season by Year'!D78,"")</f>
        <v>412000</v>
      </c>
      <c r="C71" s="42" t="n">
        <f aca="false">IF(ISNUMBER('Season by Year'!F78),'Season by Year'!F78,"")</f>
        <v>455000</v>
      </c>
      <c r="D71" s="42" t="n">
        <f aca="false">IF(ISNUMBER('Season by Year'!H78),'Season by Year'!H78,"")</f>
        <v>498000</v>
      </c>
    </row>
    <row r="72" customFormat="false" ht="15" hidden="false" customHeight="false" outlineLevel="0" collapsed="false">
      <c r="A72" s="5" t="s">
        <v>1130</v>
      </c>
      <c r="B72" s="42" t="n">
        <f aca="false">IF(ISNUMBER('Season by Year'!D79),'Season by Year'!D79,"")</f>
        <v>18500</v>
      </c>
      <c r="C72" s="42" t="n">
        <f aca="false">IF(ISNUMBER('Season by Year'!F79),'Season by Year'!F79,"")</f>
        <v>21900</v>
      </c>
      <c r="D72" s="42" t="n">
        <f aca="false">IF(ISNUMBER('Season by Year'!H79),'Season by Year'!H79,"")</f>
        <v>24800</v>
      </c>
    </row>
    <row r="73" customFormat="false" ht="15" hidden="false" customHeight="false" outlineLevel="0" collapsed="false">
      <c r="A73" s="5" t="s">
        <v>1191</v>
      </c>
      <c r="B73" s="27" t="n">
        <f aca="false">IF(ISNUMBER('Season by Year'!D95),'Season by Year'!D95,"")</f>
        <v>12.225</v>
      </c>
      <c r="C73" s="27" t="n">
        <f aca="false">IF(ISNUMBER('Season by Year'!F95),'Season by Year'!F95,"")</f>
        <v>12.975</v>
      </c>
      <c r="D73" s="27" t="n">
        <f aca="false">IF(ISNUMBER('Season by Year'!H95),'Season by Year'!H95,"")</f>
        <v>13.575</v>
      </c>
    </row>
    <row r="74" customFormat="false" ht="15" hidden="false" customHeight="false" outlineLevel="0" collapsed="false">
      <c r="A74" s="5" t="s">
        <v>1192</v>
      </c>
      <c r="B74" s="27" t="n">
        <f aca="false">IF(ISNUMBER('Season by Year'!D110),'Season by Year'!D110,"")</f>
        <v>11.975</v>
      </c>
      <c r="C74" s="27" t="n">
        <f aca="false">IF(ISNUMBER('Season by Year'!F110),'Season by Year'!F110,"")</f>
        <v>12.55</v>
      </c>
      <c r="D74" s="27" t="n">
        <f aca="false">IF(ISNUMBER('Season by Year'!H110),'Season by Year'!H110,"")</f>
        <v>13.125</v>
      </c>
    </row>
    <row r="75" customFormat="false" ht="15" hidden="false" customHeight="false" outlineLevel="0" collapsed="false">
      <c r="A75" s="5" t="s">
        <v>1193</v>
      </c>
      <c r="B75" s="35" t="n">
        <f aca="false">IF(ISNUMBER('Season by Year'!D87),'Season by Year'!D87,"")</f>
        <v>182</v>
      </c>
      <c r="C75" s="35" t="n">
        <f aca="false">IF(ISNUMBER('Season by Year'!F87),'Season by Year'!F87,"")</f>
        <v>176</v>
      </c>
      <c r="D75" s="35" t="n">
        <f aca="false">IF(ISNUMBER('Season by Year'!H87),'Season by Year'!H87,"")</f>
        <v>171</v>
      </c>
    </row>
    <row r="76" customFormat="false" ht="15" hidden="false" customHeight="false" outlineLevel="0" collapsed="false">
      <c r="A76" s="5" t="s">
        <v>1194</v>
      </c>
      <c r="B76" s="35" t="n">
        <f aca="false">IF(ISNUMBER('Season by Year'!D88),'Season by Year'!D88,"")</f>
        <v>186</v>
      </c>
      <c r="C76" s="35" t="n">
        <f aca="false">IF(ISNUMBER('Season by Year'!F88),'Season by Year'!F88,"")</f>
        <v>184</v>
      </c>
      <c r="D76" s="35" t="n">
        <f aca="false">IF(ISNUMBER('Season by Year'!H88),'Season by Year'!H88,"")</f>
        <v>181</v>
      </c>
    </row>
    <row r="77" customFormat="false" ht="15" hidden="false" customHeight="false" outlineLevel="0" collapsed="false">
      <c r="A77" s="5" t="s">
        <v>1195</v>
      </c>
      <c r="B77" s="35" t="n">
        <f aca="false">IF(ISNUMBER('Season by Year'!D102),'Season by Year'!D102,"")</f>
        <v>905</v>
      </c>
      <c r="C77" s="35" t="n">
        <f aca="false">IF(ISNUMBER('Season by Year'!F102),'Season by Year'!F102,"")</f>
        <v>884</v>
      </c>
      <c r="D77" s="35" t="n">
        <f aca="false">IF(ISNUMBER('Season by Year'!H102),'Season by Year'!H102,"")</f>
        <v>870</v>
      </c>
    </row>
    <row r="78" customFormat="false" ht="15" hidden="false" customHeight="false" outlineLevel="0" collapsed="false">
      <c r="A78" s="5" t="s">
        <v>1196</v>
      </c>
      <c r="B78" s="35" t="n">
        <f aca="false">IF(ISNUMBER('Season by Year'!D103),'Season by Year'!D103,"")</f>
        <v>890</v>
      </c>
      <c r="C78" s="35" t="n">
        <f aca="false">IF(ISNUMBER('Season by Year'!F103),'Season by Year'!F103,"")</f>
        <v>879</v>
      </c>
      <c r="D78" s="35" t="n">
        <f aca="false">IF(ISNUMBER('Season by Year'!H103),'Season by Year'!H103,"")</f>
        <v>871</v>
      </c>
    </row>
    <row r="79" customFormat="false" ht="15" hidden="false" customHeight="false" outlineLevel="0" collapsed="false">
      <c r="A79" s="5" t="s">
        <v>1136</v>
      </c>
      <c r="B79" s="25" t="n">
        <f aca="false">IF(ISNUMBER('Season by Year'!D84),'Season by Year'!D84,"")</f>
        <v>-0.0434782608695652</v>
      </c>
      <c r="C79" s="25" t="n">
        <f aca="false">IF(ISNUMBER('Season by Year'!F84),'Season by Year'!F84,"")</f>
        <v>-0.044280442804428</v>
      </c>
      <c r="D79" s="25" t="n">
        <f aca="false">IF(ISNUMBER('Season by Year'!H84),'Season by Year'!H84,"")</f>
        <v>-0.0485074626865671</v>
      </c>
    </row>
    <row r="80" customFormat="false" ht="15" hidden="false" customHeight="false" outlineLevel="0" collapsed="false">
      <c r="A80" s="5" t="s">
        <v>1197</v>
      </c>
      <c r="B80" s="25" t="n">
        <f aca="false">IF(ISNUMBER('Season by Year'!D89),'Season by Year'!D89,"")</f>
        <v>-0.021505376344086</v>
      </c>
      <c r="C80" s="25" t="n">
        <f aca="false">IF(ISNUMBER('Season by Year'!F89),'Season by Year'!F89,"")</f>
        <v>-0.0434782608695652</v>
      </c>
      <c r="D80" s="25" t="n">
        <f aca="false">IF(ISNUMBER('Season by Year'!H89),'Season by Year'!H89,"")</f>
        <v>-0.0552486187845304</v>
      </c>
    </row>
    <row r="81" customFormat="false" ht="15" hidden="false" customHeight="false" outlineLevel="0" collapsed="false">
      <c r="A81" s="5" t="s">
        <v>1152</v>
      </c>
      <c r="B81" s="25" t="n">
        <f aca="false">IF(ISNUMBER('Season by Year'!D99),'Season by Year'!D99,"")</f>
        <v>0.0351464435146442</v>
      </c>
      <c r="C81" s="25" t="n">
        <f aca="false">IF(ISNUMBER('Season by Year'!F99),'Season by Year'!F99,"")</f>
        <v>0.0345117845117846</v>
      </c>
      <c r="D81" s="25" t="n">
        <f aca="false">IF(ISNUMBER('Season by Year'!H99),'Season by Year'!H99,"")</f>
        <v>0.0321761219305674</v>
      </c>
    </row>
    <row r="82" customFormat="false" ht="15" hidden="false" customHeight="false" outlineLevel="0" collapsed="false">
      <c r="A82" s="5" t="s">
        <v>1198</v>
      </c>
      <c r="B82" s="25" t="n">
        <f aca="false">IF(ISNUMBER('Season by Year'!D104),'Season by Year'!D104,"")</f>
        <v>0.0168539325842696</v>
      </c>
      <c r="C82" s="25" t="n">
        <f aca="false">IF(ISNUMBER('Season by Year'!F104),'Season by Year'!F104,"")</f>
        <v>0.00568828213879402</v>
      </c>
      <c r="D82" s="25" t="n">
        <f aca="false">IF(ISNUMBER('Season by Year'!H104),'Season by Year'!H104,"")</f>
        <v>-0.00114810562571754</v>
      </c>
    </row>
    <row r="83" customFormat="false" ht="15" hidden="false" customHeight="false" outlineLevel="0" collapsed="false">
      <c r="A83" s="5" t="s">
        <v>1142</v>
      </c>
      <c r="B83" s="39" t="n">
        <f aca="false">IF(ISNUMBER('Season by Year'!D90),'Season by Year'!D90,"")</f>
        <v>0.11</v>
      </c>
      <c r="C83" s="39" t="n">
        <f aca="false">IF(ISNUMBER('Season by Year'!F90),'Season by Year'!F90,"")</f>
        <v>0.125</v>
      </c>
      <c r="D83" s="39" t="n">
        <f aca="false">IF(ISNUMBER('Season by Year'!H90),'Season by Year'!H90,"")</f>
        <v>0.135</v>
      </c>
    </row>
    <row r="84" customFormat="false" ht="15" hidden="false" customHeight="false" outlineLevel="0" collapsed="false">
      <c r="A84" s="5" t="s">
        <v>1158</v>
      </c>
      <c r="B84" s="39" t="n">
        <f aca="false">IF(ISNUMBER('Season by Year'!D105),'Season by Year'!D105,"")</f>
        <v>0.09</v>
      </c>
      <c r="C84" s="39" t="n">
        <f aca="false">IF(ISNUMBER('Season by Year'!F105),'Season by Year'!F105,"")</f>
        <v>0.105</v>
      </c>
      <c r="D84" s="39" t="n">
        <f aca="false">IF(ISNUMBER('Season by Year'!H105),'Season by Year'!H105,"")</f>
        <v>0.112</v>
      </c>
    </row>
    <row r="85" customFormat="false" ht="15" hidden="false" customHeight="false" outlineLevel="0" collapsed="false">
      <c r="A85" s="5" t="s">
        <v>1166</v>
      </c>
      <c r="B85" s="26" t="n">
        <f aca="false">IF(ISNUMBER('Competition by Year'!B6),'Competition by Year'!B6,"")</f>
        <v>80</v>
      </c>
      <c r="C85" s="26" t="n">
        <f aca="false">IF(ISNUMBER('Competition by Year'!D6),'Competition by Year'!D6,"")</f>
        <v>79</v>
      </c>
      <c r="D85" s="26" t="n">
        <f aca="false">IF(ISNUMBER('Competition by Year'!F6),'Competition by Year'!F6,"")</f>
        <v>76</v>
      </c>
    </row>
    <row r="86" customFormat="false" ht="15" hidden="false" customHeight="false" outlineLevel="0" collapsed="false">
      <c r="A86" s="5" t="s">
        <v>1167</v>
      </c>
      <c r="B86" s="26" t="n">
        <f aca="false">IF(ISNUMBER('Competition by Year'!B7),'Competition by Year'!B7,"")</f>
        <v>72</v>
      </c>
      <c r="C86" s="26" t="n">
        <f aca="false">IF(ISNUMBER('Competition by Year'!D7),'Competition by Year'!D7,"")</f>
        <v>73</v>
      </c>
      <c r="D86" s="26" t="n">
        <f aca="false">IF(ISNUMBER('Competition by Year'!F7),'Competition by Year'!F7,"")</f>
        <v>76</v>
      </c>
    </row>
    <row r="87" customFormat="false" ht="15" hidden="false" customHeight="false" outlineLevel="0" collapsed="false">
      <c r="A87" s="5" t="s">
        <v>1199</v>
      </c>
      <c r="B87" s="26" t="n">
        <f aca="false">IF(ISNUMBER('Competition by Year'!B8),'Competition by Year'!B8,"")</f>
        <v>78</v>
      </c>
      <c r="C87" s="26" t="n">
        <f aca="false">IF(ISNUMBER('Competition by Year'!D8),'Competition by Year'!D8,"")</f>
        <v>84</v>
      </c>
      <c r="D87" s="26" t="n">
        <f aca="false">IF(ISNUMBER('Competition by Year'!F8),'Competition by Year'!F8,"")</f>
        <v>89</v>
      </c>
    </row>
    <row r="88" customFormat="false" ht="15" hidden="false" customHeight="false" outlineLevel="0" collapsed="false">
      <c r="A88" s="5" t="s">
        <v>1169</v>
      </c>
      <c r="B88" s="26" t="n">
        <f aca="false">IF(ISNUMBER('Competition by Year'!B9),'Competition by Year'!B9,"")</f>
        <v>85</v>
      </c>
      <c r="C88" s="26" t="n">
        <f aca="false">IF(ISNUMBER('Competition by Year'!D9),'Competition by Year'!D9,"")</f>
        <v>86</v>
      </c>
      <c r="D88" s="26" t="n">
        <f aca="false">IF(ISNUMBER('Competition by Year'!F9),'Competition by Year'!F9,"")</f>
        <v>85</v>
      </c>
    </row>
    <row r="89" customFormat="false" ht="15" hidden="false" customHeight="false" outlineLevel="0" collapsed="false">
      <c r="A89" s="5" t="s">
        <v>1170</v>
      </c>
      <c r="B89" s="26" t="n">
        <f aca="false">IF(ISNUMBER('Competition by Year'!B10),'Competition by Year'!B10,"")</f>
        <v>70</v>
      </c>
      <c r="C89" s="26" t="n">
        <f aca="false">IF(ISNUMBER('Competition by Year'!D10),'Competition by Year'!D10,"")</f>
        <v>72</v>
      </c>
      <c r="D89" s="26" t="n">
        <f aca="false">IF(ISNUMBER('Competition by Year'!F10),'Competition by Year'!F10,"")</f>
        <v>64</v>
      </c>
    </row>
    <row r="90" customFormat="false" ht="15" hidden="false" customHeight="false" outlineLevel="0" collapsed="false">
      <c r="A90" s="5" t="s">
        <v>1171</v>
      </c>
      <c r="B90" s="26" t="n">
        <f aca="false">IF(ISNUMBER('Competition by Year'!B11),'Competition by Year'!B11,"")</f>
        <v>75</v>
      </c>
      <c r="C90" s="26" t="n">
        <f aca="false">IF(ISNUMBER('Competition by Year'!D11),'Competition by Year'!D11,"")</f>
        <v>75</v>
      </c>
      <c r="D90" s="26" t="n">
        <f aca="false">IF(ISNUMBER('Competition by Year'!F11),'Competition by Year'!F11,"")</f>
        <v>81</v>
      </c>
    </row>
    <row r="91" customFormat="false" ht="15" hidden="false" customHeight="false" outlineLevel="0" collapsed="false">
      <c r="A91" s="5" t="s">
        <v>1172</v>
      </c>
      <c r="B91" s="26" t="n">
        <f aca="false">IF(ISNUMBER('Competition by Year'!B12),'Competition by Year'!B12,"")</f>
        <v>82</v>
      </c>
      <c r="C91" s="26" t="n">
        <f aca="false">IF(ISNUMBER('Competition by Year'!D12),'Competition by Year'!D12,"")</f>
        <v>86</v>
      </c>
      <c r="D91" s="26" t="n">
        <f aca="false">IF(ISNUMBER('Competition by Year'!F12),'Competition by Year'!F12,"")</f>
        <v>92</v>
      </c>
    </row>
    <row r="92" customFormat="false" ht="15" hidden="false" customHeight="false" outlineLevel="0" collapsed="false">
      <c r="A92" s="5" t="s">
        <v>1173</v>
      </c>
      <c r="B92" s="26" t="n">
        <f aca="false">IF(ISNUMBER('Competition by Year'!B13),'Competition by Year'!B13,"")</f>
        <v>68</v>
      </c>
      <c r="C92" s="26" t="n">
        <f aca="false">IF(ISNUMBER('Competition by Year'!D13),'Competition by Year'!D13,"")</f>
        <v>71</v>
      </c>
      <c r="D92" s="26" t="n">
        <f aca="false">IF(ISNUMBER('Competition by Year'!F13),'Competition by Year'!F13,"")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44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7" t="s">
        <v>1200</v>
      </c>
    </row>
    <row r="2" customFormat="false" ht="15" hidden="false" customHeight="false" outlineLevel="0" collapsed="false">
      <c r="A2" s="3" t="s">
        <v>1201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199</v>
      </c>
      <c r="B5" s="12" t="s">
        <v>447</v>
      </c>
      <c r="C5" s="12" t="s">
        <v>122</v>
      </c>
      <c r="D5" s="12" t="s">
        <v>1202</v>
      </c>
      <c r="E5" s="12" t="s">
        <v>483</v>
      </c>
      <c r="F5" s="12" t="s">
        <v>1203</v>
      </c>
      <c r="G5" s="12" t="s">
        <v>1204</v>
      </c>
      <c r="H5" s="12" t="s">
        <v>471</v>
      </c>
    </row>
    <row r="6" customFormat="false" ht="43.5" hidden="false" customHeight="true" outlineLevel="0" collapsed="false">
      <c r="A6" s="80" t="n">
        <v>7</v>
      </c>
      <c r="B6" s="80" t="s">
        <v>1205</v>
      </c>
      <c r="C6" s="80" t="s">
        <v>1148</v>
      </c>
      <c r="D6" s="80" t="s">
        <v>1206</v>
      </c>
      <c r="E6" s="80" t="s">
        <v>1207</v>
      </c>
      <c r="F6" s="80" t="s">
        <v>1208</v>
      </c>
      <c r="G6" s="11"/>
      <c r="H6" s="11" t="s">
        <v>1209</v>
      </c>
    </row>
    <row r="7" customFormat="false" ht="43.5" hidden="false" customHeight="true" outlineLevel="0" collapsed="false">
      <c r="A7" s="80" t="n">
        <v>7</v>
      </c>
      <c r="B7" s="80" t="s">
        <v>1210</v>
      </c>
      <c r="C7" s="80"/>
      <c r="D7" s="80" t="s">
        <v>1211</v>
      </c>
      <c r="E7" s="80"/>
      <c r="F7" s="80"/>
      <c r="G7" s="11"/>
      <c r="H7" s="11" t="s">
        <v>1209</v>
      </c>
    </row>
    <row r="8" customFormat="false" ht="19.5" hidden="false" customHeight="tru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9.5" hidden="false" customHeight="tru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9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9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9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9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9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9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9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9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9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9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9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9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9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9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9.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9.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9.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9.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9.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9.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</row>
  </sheetData>
  <conditionalFormatting sqref="H6:H45">
    <cfRule type="expression" priority="2" aboveAverage="0" equalAverage="0" bottom="0" percent="0" rank="0" text="" dxfId="0">
      <formula>OR(H6="Acted on",H6="Closed")</formula>
    </cfRule>
    <cfRule type="expression" priority="3" aboveAverage="0" equalAverage="0" bottom="0" percent="0" rank="0" text="" dxfId="1">
      <formula>H6="Discussed"</formula>
    </cfRule>
    <cfRule type="expression" priority="4" aboveAverage="0" equalAverage="0" bottom="0" percent="0" rank="0" text="" dxfId="2">
      <formula>H6="Open"</formula>
    </cfRule>
  </conditionalFormatting>
  <dataValidations count="2">
    <dataValidation allowBlank="true" errorStyle="stop" operator="between" showDropDown="false" showErrorMessage="false" showInputMessage="false" sqref="B6:B45" type="list">
      <formula1>"Finding,Watch item,Question to consider,Management goal"</formula1>
      <formula2>0</formula2>
    </dataValidation>
    <dataValidation allowBlank="true" errorStyle="stop" operator="between" showDropDown="false" showErrorMessage="false" showInputMessage="false" sqref="H6:H45" type="list">
      <formula1>"Open,Discussed,Acted 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2026-10-08T00:18:01Z</dcterms:created>
  <dc:creator>openpyxl</dc:creator>
  <dc:description/>
  <dc:language>en-US</dc:language>
  <cp:lastModifiedBy/>
  <dcterms:modified xsi:type="dcterms:W3CDTF">2026-10-07T20:18:12Z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